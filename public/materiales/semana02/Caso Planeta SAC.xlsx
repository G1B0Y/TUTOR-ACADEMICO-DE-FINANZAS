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SCO D TOSHIBA\WOCH DOCENCIA UNIV\UNIVERSIDAD UNI\FIIS UNI\PRE GRADO FIIS UNI\CICLO 2021 01 VIRTUAL\GP605U 2021 01 VIRTUAL\Semana 02\"/>
    </mc:Choice>
  </mc:AlternateContent>
  <xr:revisionPtr revIDLastSave="0" documentId="13_ncr:1_{B59D7BF3-7121-45D4-A18E-5CC5AD82C797}" xr6:coauthVersionLast="46" xr6:coauthVersionMax="46" xr10:uidLastSave="{00000000-0000-0000-0000-000000000000}"/>
  <bookViews>
    <workbookView xWindow="-120" yWindow="-120" windowWidth="20730" windowHeight="11160" tabRatio="290" firstSheet="3" activeTab="5" xr2:uid="{00000000-000D-0000-FFFF-FFFF00000000}"/>
  </bookViews>
  <sheets>
    <sheet name="Caso" sheetId="7" r:id="rId1"/>
    <sheet name="DIARIO" sheetId="6" r:id="rId2"/>
    <sheet name="DD" sheetId="12" r:id="rId3"/>
    <sheet name="MAYOR" sheetId="11" r:id="rId4"/>
    <sheet name="BC" sheetId="10" r:id="rId5"/>
    <sheet name="ESF" sheetId="2" r:id="rId6"/>
    <sheet name="ER" sheetId="8" r:id="rId7"/>
  </sheets>
  <definedNames>
    <definedName name="_xlnm._FilterDatabase" localSheetId="2" hidden="1">DD!$A$1:$D$93</definedName>
    <definedName name="_xlnm.Print_Area" localSheetId="4">BC!$A$1:$F$35</definedName>
    <definedName name="_xlnm.Print_Area" localSheetId="0">Caso!$A$1:$I$40</definedName>
    <definedName name="_xlnm.Print_Area" localSheetId="5">ESF!$A$1:$D$40</definedName>
  </definedNames>
  <calcPr calcId="181029"/>
</workbook>
</file>

<file path=xl/calcChain.xml><?xml version="1.0" encoding="utf-8"?>
<calcChain xmlns="http://schemas.openxmlformats.org/spreadsheetml/2006/main">
  <c r="E3" i="10" l="1"/>
  <c r="M23" i="7" l="1"/>
  <c r="M22" i="7"/>
  <c r="M21" i="7"/>
  <c r="M20" i="7"/>
  <c r="M19" i="7"/>
  <c r="M18" i="7"/>
  <c r="L23" i="7"/>
  <c r="L19" i="7"/>
  <c r="R10" i="7"/>
  <c r="R9" i="7"/>
  <c r="R8" i="7"/>
  <c r="Q11" i="7"/>
  <c r="R4" i="7"/>
  <c r="R3" i="7"/>
  <c r="R2" i="7"/>
  <c r="Q4" i="7"/>
  <c r="M13" i="7"/>
  <c r="M12" i="7"/>
  <c r="M11" i="7"/>
  <c r="M10" i="7"/>
  <c r="M9" i="7"/>
  <c r="L13" i="7"/>
  <c r="L10" i="7"/>
  <c r="M5" i="7"/>
  <c r="M4" i="7"/>
  <c r="M3" i="7"/>
  <c r="M2" i="7"/>
  <c r="L5" i="7"/>
  <c r="L3" i="7"/>
  <c r="C12" i="8"/>
  <c r="G41" i="10"/>
  <c r="G40" i="10"/>
  <c r="G39" i="10"/>
  <c r="F6" i="2"/>
  <c r="G38" i="10"/>
  <c r="F25" i="2"/>
  <c r="C16" i="2"/>
  <c r="C21" i="8"/>
  <c r="C20" i="8"/>
  <c r="C19" i="8"/>
  <c r="C18" i="8"/>
  <c r="C15" i="8"/>
  <c r="C14" i="8"/>
  <c r="C13" i="8"/>
  <c r="C11" i="8"/>
  <c r="C10" i="8"/>
  <c r="C9" i="8"/>
  <c r="F23" i="2"/>
  <c r="F19" i="2"/>
  <c r="F13" i="2"/>
  <c r="F10" i="2"/>
  <c r="C6" i="8"/>
  <c r="C5" i="8"/>
  <c r="F8" i="2"/>
  <c r="F7" i="2"/>
  <c r="C18" i="2"/>
  <c r="C17" i="2"/>
  <c r="C15" i="2"/>
  <c r="C14" i="2"/>
  <c r="C13" i="2"/>
  <c r="C10" i="2"/>
  <c r="C9" i="2"/>
  <c r="C8" i="2"/>
  <c r="C7" i="2"/>
  <c r="H33" i="10"/>
  <c r="H30" i="10"/>
  <c r="H29" i="10"/>
  <c r="H28" i="10"/>
  <c r="H27" i="10"/>
  <c r="H25" i="10"/>
  <c r="H23" i="10"/>
  <c r="H22" i="10"/>
  <c r="H12" i="10"/>
  <c r="H7" i="10"/>
  <c r="G26" i="10"/>
  <c r="G24" i="10"/>
  <c r="G21" i="10"/>
  <c r="G20" i="10"/>
  <c r="G18" i="10"/>
  <c r="G17" i="10"/>
  <c r="G16" i="10"/>
  <c r="G15" i="10"/>
  <c r="G14" i="10"/>
  <c r="G13" i="10"/>
  <c r="G11" i="10"/>
  <c r="G10" i="10"/>
  <c r="G9" i="10"/>
  <c r="G8" i="10"/>
  <c r="G6" i="10"/>
  <c r="G5" i="10"/>
  <c r="H4" i="10"/>
  <c r="C107" i="11"/>
  <c r="C111" i="11" s="1"/>
  <c r="E21" i="10" s="1"/>
  <c r="C106" i="11"/>
  <c r="M40" i="11"/>
  <c r="F30" i="10"/>
  <c r="E30" i="10"/>
  <c r="F29" i="10"/>
  <c r="E29" i="10"/>
  <c r="F28" i="10"/>
  <c r="E28" i="10"/>
  <c r="F27" i="10"/>
  <c r="E27" i="10"/>
  <c r="F26" i="10"/>
  <c r="E26" i="10"/>
  <c r="F25" i="10"/>
  <c r="E25" i="10"/>
  <c r="F24" i="10"/>
  <c r="E24" i="10"/>
  <c r="F23" i="10"/>
  <c r="E23" i="10"/>
  <c r="F22" i="10"/>
  <c r="E22" i="10"/>
  <c r="F20" i="10"/>
  <c r="E20" i="10"/>
  <c r="F19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F7" i="10"/>
  <c r="E7" i="10"/>
  <c r="F6" i="10"/>
  <c r="E6" i="10"/>
  <c r="F5" i="10"/>
  <c r="E5" i="10"/>
  <c r="F4" i="10"/>
  <c r="E4" i="10"/>
  <c r="F3" i="10"/>
  <c r="G3" i="10"/>
  <c r="C6" i="2" s="1"/>
  <c r="N138" i="11"/>
  <c r="I138" i="11"/>
  <c r="D138" i="11"/>
  <c r="N112" i="11"/>
  <c r="I112" i="11"/>
  <c r="D104" i="11"/>
  <c r="D111" i="11" s="1"/>
  <c r="F21" i="10" s="1"/>
  <c r="D73" i="11"/>
  <c r="H86" i="11"/>
  <c r="N8" i="11"/>
  <c r="M7" i="11"/>
  <c r="B88" i="12"/>
  <c r="B87" i="12"/>
  <c r="B77" i="12"/>
  <c r="B66" i="12"/>
  <c r="C64" i="12"/>
  <c r="C65" i="12" s="1"/>
  <c r="C52" i="12"/>
  <c r="B51" i="12"/>
  <c r="B47" i="12"/>
  <c r="C46" i="12"/>
  <c r="C35" i="12"/>
  <c r="B36" i="12" s="1"/>
  <c r="B25" i="12"/>
  <c r="B21" i="12"/>
  <c r="C7" i="11"/>
  <c r="F101" i="6"/>
  <c r="G99" i="6"/>
  <c r="G100" i="6" s="1"/>
  <c r="N104" i="11" s="1"/>
  <c r="N111" i="11" s="1"/>
  <c r="G79" i="6"/>
  <c r="F78" i="6"/>
  <c r="M91" i="11" s="1"/>
  <c r="M98" i="11" s="1"/>
  <c r="M99" i="11" s="1"/>
  <c r="F72" i="6"/>
  <c r="F74" i="6" s="1"/>
  <c r="G52" i="6"/>
  <c r="G54" i="6" s="1"/>
  <c r="F40" i="6"/>
  <c r="H66" i="11" s="1"/>
  <c r="F34" i="6"/>
  <c r="G35" i="6" s="1"/>
  <c r="D143" i="11"/>
  <c r="D150" i="11" s="1"/>
  <c r="D151" i="11" s="1"/>
  <c r="C150" i="11"/>
  <c r="N130" i="11"/>
  <c r="N137" i="11" s="1"/>
  <c r="M137" i="11"/>
  <c r="G25" i="6"/>
  <c r="F25" i="6"/>
  <c r="D8" i="11"/>
  <c r="H52" i="11"/>
  <c r="H59" i="11" s="1"/>
  <c r="I130" i="11"/>
  <c r="I137" i="11" s="1"/>
  <c r="H137" i="11"/>
  <c r="C137" i="11"/>
  <c r="M117" i="11"/>
  <c r="M124" i="11" s="1"/>
  <c r="M125" i="11" s="1"/>
  <c r="I117" i="11"/>
  <c r="I124" i="11" s="1"/>
  <c r="C118" i="11"/>
  <c r="C117" i="11"/>
  <c r="D124" i="11"/>
  <c r="N124" i="11"/>
  <c r="I105" i="11"/>
  <c r="I104" i="11"/>
  <c r="C105" i="11"/>
  <c r="M111" i="11"/>
  <c r="H111" i="11"/>
  <c r="C91" i="11"/>
  <c r="C98" i="11" s="1"/>
  <c r="C99" i="11" s="1"/>
  <c r="N98" i="11"/>
  <c r="I98" i="11"/>
  <c r="D98" i="11"/>
  <c r="H98" i="11"/>
  <c r="H99" i="11" s="1"/>
  <c r="M78" i="11"/>
  <c r="H79" i="11"/>
  <c r="H78" i="11"/>
  <c r="C80" i="11"/>
  <c r="C79" i="11"/>
  <c r="C78" i="11"/>
  <c r="N85" i="11"/>
  <c r="I85" i="11"/>
  <c r="M85" i="11"/>
  <c r="M86" i="11" s="1"/>
  <c r="H85" i="11"/>
  <c r="D85" i="11"/>
  <c r="M66" i="11"/>
  <c r="M65" i="11"/>
  <c r="I67" i="11"/>
  <c r="H65" i="11"/>
  <c r="D66" i="11"/>
  <c r="D65" i="11"/>
  <c r="D72" i="11"/>
  <c r="N72" i="11"/>
  <c r="C72" i="11"/>
  <c r="M55" i="11"/>
  <c r="I56" i="11"/>
  <c r="H55" i="11"/>
  <c r="I54" i="11"/>
  <c r="I59" i="11" s="1"/>
  <c r="H53" i="11"/>
  <c r="C52" i="11"/>
  <c r="C59" i="11" s="1"/>
  <c r="C60" i="11" s="1"/>
  <c r="F137" i="6"/>
  <c r="C53" i="11" s="1"/>
  <c r="F136" i="6"/>
  <c r="G138" i="6" s="1"/>
  <c r="D59" i="11"/>
  <c r="M39" i="11"/>
  <c r="I42" i="11"/>
  <c r="I46" i="11" s="1"/>
  <c r="I47" i="11" s="1"/>
  <c r="I41" i="11"/>
  <c r="I40" i="11"/>
  <c r="I39" i="11"/>
  <c r="C40" i="11"/>
  <c r="C39" i="11"/>
  <c r="N46" i="11"/>
  <c r="H46" i="11"/>
  <c r="D46" i="11"/>
  <c r="N33" i="11"/>
  <c r="M6" i="11"/>
  <c r="M5" i="11"/>
  <c r="H33" i="11"/>
  <c r="I10" i="11"/>
  <c r="I8" i="11"/>
  <c r="I7" i="11"/>
  <c r="I6" i="11"/>
  <c r="I5" i="11"/>
  <c r="I33" i="11" s="1"/>
  <c r="I34" i="11" s="1"/>
  <c r="C31" i="11"/>
  <c r="C30" i="11"/>
  <c r="D29" i="11"/>
  <c r="D27" i="11"/>
  <c r="C26" i="11"/>
  <c r="D25" i="11"/>
  <c r="C22" i="11"/>
  <c r="D19" i="11"/>
  <c r="D18" i="11"/>
  <c r="D17" i="11"/>
  <c r="D16" i="11"/>
  <c r="D14" i="11"/>
  <c r="D13" i="11"/>
  <c r="D12" i="11"/>
  <c r="D10" i="11"/>
  <c r="D9" i="11"/>
  <c r="C6" i="11"/>
  <c r="C5" i="11"/>
  <c r="G84" i="6"/>
  <c r="F84" i="6"/>
  <c r="G147" i="6"/>
  <c r="F147" i="6"/>
  <c r="G143" i="6"/>
  <c r="F143" i="6"/>
  <c r="G134" i="6"/>
  <c r="F134" i="6"/>
  <c r="G130" i="6"/>
  <c r="F130" i="6"/>
  <c r="F120" i="6"/>
  <c r="C28" i="11" s="1"/>
  <c r="G117" i="6"/>
  <c r="F117" i="6"/>
  <c r="G113" i="6"/>
  <c r="F113" i="6"/>
  <c r="G109" i="6"/>
  <c r="F109" i="6"/>
  <c r="M57" i="11"/>
  <c r="G96" i="6"/>
  <c r="F96" i="6"/>
  <c r="G88" i="6"/>
  <c r="F88" i="6"/>
  <c r="G80" i="6"/>
  <c r="M56" i="11"/>
  <c r="G71" i="6"/>
  <c r="D20" i="11" s="1"/>
  <c r="G68" i="6"/>
  <c r="F68" i="6"/>
  <c r="G64" i="6"/>
  <c r="F64" i="6"/>
  <c r="G58" i="6"/>
  <c r="F58" i="6"/>
  <c r="F53" i="6"/>
  <c r="G41" i="6"/>
  <c r="G44" i="6" s="1"/>
  <c r="M52" i="11"/>
  <c r="G30" i="6"/>
  <c r="F30" i="6"/>
  <c r="F130" i="2"/>
  <c r="F129" i="2"/>
  <c r="F128" i="2"/>
  <c r="G102" i="6"/>
  <c r="D24" i="11" s="1"/>
  <c r="F44" i="6"/>
  <c r="M33" i="11"/>
  <c r="M34" i="11" s="1"/>
  <c r="F139" i="6"/>
  <c r="F121" i="6"/>
  <c r="H68" i="11" s="1"/>
  <c r="M46" i="11"/>
  <c r="M47" i="11" s="1"/>
  <c r="I111" i="11"/>
  <c r="C124" i="11"/>
  <c r="C125" i="11" s="1"/>
  <c r="C46" i="11"/>
  <c r="C47" i="11" s="1"/>
  <c r="C85" i="11"/>
  <c r="C86" i="11" s="1"/>
  <c r="M72" i="11"/>
  <c r="M73" i="11" s="1"/>
  <c r="N53" i="11"/>
  <c r="N59" i="11" s="1"/>
  <c r="G37" i="10" l="1"/>
  <c r="G33" i="10"/>
  <c r="G35" i="10" s="1"/>
  <c r="R11" i="7"/>
  <c r="C22" i="8"/>
  <c r="C16" i="8"/>
  <c r="E19" i="10"/>
  <c r="E8" i="10"/>
  <c r="F33" i="10"/>
  <c r="C112" i="11"/>
  <c r="C155" i="11"/>
  <c r="C154" i="11"/>
  <c r="C48" i="12"/>
  <c r="C67" i="12"/>
  <c r="C26" i="12"/>
  <c r="B78" i="12"/>
  <c r="B81" i="12" s="1"/>
  <c r="C82" i="12" s="1"/>
  <c r="C22" i="12"/>
  <c r="C89" i="12"/>
  <c r="C33" i="11"/>
  <c r="D23" i="11"/>
  <c r="G103" i="6"/>
  <c r="F80" i="6"/>
  <c r="G36" i="6"/>
  <c r="D11" i="11"/>
  <c r="H60" i="11"/>
  <c r="H72" i="11"/>
  <c r="F54" i="6"/>
  <c r="M54" i="11"/>
  <c r="M59" i="11" s="1"/>
  <c r="M60" i="11" s="1"/>
  <c r="G139" i="6"/>
  <c r="D130" i="11"/>
  <c r="D137" i="11" s="1"/>
  <c r="F36" i="6"/>
  <c r="G73" i="6"/>
  <c r="F103" i="6"/>
  <c r="D15" i="11"/>
  <c r="F124" i="6"/>
  <c r="C157" i="11" l="1"/>
  <c r="C7" i="8"/>
  <c r="C17" i="8" s="1"/>
  <c r="C23" i="8" s="1"/>
  <c r="C25" i="8" s="1"/>
  <c r="F26" i="2" s="1"/>
  <c r="E33" i="10"/>
  <c r="E35" i="10" s="1"/>
  <c r="C96" i="12"/>
  <c r="B96" i="12"/>
  <c r="H118" i="11"/>
  <c r="H124" i="11" s="1"/>
  <c r="I125" i="11" s="1"/>
  <c r="G125" i="6"/>
  <c r="F126" i="6"/>
  <c r="F149" i="6"/>
  <c r="C27" i="2"/>
  <c r="D21" i="11"/>
  <c r="D33" i="11" s="1"/>
  <c r="C34" i="11" s="1"/>
  <c r="G74" i="6"/>
  <c r="D96" i="12" l="1"/>
  <c r="G126" i="6"/>
  <c r="G149" i="6" s="1"/>
  <c r="F151" i="6" s="1"/>
  <c r="I69" i="11"/>
  <c r="I72" i="11" s="1"/>
  <c r="H73" i="11" s="1"/>
  <c r="C11" i="2" l="1"/>
  <c r="C28" i="2" s="1"/>
  <c r="F9" i="2" l="1"/>
  <c r="F27" i="2"/>
  <c r="F11" i="2" l="1"/>
  <c r="F20" i="2" s="1"/>
  <c r="F28" i="2" s="1"/>
  <c r="F30" i="2" s="1"/>
</calcChain>
</file>

<file path=xl/sharedStrings.xml><?xml version="1.0" encoding="utf-8"?>
<sst xmlns="http://schemas.openxmlformats.org/spreadsheetml/2006/main" count="690" uniqueCount="212">
  <si>
    <t>Ventas</t>
  </si>
  <si>
    <t>Clientes</t>
  </si>
  <si>
    <t>ACTIVOS</t>
  </si>
  <si>
    <t>Cuentas por cobrar diversas</t>
  </si>
  <si>
    <t>Mercaderías</t>
  </si>
  <si>
    <t>Inmueble, maquinaria y equipo menos</t>
  </si>
  <si>
    <t>ACTIVOS TOTALES</t>
  </si>
  <si>
    <t>PASIVOS Y PATRIMONIO</t>
  </si>
  <si>
    <t>Tributos por pagar</t>
  </si>
  <si>
    <t>Proveedores</t>
  </si>
  <si>
    <t>PASIVOS TOTALES</t>
  </si>
  <si>
    <t>PATRIMONIO</t>
  </si>
  <si>
    <t>TOTAL PATRIMONIO</t>
  </si>
  <si>
    <t xml:space="preserve">TOTAL PASIVOS Y PATRIMONIO </t>
  </si>
  <si>
    <t>Valores</t>
  </si>
  <si>
    <t>Intangibles</t>
  </si>
  <si>
    <t>Valorizacion adicinal del IME</t>
  </si>
  <si>
    <t>Cargas diferidas</t>
  </si>
  <si>
    <t>ACTIVOS CORRIENTES</t>
  </si>
  <si>
    <t>ACTIVOS NO CORRIENTES</t>
  </si>
  <si>
    <t>Activos corrientes totales</t>
  </si>
  <si>
    <t>Activos no corrientes totales</t>
  </si>
  <si>
    <t>PASIVOS CORRIENTES</t>
  </si>
  <si>
    <t>PASIVOS NO CORRIENTES</t>
  </si>
  <si>
    <t>Pasivos corrientes totales</t>
  </si>
  <si>
    <t>Pasivos no corrientes totales</t>
  </si>
  <si>
    <t xml:space="preserve">Capital </t>
  </si>
  <si>
    <t>Exedente de revaluacion</t>
  </si>
  <si>
    <t>Cargas de personal</t>
  </si>
  <si>
    <t>Servicios prestados por terceros</t>
  </si>
  <si>
    <t>Cargas excepcionales</t>
  </si>
  <si>
    <t>Cuentas por Pagar</t>
  </si>
  <si>
    <t>Costo de Ventas</t>
  </si>
  <si>
    <t>Saldo Final</t>
  </si>
  <si>
    <t>Tributos por Pagar</t>
  </si>
  <si>
    <t>Depreciacion y amortizacion acumulada</t>
  </si>
  <si>
    <t>Cuentas por Cobrar diversas</t>
  </si>
  <si>
    <t>Ingresos Financieros</t>
  </si>
  <si>
    <t>Excedente de Revaluacion</t>
  </si>
  <si>
    <t>EMPRESA PLANETA SAC</t>
  </si>
  <si>
    <t xml:space="preserve"> Gastos operativos</t>
  </si>
  <si>
    <t>Provisiones del ejercicio</t>
  </si>
  <si>
    <t>Gastos operativos totales</t>
  </si>
  <si>
    <t>Utilidades operativas</t>
  </si>
  <si>
    <t xml:space="preserve"> Ingresos financieros</t>
  </si>
  <si>
    <t>Utilidad Neta</t>
  </si>
  <si>
    <t>Mercaderias</t>
  </si>
  <si>
    <t>Inmueble maquinaria y Equipo</t>
  </si>
  <si>
    <t>Cargas Excepcionales</t>
  </si>
  <si>
    <t>Depreciación y Amortizacion acumulada</t>
  </si>
  <si>
    <t>EMPRESA PLANETA SAC.</t>
  </si>
  <si>
    <t>Costo de ventas</t>
  </si>
  <si>
    <t>ASIENTOS DE DIARIO</t>
  </si>
  <si>
    <t>Asiento Apertura</t>
  </si>
  <si>
    <t>Debe</t>
  </si>
  <si>
    <t>Haber</t>
  </si>
  <si>
    <t>Transacciones</t>
  </si>
  <si>
    <t>Capital Social</t>
  </si>
  <si>
    <t>Servicios Prestados por terceros (luz)</t>
  </si>
  <si>
    <t>Servicios Prestados por terceros (agua)</t>
  </si>
  <si>
    <t>Servicios Prestados por terceros (telef)</t>
  </si>
  <si>
    <t>Tributos por pagar (IGV)</t>
  </si>
  <si>
    <t>Cargas Diferidas (seguros)</t>
  </si>
  <si>
    <t>Cargas de Gestion (gastos administrativos)</t>
  </si>
  <si>
    <t>Provision del Ejercicio (Gasto Administrativo)</t>
  </si>
  <si>
    <t>Intangibles (patente)</t>
  </si>
  <si>
    <t>Provision del Ejercicio (gasto comercial)</t>
  </si>
  <si>
    <t>BALANCE DE COMPROBACION</t>
  </si>
  <si>
    <t xml:space="preserve">Provision del Ejercicio </t>
  </si>
  <si>
    <t>Ingresos financieros</t>
  </si>
  <si>
    <t>Edificios</t>
  </si>
  <si>
    <t>Cargas de personal (Gastos administrativos)</t>
  </si>
  <si>
    <t>Otros ingresos</t>
  </si>
  <si>
    <t>MAYORIZACION</t>
  </si>
  <si>
    <t>Transacción</t>
  </si>
  <si>
    <t>Fecha</t>
  </si>
  <si>
    <t xml:space="preserve">Debe </t>
  </si>
  <si>
    <t>Total</t>
  </si>
  <si>
    <t>ACTIVO</t>
  </si>
  <si>
    <t>Apertura</t>
  </si>
  <si>
    <t>Cuenta</t>
  </si>
  <si>
    <t>Tipo</t>
  </si>
  <si>
    <t>Activo</t>
  </si>
  <si>
    <t>Patrimonio</t>
  </si>
  <si>
    <t>PASIVO</t>
  </si>
  <si>
    <t>Inmuebles, Maquinaria y Equipo</t>
  </si>
  <si>
    <t>Pasivo</t>
  </si>
  <si>
    <t>GASTO</t>
  </si>
  <si>
    <t>Gastos Administrativos</t>
  </si>
  <si>
    <t>Gasto</t>
  </si>
  <si>
    <t>(2) Capital Social</t>
  </si>
  <si>
    <t>(3) Inmueble, Maquinaria y Equipo</t>
  </si>
  <si>
    <t>(4) Intangibles</t>
  </si>
  <si>
    <t>(5) Cuentas por Pagar</t>
  </si>
  <si>
    <t>(6) Gastos Administrativos</t>
  </si>
  <si>
    <t>(7) Edificios</t>
  </si>
  <si>
    <t>(8) Mercaderias</t>
  </si>
  <si>
    <t>(9) Tributos por pagar</t>
  </si>
  <si>
    <t>No</t>
  </si>
  <si>
    <t>(10) Ventas</t>
  </si>
  <si>
    <t>INGRESO</t>
  </si>
  <si>
    <t>Ingresos</t>
  </si>
  <si>
    <t>(11) Clientes</t>
  </si>
  <si>
    <t>(12) Costo de Ventas</t>
  </si>
  <si>
    <t>COSTOS</t>
  </si>
  <si>
    <t>Costos</t>
  </si>
  <si>
    <t>(13) Servicio Prestado por Terceros</t>
  </si>
  <si>
    <t>Servicio Prestdo por Terceros</t>
  </si>
  <si>
    <t>Gastos</t>
  </si>
  <si>
    <t>(14) Cargas de Personal</t>
  </si>
  <si>
    <t>Cargas de Personal</t>
  </si>
  <si>
    <t>(15) Cargas Excepcionales</t>
  </si>
  <si>
    <t>(16) Cargas Diferidas</t>
  </si>
  <si>
    <t>(17) Cargas de Gestión</t>
  </si>
  <si>
    <t>Cargas de Gestión</t>
  </si>
  <si>
    <t>Gastos Financieros</t>
  </si>
  <si>
    <t>(18) Gastos Financieros</t>
  </si>
  <si>
    <t>(19) Provisión del Ejercicio</t>
  </si>
  <si>
    <t>Provision del Ejercicio (Existencias)</t>
  </si>
  <si>
    <t>(20) Depreciacion y amortiza acum</t>
  </si>
  <si>
    <t>Depreciación y amortizac acum</t>
  </si>
  <si>
    <t>Activo / Gasto</t>
  </si>
  <si>
    <t>Provision por devaluacion Mercader</t>
  </si>
  <si>
    <t>(21) Proveedores</t>
  </si>
  <si>
    <t>(22) Cuentas por cobrar diversas</t>
  </si>
  <si>
    <t>Ingreso</t>
  </si>
  <si>
    <t>(23) Ingreso Financiero</t>
  </si>
  <si>
    <t>(24) Valores</t>
  </si>
  <si>
    <t>Excedente de revaluacion</t>
  </si>
  <si>
    <t>(25) Excedente de revaluacion</t>
  </si>
  <si>
    <t>(26) Otros ingresos</t>
  </si>
  <si>
    <t>BG</t>
  </si>
  <si>
    <r>
      <t>BG/</t>
    </r>
    <r>
      <rPr>
        <b/>
        <sz val="10"/>
        <rFont val="Arial"/>
        <family val="2"/>
      </rPr>
      <t>EPG</t>
    </r>
  </si>
  <si>
    <t>OK</t>
  </si>
  <si>
    <t>Gastos administrativos</t>
  </si>
  <si>
    <t>Cargas de gestión</t>
  </si>
  <si>
    <t xml:space="preserve">Cuentas por pagar </t>
  </si>
  <si>
    <t>Impuesto a la renta</t>
  </si>
  <si>
    <t>Ingreso diferido</t>
  </si>
  <si>
    <t>(27) Ingreso diferido</t>
  </si>
  <si>
    <t>CTS Beneficios sociales</t>
  </si>
  <si>
    <t>(28) CTS</t>
  </si>
  <si>
    <t>CTS</t>
  </si>
  <si>
    <t>ESTADO DE SITUACION FINANCIERA</t>
  </si>
  <si>
    <t>ESTADO DE RESULTADOS</t>
  </si>
  <si>
    <t>Resultado del ejercicio</t>
  </si>
  <si>
    <t>Impuesto a la Renta (29.5%)</t>
  </si>
  <si>
    <t>CASO: PLANETA SAC</t>
  </si>
  <si>
    <t>La empresa Planeta SAC se constituye con fecha 01 de enero 2020, siendo el aporte de los accionistas los siguientes:</t>
  </si>
  <si>
    <t>El señor Mateo Quispe aporto S/ 600,000 en efectivo; la señora Martha Morales dio mobiliario valorizado en S/ 150,000</t>
  </si>
  <si>
    <t>y una patente en S/ 35,000; el señor Pablo Mamani aporto con un inmueble valorizado en S/ 200,000.</t>
  </si>
  <si>
    <t>Se solicitó un prestamo por un año al Banco Sur por S/ 600,000 a una tasa del 10% anual, la constitución de la empresa</t>
  </si>
  <si>
    <t>costo S/ 5,000.</t>
  </si>
  <si>
    <t>Se compró a la empresa ABC Corporatión SAC mercaderías por S/ 56,000</t>
  </si>
  <si>
    <t>Luego se realizarón las siguientes transacciones:</t>
  </si>
  <si>
    <t>2. Se compró mercaderías por S/ 600,000 al contado pagando el 18% adicional por IGV</t>
  </si>
  <si>
    <t>3. Se vendió mercadería por S/ 400,000, todo a crédito, cobrá el 18% por IGV. Su costo fue S/ 350,000</t>
  </si>
  <si>
    <t>4. Se pagarón luz eléctrica, agua y telefono fijo S/ 300, S/ 200 y S/ 450 respectivamente, adicionar el IGV.</t>
  </si>
  <si>
    <t>5. Se paga la planilla de los trabajadores por el mes un valor de S/ 8,000</t>
  </si>
  <si>
    <t>6. Se pagan tributos por S/ 5,000 efectivo y una multa puesta por la SUNAT por S/ 1,500</t>
  </si>
  <si>
    <t>7. Pagamos seguros adelantados por S/ 4,000</t>
  </si>
  <si>
    <t>8. Compramos útiles de escritorio por S/ 400, adicionar el IGV</t>
  </si>
  <si>
    <t xml:space="preserve">    se pagará en un año.</t>
  </si>
  <si>
    <t>10. Se depreció los activos fijos por S/ 35,000</t>
  </si>
  <si>
    <t>11. Un nuevo socio ingresa a la empresa con el aporte de una patente valorizada en S/ 40,000</t>
  </si>
  <si>
    <t>12. Se provisiona S/ 24,000 por concepto de beneficios sociales, S/ 4,500 por desvalorización de mercaderias,</t>
  </si>
  <si>
    <t xml:space="preserve">      S/ 6,000 por amortización de intangibles</t>
  </si>
  <si>
    <t>13. Se adquirió mercaderia por un valor de S/ 35,000. Este se pagó 50% al contado y 50% a crédito, pagandose</t>
  </si>
  <si>
    <t xml:space="preserve">      adicionalmente el IGV.</t>
  </si>
  <si>
    <t>14. Se presta dinero por 6 meses a una empresa por S/ 50,000 a un interés del 10% anual</t>
  </si>
  <si>
    <t>15. Se cobra a los clientes S/ 6,000</t>
  </si>
  <si>
    <t>16. Compramos bonos corporativos por S/ 9,000</t>
  </si>
  <si>
    <t>17. Se venden mercaderías por S/ 50,000 para ser pagadas 30% al contado y el resto a crédito a 30 días</t>
  </si>
  <si>
    <t xml:space="preserve">     con un interés del 5% por mes. El costo de la mercadería es de S/ 40,000</t>
  </si>
  <si>
    <t>18. Se pagan el 50% de las planillas un valor de S/ 4,000</t>
  </si>
  <si>
    <t>19. Se recibió S/ 5,000 por una venta futura</t>
  </si>
  <si>
    <t>20. Se incremento en 10% el valor de los activos fijos</t>
  </si>
  <si>
    <t>22. Se venden activos fijos por S/ 14,000</t>
  </si>
  <si>
    <t>Se pide: elaborar el Estado de Situación Financiera y el Estado de Resultados</t>
  </si>
  <si>
    <t>Efectivo y equivalente de efectivo</t>
  </si>
  <si>
    <t>(1) Efectivo y Equivalente de Efectivo</t>
  </si>
  <si>
    <t>Efectivo y Equivalente de efectivo</t>
  </si>
  <si>
    <t>9. Se solicita un préstamo al Banco de Crédito por S/ 30,000 con una tasa de interés del 10%, el préstamo</t>
  </si>
  <si>
    <t>21. Se recibió una donación por S/ 5,000</t>
  </si>
  <si>
    <t>ESF</t>
  </si>
  <si>
    <t>PAT</t>
  </si>
  <si>
    <t>ER</t>
  </si>
  <si>
    <t>TOTAL DEBE</t>
  </si>
  <si>
    <t>TOTAL HABER</t>
  </si>
  <si>
    <t>Inmueble maquinaria y equipo</t>
  </si>
  <si>
    <t>IDC</t>
  </si>
  <si>
    <t>Saldo D</t>
  </si>
  <si>
    <t>Saldo A</t>
  </si>
  <si>
    <t>Utilidad Bruta</t>
  </si>
  <si>
    <t>Depreciación y amortización</t>
  </si>
  <si>
    <t>Otros egresos e ingresos diversos</t>
  </si>
  <si>
    <t>Utilidad antes de impuesto</t>
  </si>
  <si>
    <t>VENTAS</t>
  </si>
  <si>
    <t>COSTO VENTAS</t>
  </si>
  <si>
    <t>GASTOS</t>
  </si>
  <si>
    <t>Pasivo/Gasto</t>
  </si>
  <si>
    <t>1. Se compró un edificio por S/ 300,000, se pagó la mitad en efectivo y el resto se pagará en letras</t>
  </si>
  <si>
    <t>Mateo Quispe</t>
  </si>
  <si>
    <t>S/</t>
  </si>
  <si>
    <t>Martha Morales</t>
  </si>
  <si>
    <t>%</t>
  </si>
  <si>
    <t>Pablo Mamani</t>
  </si>
  <si>
    <t>Nuevo socio</t>
  </si>
  <si>
    <t>Socio 1</t>
  </si>
  <si>
    <t>Socio 2</t>
  </si>
  <si>
    <t>Socio 3</t>
  </si>
  <si>
    <t>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</si>
</sst>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0.0%"/>
  </numFmts>
  <fonts count="18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12"/>
      <color indexed="18"/>
      <name val="Arial"/>
      <family val="2"/>
    </font>
    <font>
      <b/>
      <sz val="10"/>
      <name val="Arial"/>
      <family val="2"/>
    </font>
    <font>
      <b/>
      <sz val="14"/>
      <color indexed="18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62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theme="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/>
    <xf numFmtId="0" fontId="5" fillId="0" borderId="0" xfId="0" applyFont="1"/>
    <xf numFmtId="9" fontId="5" fillId="0" borderId="0" xfId="1" applyFont="1"/>
    <xf numFmtId="0" fontId="0" fillId="0" borderId="0" xfId="0" applyFill="1"/>
    <xf numFmtId="3" fontId="5" fillId="0" borderId="0" xfId="0" applyNumberFormat="1" applyFont="1"/>
    <xf numFmtId="3" fontId="1" fillId="0" borderId="0" xfId="0" applyNumberFormat="1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0" fillId="0" borderId="0" xfId="0" applyFont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0" xfId="0" applyFont="1"/>
    <xf numFmtId="0" fontId="13" fillId="0" borderId="0" xfId="0" applyFont="1"/>
    <xf numFmtId="0" fontId="1" fillId="0" borderId="0" xfId="0" applyFont="1"/>
    <xf numFmtId="3" fontId="1" fillId="0" borderId="0" xfId="0" applyNumberFormat="1" applyFont="1" applyAlignment="1">
      <alignment horizontal="center"/>
    </xf>
    <xf numFmtId="0" fontId="10" fillId="0" borderId="0" xfId="0" applyFont="1" applyFill="1"/>
    <xf numFmtId="0" fontId="10" fillId="0" borderId="0" xfId="0" applyFont="1" applyAlignment="1">
      <alignment horizontal="center"/>
    </xf>
    <xf numFmtId="3" fontId="14" fillId="0" borderId="0" xfId="0" applyNumberFormat="1" applyFont="1"/>
    <xf numFmtId="0" fontId="10" fillId="0" borderId="0" xfId="0" applyFont="1" applyAlignment="1">
      <alignment horizontal="left"/>
    </xf>
    <xf numFmtId="0" fontId="0" fillId="5" borderId="0" xfId="0" applyFill="1"/>
    <xf numFmtId="3" fontId="1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left"/>
    </xf>
    <xf numFmtId="0" fontId="6" fillId="5" borderId="0" xfId="0" applyFont="1" applyFill="1" applyBorder="1" applyAlignment="1"/>
    <xf numFmtId="3" fontId="0" fillId="5" borderId="0" xfId="0" applyNumberFormat="1" applyFill="1"/>
    <xf numFmtId="0" fontId="2" fillId="5" borderId="0" xfId="0" applyFont="1" applyFill="1"/>
    <xf numFmtId="3" fontId="4" fillId="0" borderId="4" xfId="0" applyNumberFormat="1" applyFont="1" applyBorder="1"/>
    <xf numFmtId="3" fontId="3" fillId="0" borderId="4" xfId="0" applyNumberFormat="1" applyFont="1" applyBorder="1"/>
    <xf numFmtId="0" fontId="0" fillId="0" borderId="4" xfId="0" applyBorder="1"/>
    <xf numFmtId="3" fontId="0" fillId="0" borderId="4" xfId="0" applyNumberFormat="1" applyBorder="1"/>
    <xf numFmtId="0" fontId="4" fillId="0" borderId="4" xfId="0" applyFont="1" applyBorder="1"/>
    <xf numFmtId="0" fontId="3" fillId="0" borderId="4" xfId="0" applyFont="1" applyBorder="1"/>
    <xf numFmtId="0" fontId="2" fillId="0" borderId="4" xfId="0" applyFont="1" applyBorder="1"/>
    <xf numFmtId="3" fontId="4" fillId="5" borderId="0" xfId="0" applyNumberFormat="1" applyFont="1" applyFill="1"/>
    <xf numFmtId="0" fontId="3" fillId="0" borderId="5" xfId="0" applyFont="1" applyBorder="1"/>
    <xf numFmtId="3" fontId="4" fillId="0" borderId="6" xfId="0" applyNumberFormat="1" applyFont="1" applyBorder="1"/>
    <xf numFmtId="0" fontId="0" fillId="0" borderId="7" xfId="0" applyBorder="1"/>
    <xf numFmtId="3" fontId="4" fillId="0" borderId="8" xfId="0" applyNumberFormat="1" applyFont="1" applyBorder="1"/>
    <xf numFmtId="3" fontId="3" fillId="0" borderId="5" xfId="0" applyNumberFormat="1" applyFont="1" applyBorder="1"/>
    <xf numFmtId="0" fontId="5" fillId="5" borderId="0" xfId="0" applyFont="1" applyFill="1"/>
    <xf numFmtId="0" fontId="4" fillId="0" borderId="8" xfId="0" applyFont="1" applyBorder="1"/>
    <xf numFmtId="3" fontId="4" fillId="8" borderId="4" xfId="0" applyNumberFormat="1" applyFont="1" applyFill="1" applyBorder="1"/>
    <xf numFmtId="0" fontId="0" fillId="8" borderId="4" xfId="0" applyFill="1" applyBorder="1"/>
    <xf numFmtId="9" fontId="2" fillId="5" borderId="0" xfId="1" applyFont="1" applyFill="1"/>
    <xf numFmtId="3" fontId="2" fillId="5" borderId="0" xfId="0" applyNumberFormat="1" applyFont="1" applyFill="1"/>
    <xf numFmtId="9" fontId="5" fillId="5" borderId="0" xfId="1" applyFont="1" applyFill="1"/>
    <xf numFmtId="0" fontId="14" fillId="0" borderId="0" xfId="0" applyFont="1" applyFill="1"/>
    <xf numFmtId="0" fontId="5" fillId="0" borderId="0" xfId="0" applyFont="1" applyFill="1"/>
    <xf numFmtId="3" fontId="10" fillId="0" borderId="0" xfId="0" applyNumberFormat="1" applyFont="1" applyFill="1"/>
    <xf numFmtId="3" fontId="5" fillId="0" borderId="0" xfId="0" applyNumberFormat="1" applyFont="1" applyFill="1"/>
    <xf numFmtId="3" fontId="14" fillId="0" borderId="0" xfId="0" applyNumberFormat="1" applyFont="1" applyAlignment="1">
      <alignment horizontal="left"/>
    </xf>
    <xf numFmtId="0" fontId="14" fillId="0" borderId="0" xfId="0" applyFont="1"/>
    <xf numFmtId="3" fontId="10" fillId="0" borderId="12" xfId="0" applyNumberFormat="1" applyFont="1" applyBorder="1"/>
    <xf numFmtId="3" fontId="1" fillId="0" borderId="12" xfId="0" applyNumberFormat="1" applyFont="1" applyBorder="1"/>
    <xf numFmtId="3" fontId="9" fillId="0" borderId="0" xfId="0" applyNumberFormat="1" applyFont="1" applyFill="1" applyAlignment="1">
      <alignment horizontal="center"/>
    </xf>
    <xf numFmtId="3" fontId="14" fillId="0" borderId="0" xfId="0" applyNumberFormat="1" applyFont="1" applyFill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/>
    <xf numFmtId="3" fontId="15" fillId="0" borderId="0" xfId="0" applyNumberFormat="1" applyFont="1" applyFill="1" applyAlignment="1">
      <alignment horizontal="center"/>
    </xf>
    <xf numFmtId="3" fontId="10" fillId="0" borderId="0" xfId="0" applyNumberFormat="1" applyFont="1" applyAlignment="1">
      <alignment horizontal="right"/>
    </xf>
    <xf numFmtId="3" fontId="10" fillId="0" borderId="0" xfId="0" applyNumberFormat="1" applyFont="1" applyFill="1" applyAlignment="1">
      <alignment horizontal="right"/>
    </xf>
    <xf numFmtId="3" fontId="10" fillId="0" borderId="0" xfId="0" applyNumberFormat="1" applyFont="1" applyBorder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0" fontId="5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/>
    <xf numFmtId="3" fontId="0" fillId="0" borderId="12" xfId="0" applyNumberFormat="1" applyBorder="1"/>
    <xf numFmtId="0" fontId="0" fillId="0" borderId="12" xfId="0" applyBorder="1"/>
    <xf numFmtId="0" fontId="5" fillId="9" borderId="9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right"/>
    </xf>
    <xf numFmtId="0" fontId="5" fillId="9" borderId="10" xfId="0" applyFont="1" applyFill="1" applyBorder="1" applyAlignment="1">
      <alignment horizontal="right"/>
    </xf>
    <xf numFmtId="3" fontId="16" fillId="10" borderId="0" xfId="0" applyNumberFormat="1" applyFont="1" applyFill="1"/>
    <xf numFmtId="0" fontId="14" fillId="0" borderId="0" xfId="0" applyFont="1" applyFill="1" applyBorder="1"/>
    <xf numFmtId="3" fontId="14" fillId="0" borderId="0" xfId="0" applyNumberFormat="1" applyFont="1" applyAlignment="1">
      <alignment horizontal="center"/>
    </xf>
    <xf numFmtId="3" fontId="17" fillId="0" borderId="4" xfId="0" applyNumberFormat="1" applyFont="1" applyBorder="1"/>
    <xf numFmtId="0" fontId="10" fillId="0" borderId="0" xfId="0" applyFont="1" applyBorder="1"/>
    <xf numFmtId="0" fontId="14" fillId="0" borderId="0" xfId="0" applyFont="1" applyFill="1" applyBorder="1" applyAlignment="1">
      <alignment horizontal="center"/>
    </xf>
    <xf numFmtId="0" fontId="0" fillId="11" borderId="0" xfId="0" applyFill="1"/>
    <xf numFmtId="0" fontId="3" fillId="3" borderId="4" xfId="0" applyFont="1" applyFill="1" applyBorder="1" applyAlignment="1">
      <alignment horizontal="center"/>
    </xf>
    <xf numFmtId="3" fontId="3" fillId="7" borderId="4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0" fontId="12" fillId="0" borderId="13" xfId="0" applyFont="1" applyBorder="1"/>
    <xf numFmtId="0" fontId="8" fillId="0" borderId="14" xfId="0" applyFont="1" applyBorder="1"/>
    <xf numFmtId="0" fontId="8" fillId="0" borderId="9" xfId="0" applyFont="1" applyBorder="1"/>
    <xf numFmtId="0" fontId="4" fillId="0" borderId="4" xfId="0" applyFont="1" applyBorder="1" applyAlignment="1">
      <alignment horizontal="left"/>
    </xf>
    <xf numFmtId="164" fontId="2" fillId="0" borderId="4" xfId="0" applyNumberFormat="1" applyFont="1" applyBorder="1"/>
    <xf numFmtId="164" fontId="2" fillId="0" borderId="4" xfId="0" applyNumberFormat="1" applyFont="1" applyFill="1" applyBorder="1"/>
    <xf numFmtId="164" fontId="2" fillId="2" borderId="4" xfId="0" applyNumberFormat="1" applyFont="1" applyFill="1" applyBorder="1"/>
    <xf numFmtId="164" fontId="2" fillId="8" borderId="4" xfId="0" applyNumberFormat="1" applyFont="1" applyFill="1" applyBorder="1"/>
    <xf numFmtId="0" fontId="4" fillId="2" borderId="4" xfId="0" applyFont="1" applyFill="1" applyBorder="1" applyAlignment="1">
      <alignment horizontal="right"/>
    </xf>
    <xf numFmtId="0" fontId="1" fillId="11" borderId="0" xfId="0" applyFont="1" applyFill="1"/>
    <xf numFmtId="0" fontId="5" fillId="11" borderId="0" xfId="0" applyFont="1" applyFill="1"/>
    <xf numFmtId="0" fontId="2" fillId="12" borderId="9" xfId="0" applyFont="1" applyFill="1" applyBorder="1" applyAlignment="1">
      <alignment horizontal="center"/>
    </xf>
    <xf numFmtId="0" fontId="1" fillId="12" borderId="11" xfId="0" applyFont="1" applyFill="1" applyBorder="1"/>
    <xf numFmtId="0" fontId="2" fillId="12" borderId="11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right"/>
    </xf>
    <xf numFmtId="0" fontId="2" fillId="12" borderId="10" xfId="0" applyFont="1" applyFill="1" applyBorder="1" applyAlignment="1">
      <alignment horizontal="right"/>
    </xf>
    <xf numFmtId="0" fontId="10" fillId="12" borderId="0" xfId="0" applyFont="1" applyFill="1"/>
    <xf numFmtId="3" fontId="15" fillId="12" borderId="0" xfId="0" applyNumberFormat="1" applyFont="1" applyFill="1" applyAlignment="1">
      <alignment horizontal="center"/>
    </xf>
    <xf numFmtId="3" fontId="10" fillId="12" borderId="0" xfId="0" applyNumberFormat="1" applyFont="1" applyFill="1"/>
    <xf numFmtId="0" fontId="1" fillId="12" borderId="0" xfId="0" applyFont="1" applyFill="1"/>
    <xf numFmtId="3" fontId="2" fillId="12" borderId="0" xfId="0" applyNumberFormat="1" applyFont="1" applyFill="1" applyAlignment="1">
      <alignment horizontal="center"/>
    </xf>
    <xf numFmtId="3" fontId="10" fillId="12" borderId="0" xfId="0" applyNumberFormat="1" applyFont="1" applyFill="1" applyAlignment="1">
      <alignment horizontal="left"/>
    </xf>
    <xf numFmtId="3" fontId="5" fillId="12" borderId="0" xfId="0" applyNumberFormat="1" applyFont="1" applyFill="1"/>
    <xf numFmtId="0" fontId="1" fillId="0" borderId="0" xfId="0" applyFont="1" applyBorder="1"/>
    <xf numFmtId="3" fontId="1" fillId="0" borderId="0" xfId="0" applyNumberFormat="1" applyFont="1" applyBorder="1"/>
    <xf numFmtId="3" fontId="14" fillId="0" borderId="0" xfId="0" applyNumberFormat="1" applyFont="1" applyBorder="1" applyAlignment="1">
      <alignment horizontal="left"/>
    </xf>
    <xf numFmtId="3" fontId="1" fillId="0" borderId="0" xfId="0" applyNumberFormat="1" applyFont="1" applyBorder="1" applyAlignment="1">
      <alignment horizontal="left"/>
    </xf>
    <xf numFmtId="0" fontId="14" fillId="0" borderId="0" xfId="0" applyFont="1" applyBorder="1"/>
    <xf numFmtId="3" fontId="10" fillId="0" borderId="0" xfId="0" applyNumberFormat="1" applyFont="1" applyFill="1" applyBorder="1"/>
    <xf numFmtId="3" fontId="14" fillId="0" borderId="0" xfId="0" applyNumberFormat="1" applyFont="1" applyFill="1" applyBorder="1" applyAlignment="1">
      <alignment horizontal="left"/>
    </xf>
    <xf numFmtId="3" fontId="10" fillId="0" borderId="0" xfId="0" applyNumberFormat="1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3" fontId="14" fillId="0" borderId="0" xfId="0" applyNumberFormat="1" applyFont="1" applyBorder="1"/>
    <xf numFmtId="0" fontId="0" fillId="0" borderId="0" xfId="0" applyBorder="1"/>
    <xf numFmtId="0" fontId="10" fillId="0" borderId="0" xfId="0" applyFont="1" applyBorder="1" applyAlignment="1">
      <alignment horizontal="left"/>
    </xf>
    <xf numFmtId="3" fontId="10" fillId="0" borderId="0" xfId="0" applyNumberFormat="1" applyFont="1" applyFill="1" applyBorder="1" applyAlignment="1">
      <alignment horizontal="right"/>
    </xf>
    <xf numFmtId="3" fontId="10" fillId="0" borderId="0" xfId="0" applyNumberFormat="1" applyFont="1" applyBorder="1" applyAlignment="1">
      <alignment horizontal="right"/>
    </xf>
    <xf numFmtId="0" fontId="5" fillId="12" borderId="0" xfId="0" applyFont="1" applyFill="1" applyBorder="1" applyAlignment="1">
      <alignment horizontal="center"/>
    </xf>
    <xf numFmtId="0" fontId="5" fillId="12" borderId="0" xfId="0" applyFont="1" applyFill="1" applyBorder="1" applyAlignment="1">
      <alignment horizontal="right"/>
    </xf>
    <xf numFmtId="0" fontId="16" fillId="0" borderId="0" xfId="0" applyFont="1"/>
    <xf numFmtId="0" fontId="5" fillId="12" borderId="4" xfId="0" applyFont="1" applyFill="1" applyBorder="1"/>
    <xf numFmtId="0" fontId="0" fillId="12" borderId="4" xfId="0" applyFill="1" applyBorder="1"/>
    <xf numFmtId="0" fontId="5" fillId="12" borderId="4" xfId="0" applyFont="1" applyFill="1" applyBorder="1" applyAlignment="1">
      <alignment horizontal="right"/>
    </xf>
    <xf numFmtId="0" fontId="0" fillId="0" borderId="0" xfId="0" applyFont="1" applyFill="1"/>
    <xf numFmtId="0" fontId="5" fillId="12" borderId="0" xfId="0" applyFont="1" applyFill="1"/>
    <xf numFmtId="0" fontId="4" fillId="2" borderId="4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4" fillId="12" borderId="4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4" xfId="0" applyFont="1" applyFill="1" applyBorder="1"/>
    <xf numFmtId="3" fontId="17" fillId="12" borderId="6" xfId="0" applyNumberFormat="1" applyFont="1" applyFill="1" applyBorder="1"/>
    <xf numFmtId="3" fontId="4" fillId="12" borderId="4" xfId="0" applyNumberFormat="1" applyFont="1" applyFill="1" applyBorder="1" applyAlignment="1">
      <alignment horizontal="center"/>
    </xf>
    <xf numFmtId="3" fontId="4" fillId="12" borderId="4" xfId="0" applyNumberFormat="1" applyFont="1" applyFill="1" applyBorder="1"/>
    <xf numFmtId="0" fontId="6" fillId="2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3" fontId="0" fillId="11" borderId="0" xfId="0" applyNumberFormat="1" applyFill="1" applyAlignment="1">
      <alignment horizontal="center"/>
    </xf>
    <xf numFmtId="165" fontId="0" fillId="11" borderId="0" xfId="1" applyNumberFormat="1" applyFont="1" applyFill="1" applyAlignment="1">
      <alignment horizontal="center"/>
    </xf>
    <xf numFmtId="3" fontId="5" fillId="11" borderId="0" xfId="0" applyNumberFormat="1" applyFont="1" applyFill="1" applyAlignment="1">
      <alignment horizontal="center"/>
    </xf>
    <xf numFmtId="165" fontId="5" fillId="11" borderId="0" xfId="1" applyNumberFormat="1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</xdr:row>
      <xdr:rowOff>0</xdr:rowOff>
    </xdr:from>
    <xdr:to>
      <xdr:col>1</xdr:col>
      <xdr:colOff>0</xdr:colOff>
      <xdr:row>25</xdr:row>
      <xdr:rowOff>85725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617CE1D1-4396-4830-AFCE-5E5DD9D64E52}"/>
            </a:ext>
          </a:extLst>
        </xdr:cNvPr>
        <xdr:cNvSpPr txBox="1">
          <a:spLocks noChangeArrowheads="1"/>
        </xdr:cNvSpPr>
      </xdr:nvSpPr>
      <xdr:spPr bwMode="auto">
        <a:xfrm>
          <a:off x="95250" y="1743075"/>
          <a:ext cx="1924050" cy="2524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El señor Mateo Quispe aportó S/ 600,000 en efectivo. La Sra. Martha Morales dio mobiliario valorizado en S/ 150,000 y una patente en S/ 35,000, el señor Pablo Mamaní aportó un inmueble valorizado en S/ 200,000.</a:t>
          </a:r>
        </a:p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Se solicito un préstamo de un año al Banco Sur por S/ 600,000 a una tasa del 10% anual y la constitución de la empresa costo S/ 5,000.</a:t>
          </a:r>
        </a:p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Se compro a cuenta a la empresa ABC Corporation SAC mercaderías por S/ 56,000</a:t>
          </a:r>
        </a:p>
        <a:p>
          <a:pPr algn="l" rtl="1">
            <a:defRPr sz="1000"/>
          </a:pPr>
          <a:endParaRPr lang="es-PE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47625</xdr:colOff>
      <xdr:row>26</xdr:row>
      <xdr:rowOff>95250</xdr:rowOff>
    </xdr:from>
    <xdr:to>
      <xdr:col>1</xdr:col>
      <xdr:colOff>0</xdr:colOff>
      <xdr:row>30</xdr:row>
      <xdr:rowOff>85725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0A007A37-9B09-4274-A6AB-C25789CB23E7}"/>
            </a:ext>
          </a:extLst>
        </xdr:cNvPr>
        <xdr:cNvSpPr txBox="1">
          <a:spLocks noChangeArrowheads="1"/>
        </xdr:cNvSpPr>
      </xdr:nvSpPr>
      <xdr:spPr bwMode="auto">
        <a:xfrm>
          <a:off x="47625" y="4505325"/>
          <a:ext cx="1971675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1. Se compró un edificio en S/ 300,000, se pagó</a:t>
          </a:r>
          <a:r>
            <a:rPr lang="es-PE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la mitad en efectivo y el resto se pagará en letras.</a:t>
          </a:r>
        </a:p>
      </xdr:txBody>
    </xdr:sp>
    <xdr:clientData/>
  </xdr:twoCellAnchor>
  <xdr:twoCellAnchor>
    <xdr:from>
      <xdr:col>0</xdr:col>
      <xdr:colOff>38100</xdr:colOff>
      <xdr:row>31</xdr:row>
      <xdr:rowOff>57150</xdr:rowOff>
    </xdr:from>
    <xdr:to>
      <xdr:col>0</xdr:col>
      <xdr:colOff>2000250</xdr:colOff>
      <xdr:row>34</xdr:row>
      <xdr:rowOff>104775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C72DA3FD-1F85-4E22-8D6F-A20ADFC3246A}"/>
            </a:ext>
          </a:extLst>
        </xdr:cNvPr>
        <xdr:cNvSpPr txBox="1">
          <a:spLocks noChangeArrowheads="1"/>
        </xdr:cNvSpPr>
      </xdr:nvSpPr>
      <xdr:spPr bwMode="auto">
        <a:xfrm>
          <a:off x="38100" y="5353050"/>
          <a:ext cx="196215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2. Se Compró mercadería por S/ 600,000 al contado pagando el 18% adicional  por IGV.</a:t>
          </a:r>
        </a:p>
      </xdr:txBody>
    </xdr:sp>
    <xdr:clientData/>
  </xdr:twoCellAnchor>
  <xdr:twoCellAnchor editAs="oneCell">
    <xdr:from>
      <xdr:col>0</xdr:col>
      <xdr:colOff>1609725</xdr:colOff>
      <xdr:row>26</xdr:row>
      <xdr:rowOff>38100</xdr:rowOff>
    </xdr:from>
    <xdr:to>
      <xdr:col>0</xdr:col>
      <xdr:colOff>1676400</xdr:colOff>
      <xdr:row>27</xdr:row>
      <xdr:rowOff>66675</xdr:rowOff>
    </xdr:to>
    <xdr:sp macro="" textlink="">
      <xdr:nvSpPr>
        <xdr:cNvPr id="11558" name="Text Box 4">
          <a:extLst>
            <a:ext uri="{FF2B5EF4-FFF2-40B4-BE49-F238E27FC236}">
              <a16:creationId xmlns:a16="http://schemas.microsoft.com/office/drawing/2014/main" id="{8FA9E06B-200F-404B-AC3C-D9025DC670A1}"/>
            </a:ext>
          </a:extLst>
        </xdr:cNvPr>
        <xdr:cNvSpPr txBox="1">
          <a:spLocks noChangeArrowheads="1"/>
        </xdr:cNvSpPr>
      </xdr:nvSpPr>
      <xdr:spPr bwMode="auto">
        <a:xfrm>
          <a:off x="1609725" y="444817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76200</xdr:colOff>
      <xdr:row>37</xdr:row>
      <xdr:rowOff>9525</xdr:rowOff>
    </xdr:from>
    <xdr:to>
      <xdr:col>2</xdr:col>
      <xdr:colOff>19050</xdr:colOff>
      <xdr:row>42</xdr:row>
      <xdr:rowOff>0</xdr:rowOff>
    </xdr:to>
    <xdr:sp macro="" textlink="">
      <xdr:nvSpPr>
        <xdr:cNvPr id="2053" name="Text Box 5">
          <a:extLst>
            <a:ext uri="{FF2B5EF4-FFF2-40B4-BE49-F238E27FC236}">
              <a16:creationId xmlns:a16="http://schemas.microsoft.com/office/drawing/2014/main" id="{F92F4FFC-DF36-47CE-A43A-E57BC8FCA504}"/>
            </a:ext>
          </a:extLst>
        </xdr:cNvPr>
        <xdr:cNvSpPr txBox="1">
          <a:spLocks noChangeArrowheads="1"/>
        </xdr:cNvSpPr>
      </xdr:nvSpPr>
      <xdr:spPr bwMode="auto">
        <a:xfrm>
          <a:off x="76200" y="6353175"/>
          <a:ext cx="1962150" cy="800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3. Se vendió mercadería por S/ 400,000, todo al crédito, cobrá el 18 % por IGV.</a:t>
          </a:r>
          <a:r>
            <a:rPr lang="es-PE" sz="1000" b="0" i="0" strike="noStrike" baseline="0">
              <a:solidFill>
                <a:srgbClr val="000000"/>
              </a:solidFill>
              <a:latin typeface="Arial"/>
              <a:cs typeface="Arial"/>
            </a:rPr>
            <a:t> Su costo fue S/ 350,000</a:t>
          </a:r>
          <a:endParaRPr lang="es-PE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57150</xdr:colOff>
      <xdr:row>46</xdr:row>
      <xdr:rowOff>19050</xdr:rowOff>
    </xdr:from>
    <xdr:to>
      <xdr:col>0</xdr:col>
      <xdr:colOff>1990725</xdr:colOff>
      <xdr:row>50</xdr:row>
      <xdr:rowOff>47625</xdr:rowOff>
    </xdr:to>
    <xdr:sp macro="" textlink="">
      <xdr:nvSpPr>
        <xdr:cNvPr id="2054" name="Text Box 6">
          <a:extLst>
            <a:ext uri="{FF2B5EF4-FFF2-40B4-BE49-F238E27FC236}">
              <a16:creationId xmlns:a16="http://schemas.microsoft.com/office/drawing/2014/main" id="{D86F3702-E6F5-4AFE-8E15-63082B3FD649}"/>
            </a:ext>
          </a:extLst>
        </xdr:cNvPr>
        <xdr:cNvSpPr txBox="1">
          <a:spLocks noChangeArrowheads="1"/>
        </xdr:cNvSpPr>
      </xdr:nvSpPr>
      <xdr:spPr bwMode="auto">
        <a:xfrm>
          <a:off x="57150" y="7867650"/>
          <a:ext cx="19335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4. Se pagaron luz eléctrica, agua y telefonía fija S/ 300, S/ 200 y S/ 450 respectivamente, adicionar el IGV.</a:t>
          </a:r>
        </a:p>
      </xdr:txBody>
    </xdr:sp>
    <xdr:clientData/>
  </xdr:twoCellAnchor>
  <xdr:twoCellAnchor>
    <xdr:from>
      <xdr:col>0</xdr:col>
      <xdr:colOff>19050</xdr:colOff>
      <xdr:row>55</xdr:row>
      <xdr:rowOff>57149</xdr:rowOff>
    </xdr:from>
    <xdr:to>
      <xdr:col>0</xdr:col>
      <xdr:colOff>1952625</xdr:colOff>
      <xdr:row>58</xdr:row>
      <xdr:rowOff>123825</xdr:rowOff>
    </xdr:to>
    <xdr:sp macro="" textlink="">
      <xdr:nvSpPr>
        <xdr:cNvPr id="2055" name="Text Box 7">
          <a:extLst>
            <a:ext uri="{FF2B5EF4-FFF2-40B4-BE49-F238E27FC236}">
              <a16:creationId xmlns:a16="http://schemas.microsoft.com/office/drawing/2014/main" id="{F5ABCC18-E348-42F0-B96A-311F74B554FA}"/>
            </a:ext>
          </a:extLst>
        </xdr:cNvPr>
        <xdr:cNvSpPr txBox="1">
          <a:spLocks noChangeArrowheads="1"/>
        </xdr:cNvSpPr>
      </xdr:nvSpPr>
      <xdr:spPr bwMode="auto">
        <a:xfrm>
          <a:off x="19050" y="9439274"/>
          <a:ext cx="1933575" cy="5619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5. Se paga la planilla de los trabajadores por el mes en S/ 8,000.</a:t>
          </a:r>
        </a:p>
      </xdr:txBody>
    </xdr:sp>
    <xdr:clientData/>
  </xdr:twoCellAnchor>
  <xdr:twoCellAnchor>
    <xdr:from>
      <xdr:col>0</xdr:col>
      <xdr:colOff>47624</xdr:colOff>
      <xdr:row>59</xdr:row>
      <xdr:rowOff>66675</xdr:rowOff>
    </xdr:from>
    <xdr:to>
      <xdr:col>0</xdr:col>
      <xdr:colOff>2019299</xdr:colOff>
      <xdr:row>63</xdr:row>
      <xdr:rowOff>85725</xdr:rowOff>
    </xdr:to>
    <xdr:sp macro="" textlink="">
      <xdr:nvSpPr>
        <xdr:cNvPr id="2056" name="Text Box 8">
          <a:extLst>
            <a:ext uri="{FF2B5EF4-FFF2-40B4-BE49-F238E27FC236}">
              <a16:creationId xmlns:a16="http://schemas.microsoft.com/office/drawing/2014/main" id="{BE22168F-8316-48F9-ACB5-EC40056225D3}"/>
            </a:ext>
          </a:extLst>
        </xdr:cNvPr>
        <xdr:cNvSpPr txBox="1">
          <a:spLocks noChangeArrowheads="1"/>
        </xdr:cNvSpPr>
      </xdr:nvSpPr>
      <xdr:spPr bwMode="auto">
        <a:xfrm>
          <a:off x="47624" y="10172700"/>
          <a:ext cx="19716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6. Se pagan los tributos por S/ 5,000 en efectivo y una multa puesta por la SUNAT  por S/ 1,500.</a:t>
          </a:r>
        </a:p>
      </xdr:txBody>
    </xdr:sp>
    <xdr:clientData/>
  </xdr:twoCellAnchor>
  <xdr:twoCellAnchor>
    <xdr:from>
      <xdr:col>0</xdr:col>
      <xdr:colOff>28575</xdr:colOff>
      <xdr:row>65</xdr:row>
      <xdr:rowOff>66674</xdr:rowOff>
    </xdr:from>
    <xdr:to>
      <xdr:col>1</xdr:col>
      <xdr:colOff>0</xdr:colOff>
      <xdr:row>68</xdr:row>
      <xdr:rowOff>0</xdr:rowOff>
    </xdr:to>
    <xdr:sp macro="" textlink="">
      <xdr:nvSpPr>
        <xdr:cNvPr id="2057" name="Text Box 9">
          <a:extLst>
            <a:ext uri="{FF2B5EF4-FFF2-40B4-BE49-F238E27FC236}">
              <a16:creationId xmlns:a16="http://schemas.microsoft.com/office/drawing/2014/main" id="{ADE528B3-40BF-4F73-952B-395192F2EFAF}"/>
            </a:ext>
          </a:extLst>
        </xdr:cNvPr>
        <xdr:cNvSpPr txBox="1">
          <a:spLocks noChangeArrowheads="1"/>
        </xdr:cNvSpPr>
      </xdr:nvSpPr>
      <xdr:spPr bwMode="auto">
        <a:xfrm>
          <a:off x="28575" y="11220449"/>
          <a:ext cx="1990725" cy="4286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7. Pagamos seguros adelantados por S/ 4,000.</a:t>
          </a:r>
        </a:p>
      </xdr:txBody>
    </xdr:sp>
    <xdr:clientData/>
  </xdr:twoCellAnchor>
  <xdr:twoCellAnchor>
    <xdr:from>
      <xdr:col>0</xdr:col>
      <xdr:colOff>38100</xdr:colOff>
      <xdr:row>69</xdr:row>
      <xdr:rowOff>114299</xdr:rowOff>
    </xdr:from>
    <xdr:to>
      <xdr:col>1</xdr:col>
      <xdr:colOff>0</xdr:colOff>
      <xdr:row>72</xdr:row>
      <xdr:rowOff>114299</xdr:rowOff>
    </xdr:to>
    <xdr:sp macro="" textlink="">
      <xdr:nvSpPr>
        <xdr:cNvPr id="2058" name="Text Box 10">
          <a:extLst>
            <a:ext uri="{FF2B5EF4-FFF2-40B4-BE49-F238E27FC236}">
              <a16:creationId xmlns:a16="http://schemas.microsoft.com/office/drawing/2014/main" id="{FBF3850D-0AE9-441F-8E16-160BA28FE96B}"/>
            </a:ext>
          </a:extLst>
        </xdr:cNvPr>
        <xdr:cNvSpPr txBox="1">
          <a:spLocks noChangeArrowheads="1"/>
        </xdr:cNvSpPr>
      </xdr:nvSpPr>
      <xdr:spPr bwMode="auto">
        <a:xfrm>
          <a:off x="38100" y="11991974"/>
          <a:ext cx="19812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8. Compramos útiles de escritorio por S/ 400, adicionar el IGV.</a:t>
          </a:r>
        </a:p>
      </xdr:txBody>
    </xdr:sp>
    <xdr:clientData/>
  </xdr:twoCellAnchor>
  <xdr:twoCellAnchor>
    <xdr:from>
      <xdr:col>0</xdr:col>
      <xdr:colOff>28575</xdr:colOff>
      <xdr:row>74</xdr:row>
      <xdr:rowOff>171450</xdr:rowOff>
    </xdr:from>
    <xdr:to>
      <xdr:col>0</xdr:col>
      <xdr:colOff>2009775</xdr:colOff>
      <xdr:row>80</xdr:row>
      <xdr:rowOff>38100</xdr:rowOff>
    </xdr:to>
    <xdr:sp macro="" textlink="">
      <xdr:nvSpPr>
        <xdr:cNvPr id="2059" name="Text Box 11">
          <a:extLst>
            <a:ext uri="{FF2B5EF4-FFF2-40B4-BE49-F238E27FC236}">
              <a16:creationId xmlns:a16="http://schemas.microsoft.com/office/drawing/2014/main" id="{9C593BA0-7BE3-42BE-BEDD-42EFEF5626AB}"/>
            </a:ext>
          </a:extLst>
        </xdr:cNvPr>
        <xdr:cNvSpPr txBox="1">
          <a:spLocks noChangeArrowheads="1"/>
        </xdr:cNvSpPr>
      </xdr:nvSpPr>
      <xdr:spPr bwMode="auto">
        <a:xfrm>
          <a:off x="28575" y="12868275"/>
          <a:ext cx="198120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9. Se  solicita un  préstamo  al  Banco  de  Crédito  por S/ 30,000 con una tasa de interés del 10 % anual, el préstamo  se pagará en un año.</a:t>
          </a:r>
        </a:p>
      </xdr:txBody>
    </xdr:sp>
    <xdr:clientData/>
  </xdr:twoCellAnchor>
  <xdr:twoCellAnchor>
    <xdr:from>
      <xdr:col>0</xdr:col>
      <xdr:colOff>47624</xdr:colOff>
      <xdr:row>81</xdr:row>
      <xdr:rowOff>57149</xdr:rowOff>
    </xdr:from>
    <xdr:to>
      <xdr:col>0</xdr:col>
      <xdr:colOff>1933575</xdr:colOff>
      <xdr:row>83</xdr:row>
      <xdr:rowOff>104775</xdr:rowOff>
    </xdr:to>
    <xdr:sp macro="" textlink="">
      <xdr:nvSpPr>
        <xdr:cNvPr id="2060" name="Text Box 12">
          <a:extLst>
            <a:ext uri="{FF2B5EF4-FFF2-40B4-BE49-F238E27FC236}">
              <a16:creationId xmlns:a16="http://schemas.microsoft.com/office/drawing/2014/main" id="{B235061C-5A05-4BF0-BED0-1CD6515B3B09}"/>
            </a:ext>
          </a:extLst>
        </xdr:cNvPr>
        <xdr:cNvSpPr txBox="1">
          <a:spLocks noChangeArrowheads="1"/>
        </xdr:cNvSpPr>
      </xdr:nvSpPr>
      <xdr:spPr bwMode="auto">
        <a:xfrm>
          <a:off x="47624" y="14001749"/>
          <a:ext cx="1885951" cy="3810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10. Se deprecio los activos fijos por S/ 35,000.</a:t>
          </a:r>
        </a:p>
      </xdr:txBody>
    </xdr:sp>
    <xdr:clientData/>
  </xdr:twoCellAnchor>
  <xdr:twoCellAnchor>
    <xdr:from>
      <xdr:col>0</xdr:col>
      <xdr:colOff>76200</xdr:colOff>
      <xdr:row>85</xdr:row>
      <xdr:rowOff>57150</xdr:rowOff>
    </xdr:from>
    <xdr:to>
      <xdr:col>0</xdr:col>
      <xdr:colOff>2000250</xdr:colOff>
      <xdr:row>88</xdr:row>
      <xdr:rowOff>171450</xdr:rowOff>
    </xdr:to>
    <xdr:sp macro="" textlink="">
      <xdr:nvSpPr>
        <xdr:cNvPr id="2061" name="Text Box 13">
          <a:extLst>
            <a:ext uri="{FF2B5EF4-FFF2-40B4-BE49-F238E27FC236}">
              <a16:creationId xmlns:a16="http://schemas.microsoft.com/office/drawing/2014/main" id="{BA6E6242-F253-41C9-B53E-284756CD4738}"/>
            </a:ext>
          </a:extLst>
        </xdr:cNvPr>
        <xdr:cNvSpPr txBox="1">
          <a:spLocks noChangeArrowheads="1"/>
        </xdr:cNvSpPr>
      </xdr:nvSpPr>
      <xdr:spPr bwMode="auto">
        <a:xfrm>
          <a:off x="76200" y="14725650"/>
          <a:ext cx="1924050" cy="609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11. Un nuevo socio ingresa a la empresa con el aporte de una patente valorizada en S/ 40,000.</a:t>
          </a:r>
        </a:p>
      </xdr:txBody>
    </xdr:sp>
    <xdr:clientData/>
  </xdr:twoCellAnchor>
  <xdr:twoCellAnchor>
    <xdr:from>
      <xdr:col>0</xdr:col>
      <xdr:colOff>47625</xdr:colOff>
      <xdr:row>89</xdr:row>
      <xdr:rowOff>85725</xdr:rowOff>
    </xdr:from>
    <xdr:to>
      <xdr:col>1</xdr:col>
      <xdr:colOff>0</xdr:colOff>
      <xdr:row>95</xdr:row>
      <xdr:rowOff>0</xdr:rowOff>
    </xdr:to>
    <xdr:sp macro="" textlink="">
      <xdr:nvSpPr>
        <xdr:cNvPr id="2062" name="Text Box 14">
          <a:extLst>
            <a:ext uri="{FF2B5EF4-FFF2-40B4-BE49-F238E27FC236}">
              <a16:creationId xmlns:a16="http://schemas.microsoft.com/office/drawing/2014/main" id="{52876367-830F-465F-900D-4A7E1B94CCE3}"/>
            </a:ext>
          </a:extLst>
        </xdr:cNvPr>
        <xdr:cNvSpPr txBox="1">
          <a:spLocks noChangeArrowheads="1"/>
        </xdr:cNvSpPr>
      </xdr:nvSpPr>
      <xdr:spPr bwMode="auto">
        <a:xfrm>
          <a:off x="47625" y="15478125"/>
          <a:ext cx="1971675" cy="895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12. Se provisiona S/ 24,000 por concepto de beneficios sociales, S/ 4,500 por desvalorización de mercaderías, S/ 6,000 por amortización de intangibles.  </a:t>
          </a:r>
        </a:p>
      </xdr:txBody>
    </xdr:sp>
    <xdr:clientData/>
  </xdr:twoCellAnchor>
  <xdr:twoCellAnchor>
    <xdr:from>
      <xdr:col>0</xdr:col>
      <xdr:colOff>28575</xdr:colOff>
      <xdr:row>97</xdr:row>
      <xdr:rowOff>104775</xdr:rowOff>
    </xdr:from>
    <xdr:to>
      <xdr:col>1</xdr:col>
      <xdr:colOff>0</xdr:colOff>
      <xdr:row>102</xdr:row>
      <xdr:rowOff>104775</xdr:rowOff>
    </xdr:to>
    <xdr:sp macro="" textlink="">
      <xdr:nvSpPr>
        <xdr:cNvPr id="2063" name="Text Box 15">
          <a:extLst>
            <a:ext uri="{FF2B5EF4-FFF2-40B4-BE49-F238E27FC236}">
              <a16:creationId xmlns:a16="http://schemas.microsoft.com/office/drawing/2014/main" id="{048A249F-A1CE-484A-A90F-29E16EBFBCE9}"/>
            </a:ext>
          </a:extLst>
        </xdr:cNvPr>
        <xdr:cNvSpPr txBox="1">
          <a:spLocks noChangeArrowheads="1"/>
        </xdr:cNvSpPr>
      </xdr:nvSpPr>
      <xdr:spPr bwMode="auto">
        <a:xfrm>
          <a:off x="28575" y="16868775"/>
          <a:ext cx="1990725" cy="819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13. Se adquirió mercadería por un valor de S/ 35,000. Este se pagó 50% al contado y 50% al crédito, pagándose adicionalmente el IGV.</a:t>
          </a:r>
        </a:p>
      </xdr:txBody>
    </xdr:sp>
    <xdr:clientData/>
  </xdr:twoCellAnchor>
  <xdr:twoCellAnchor>
    <xdr:from>
      <xdr:col>0</xdr:col>
      <xdr:colOff>28575</xdr:colOff>
      <xdr:row>104</xdr:row>
      <xdr:rowOff>66675</xdr:rowOff>
    </xdr:from>
    <xdr:to>
      <xdr:col>1</xdr:col>
      <xdr:colOff>0</xdr:colOff>
      <xdr:row>108</xdr:row>
      <xdr:rowOff>57150</xdr:rowOff>
    </xdr:to>
    <xdr:sp macro="" textlink="">
      <xdr:nvSpPr>
        <xdr:cNvPr id="2064" name="Text Box 16">
          <a:extLst>
            <a:ext uri="{FF2B5EF4-FFF2-40B4-BE49-F238E27FC236}">
              <a16:creationId xmlns:a16="http://schemas.microsoft.com/office/drawing/2014/main" id="{4BF4A493-1F79-4372-AF14-98B93258EC61}"/>
            </a:ext>
          </a:extLst>
        </xdr:cNvPr>
        <xdr:cNvSpPr txBox="1">
          <a:spLocks noChangeArrowheads="1"/>
        </xdr:cNvSpPr>
      </xdr:nvSpPr>
      <xdr:spPr bwMode="auto">
        <a:xfrm>
          <a:off x="28575" y="18040350"/>
          <a:ext cx="1990725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14. Se presta dinero por seis meses a una empresa por S/ 50,000 a un interés del 10 % anual.</a:t>
          </a:r>
        </a:p>
      </xdr:txBody>
    </xdr:sp>
    <xdr:clientData/>
  </xdr:twoCellAnchor>
  <xdr:twoCellAnchor>
    <xdr:from>
      <xdr:col>0</xdr:col>
      <xdr:colOff>38100</xdr:colOff>
      <xdr:row>110</xdr:row>
      <xdr:rowOff>76199</xdr:rowOff>
    </xdr:from>
    <xdr:to>
      <xdr:col>0</xdr:col>
      <xdr:colOff>1971675</xdr:colOff>
      <xdr:row>113</xdr:row>
      <xdr:rowOff>85725</xdr:rowOff>
    </xdr:to>
    <xdr:sp macro="" textlink="">
      <xdr:nvSpPr>
        <xdr:cNvPr id="2065" name="Text Box 17">
          <a:extLst>
            <a:ext uri="{FF2B5EF4-FFF2-40B4-BE49-F238E27FC236}">
              <a16:creationId xmlns:a16="http://schemas.microsoft.com/office/drawing/2014/main" id="{A412B95A-E2C0-4FF3-92A7-E72A7372E3AA}"/>
            </a:ext>
          </a:extLst>
        </xdr:cNvPr>
        <xdr:cNvSpPr txBox="1">
          <a:spLocks noChangeArrowheads="1"/>
        </xdr:cNvSpPr>
      </xdr:nvSpPr>
      <xdr:spPr bwMode="auto">
        <a:xfrm>
          <a:off x="38100" y="19097624"/>
          <a:ext cx="1933575" cy="5048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15. Se cobra a los clientes S/ 6,000.</a:t>
          </a:r>
        </a:p>
      </xdr:txBody>
    </xdr:sp>
    <xdr:clientData/>
  </xdr:twoCellAnchor>
  <xdr:twoCellAnchor>
    <xdr:from>
      <xdr:col>0</xdr:col>
      <xdr:colOff>66675</xdr:colOff>
      <xdr:row>114</xdr:row>
      <xdr:rowOff>57150</xdr:rowOff>
    </xdr:from>
    <xdr:to>
      <xdr:col>0</xdr:col>
      <xdr:colOff>2000250</xdr:colOff>
      <xdr:row>116</xdr:row>
      <xdr:rowOff>104775</xdr:rowOff>
    </xdr:to>
    <xdr:sp macro="" textlink="">
      <xdr:nvSpPr>
        <xdr:cNvPr id="2066" name="Text Box 18">
          <a:extLst>
            <a:ext uri="{FF2B5EF4-FFF2-40B4-BE49-F238E27FC236}">
              <a16:creationId xmlns:a16="http://schemas.microsoft.com/office/drawing/2014/main" id="{E8460F5A-2832-4608-8423-830E2F579905}"/>
            </a:ext>
          </a:extLst>
        </xdr:cNvPr>
        <xdr:cNvSpPr txBox="1">
          <a:spLocks noChangeArrowheads="1"/>
        </xdr:cNvSpPr>
      </xdr:nvSpPr>
      <xdr:spPr bwMode="auto">
        <a:xfrm>
          <a:off x="66675" y="19802475"/>
          <a:ext cx="1933575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16. Compramos bonos corporativos por S/ 9,000.</a:t>
          </a:r>
        </a:p>
      </xdr:txBody>
    </xdr:sp>
    <xdr:clientData/>
  </xdr:twoCellAnchor>
  <xdr:twoCellAnchor>
    <xdr:from>
      <xdr:col>0</xdr:col>
      <xdr:colOff>19050</xdr:colOff>
      <xdr:row>118</xdr:row>
      <xdr:rowOff>104775</xdr:rowOff>
    </xdr:from>
    <xdr:to>
      <xdr:col>1</xdr:col>
      <xdr:colOff>0</xdr:colOff>
      <xdr:row>124</xdr:row>
      <xdr:rowOff>104775</xdr:rowOff>
    </xdr:to>
    <xdr:sp macro="" textlink="">
      <xdr:nvSpPr>
        <xdr:cNvPr id="2067" name="Text Box 19">
          <a:extLst>
            <a:ext uri="{FF2B5EF4-FFF2-40B4-BE49-F238E27FC236}">
              <a16:creationId xmlns:a16="http://schemas.microsoft.com/office/drawing/2014/main" id="{F72DAFE2-E6AB-4404-BC6A-DFAAEAA4AF64}"/>
            </a:ext>
          </a:extLst>
        </xdr:cNvPr>
        <xdr:cNvSpPr txBox="1">
          <a:spLocks noChangeArrowheads="1"/>
        </xdr:cNvSpPr>
      </xdr:nvSpPr>
      <xdr:spPr bwMode="auto">
        <a:xfrm>
          <a:off x="19050" y="20574000"/>
          <a:ext cx="2000250" cy="1009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17. Se venden mercaderías por S/ 50,000 para ser pagadas 30% al contado y el resto al crédito a 30 días con un interés del   5% por mes.</a:t>
          </a:r>
          <a:r>
            <a:rPr lang="es-PE" sz="1000" b="0" i="0" strike="noStrike" baseline="0">
              <a:solidFill>
                <a:srgbClr val="000000"/>
              </a:solidFill>
              <a:latin typeface="Arial"/>
              <a:cs typeface="Arial"/>
            </a:rPr>
            <a:t> S</a:t>
          </a: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u costo es de S/ 40,000. No considerar</a:t>
          </a:r>
          <a:r>
            <a:rPr lang="es-PE" sz="1000" b="0" i="0" strike="noStrike" baseline="0">
              <a:solidFill>
                <a:srgbClr val="000000"/>
              </a:solidFill>
              <a:latin typeface="Arial"/>
              <a:cs typeface="Arial"/>
            </a:rPr>
            <a:t> IGV</a:t>
          </a:r>
          <a:endParaRPr lang="es-PE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66675</xdr:colOff>
      <xdr:row>127</xdr:row>
      <xdr:rowOff>66675</xdr:rowOff>
    </xdr:from>
    <xdr:to>
      <xdr:col>2</xdr:col>
      <xdr:colOff>9525</xdr:colOff>
      <xdr:row>130</xdr:row>
      <xdr:rowOff>9525</xdr:rowOff>
    </xdr:to>
    <xdr:sp macro="" textlink="">
      <xdr:nvSpPr>
        <xdr:cNvPr id="2068" name="Text Box 20">
          <a:extLst>
            <a:ext uri="{FF2B5EF4-FFF2-40B4-BE49-F238E27FC236}">
              <a16:creationId xmlns:a16="http://schemas.microsoft.com/office/drawing/2014/main" id="{39F80350-3202-40C0-9579-C5BEC731658C}"/>
            </a:ext>
          </a:extLst>
        </xdr:cNvPr>
        <xdr:cNvSpPr txBox="1">
          <a:spLocks noChangeArrowheads="1"/>
        </xdr:cNvSpPr>
      </xdr:nvSpPr>
      <xdr:spPr bwMode="auto">
        <a:xfrm>
          <a:off x="66675" y="22107525"/>
          <a:ext cx="1962150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18. Se pagan el 50% de las planillas por S/ 4,000.</a:t>
          </a:r>
        </a:p>
      </xdr:txBody>
    </xdr:sp>
    <xdr:clientData/>
  </xdr:twoCellAnchor>
  <xdr:twoCellAnchor>
    <xdr:from>
      <xdr:col>0</xdr:col>
      <xdr:colOff>85725</xdr:colOff>
      <xdr:row>131</xdr:row>
      <xdr:rowOff>38100</xdr:rowOff>
    </xdr:from>
    <xdr:to>
      <xdr:col>1</xdr:col>
      <xdr:colOff>0</xdr:colOff>
      <xdr:row>134</xdr:row>
      <xdr:rowOff>0</xdr:rowOff>
    </xdr:to>
    <xdr:sp macro="" textlink="">
      <xdr:nvSpPr>
        <xdr:cNvPr id="2069" name="Text Box 21">
          <a:extLst>
            <a:ext uri="{FF2B5EF4-FFF2-40B4-BE49-F238E27FC236}">
              <a16:creationId xmlns:a16="http://schemas.microsoft.com/office/drawing/2014/main" id="{987331F9-7758-47D2-8AAC-84BC9478F16B}"/>
            </a:ext>
          </a:extLst>
        </xdr:cNvPr>
        <xdr:cNvSpPr txBox="1">
          <a:spLocks noChangeArrowheads="1"/>
        </xdr:cNvSpPr>
      </xdr:nvSpPr>
      <xdr:spPr bwMode="auto">
        <a:xfrm>
          <a:off x="85725" y="22802850"/>
          <a:ext cx="1933575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19. Se recibió S/ 5,000 por una venta futura.</a:t>
          </a:r>
        </a:p>
      </xdr:txBody>
    </xdr:sp>
    <xdr:clientData/>
  </xdr:twoCellAnchor>
  <xdr:twoCellAnchor>
    <xdr:from>
      <xdr:col>0</xdr:col>
      <xdr:colOff>76200</xdr:colOff>
      <xdr:row>135</xdr:row>
      <xdr:rowOff>76199</xdr:rowOff>
    </xdr:from>
    <xdr:to>
      <xdr:col>1</xdr:col>
      <xdr:colOff>0</xdr:colOff>
      <xdr:row>138</xdr:row>
      <xdr:rowOff>85724</xdr:rowOff>
    </xdr:to>
    <xdr:sp macro="" textlink="">
      <xdr:nvSpPr>
        <xdr:cNvPr id="2070" name="Text Box 22">
          <a:extLst>
            <a:ext uri="{FF2B5EF4-FFF2-40B4-BE49-F238E27FC236}">
              <a16:creationId xmlns:a16="http://schemas.microsoft.com/office/drawing/2014/main" id="{1730CA47-BC21-472B-8E43-19C6122094EC}"/>
            </a:ext>
          </a:extLst>
        </xdr:cNvPr>
        <xdr:cNvSpPr txBox="1">
          <a:spLocks noChangeArrowheads="1"/>
        </xdr:cNvSpPr>
      </xdr:nvSpPr>
      <xdr:spPr bwMode="auto">
        <a:xfrm>
          <a:off x="76200" y="23564849"/>
          <a:ext cx="1943100" cy="504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20. Se incremento en 10% el valor de los activos fijos.</a:t>
          </a:r>
        </a:p>
      </xdr:txBody>
    </xdr:sp>
    <xdr:clientData/>
  </xdr:twoCellAnchor>
  <xdr:twoCellAnchor>
    <xdr:from>
      <xdr:col>0</xdr:col>
      <xdr:colOff>123825</xdr:colOff>
      <xdr:row>140</xdr:row>
      <xdr:rowOff>57150</xdr:rowOff>
    </xdr:from>
    <xdr:to>
      <xdr:col>1</xdr:col>
      <xdr:colOff>0</xdr:colOff>
      <xdr:row>143</xdr:row>
      <xdr:rowOff>19050</xdr:rowOff>
    </xdr:to>
    <xdr:sp macro="" textlink="">
      <xdr:nvSpPr>
        <xdr:cNvPr id="2071" name="Text Box 23">
          <a:extLst>
            <a:ext uri="{FF2B5EF4-FFF2-40B4-BE49-F238E27FC236}">
              <a16:creationId xmlns:a16="http://schemas.microsoft.com/office/drawing/2014/main" id="{FD622066-B725-4FD4-B105-C4940D025863}"/>
            </a:ext>
          </a:extLst>
        </xdr:cNvPr>
        <xdr:cNvSpPr txBox="1">
          <a:spLocks noChangeArrowheads="1"/>
        </xdr:cNvSpPr>
      </xdr:nvSpPr>
      <xdr:spPr bwMode="auto">
        <a:xfrm>
          <a:off x="123825" y="24431625"/>
          <a:ext cx="1895475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21. Se recibio una donación por S/ 5,000.</a:t>
          </a:r>
        </a:p>
      </xdr:txBody>
    </xdr:sp>
    <xdr:clientData/>
  </xdr:twoCellAnchor>
  <xdr:twoCellAnchor>
    <xdr:from>
      <xdr:col>0</xdr:col>
      <xdr:colOff>66675</xdr:colOff>
      <xdr:row>144</xdr:row>
      <xdr:rowOff>57150</xdr:rowOff>
    </xdr:from>
    <xdr:to>
      <xdr:col>1</xdr:col>
      <xdr:colOff>0</xdr:colOff>
      <xdr:row>147</xdr:row>
      <xdr:rowOff>57150</xdr:rowOff>
    </xdr:to>
    <xdr:sp macro="" textlink="">
      <xdr:nvSpPr>
        <xdr:cNvPr id="2072" name="Text Box 24">
          <a:extLst>
            <a:ext uri="{FF2B5EF4-FFF2-40B4-BE49-F238E27FC236}">
              <a16:creationId xmlns:a16="http://schemas.microsoft.com/office/drawing/2014/main" id="{B6DED19C-55B7-4A79-B8A1-3D47D599487E}"/>
            </a:ext>
          </a:extLst>
        </xdr:cNvPr>
        <xdr:cNvSpPr txBox="1">
          <a:spLocks noChangeArrowheads="1"/>
        </xdr:cNvSpPr>
      </xdr:nvSpPr>
      <xdr:spPr bwMode="auto">
        <a:xfrm>
          <a:off x="66675" y="25155525"/>
          <a:ext cx="1952625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22. Se venden activos fijos por S/14,000</a:t>
          </a:r>
        </a:p>
      </xdr:txBody>
    </xdr:sp>
    <xdr:clientData/>
  </xdr:twoCellAnchor>
  <xdr:twoCellAnchor editAs="oneCell">
    <xdr:from>
      <xdr:col>0</xdr:col>
      <xdr:colOff>28575</xdr:colOff>
      <xdr:row>1</xdr:row>
      <xdr:rowOff>19050</xdr:rowOff>
    </xdr:from>
    <xdr:to>
      <xdr:col>4</xdr:col>
      <xdr:colOff>1266825</xdr:colOff>
      <xdr:row>8</xdr:row>
      <xdr:rowOff>85725</xdr:rowOff>
    </xdr:to>
    <xdr:pic>
      <xdr:nvPicPr>
        <xdr:cNvPr id="11579" name="Picture 5">
          <a:extLst>
            <a:ext uri="{FF2B5EF4-FFF2-40B4-BE49-F238E27FC236}">
              <a16:creationId xmlns:a16="http://schemas.microsoft.com/office/drawing/2014/main" id="{05D08B5C-83F5-46F1-8E7C-EE616B43F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47650"/>
          <a:ext cx="37814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38100</xdr:rowOff>
    </xdr:from>
    <xdr:to>
      <xdr:col>0</xdr:col>
      <xdr:colOff>66675</xdr:colOff>
      <xdr:row>16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D405E4D4-3454-4578-8290-86026C225F9C}"/>
            </a:ext>
          </a:extLst>
        </xdr:cNvPr>
        <xdr:cNvSpPr txBox="1">
          <a:spLocks noChangeArrowheads="1"/>
        </xdr:cNvSpPr>
      </xdr:nvSpPr>
      <xdr:spPr bwMode="auto">
        <a:xfrm>
          <a:off x="1609725" y="444817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R39"/>
  <sheetViews>
    <sheetView topLeftCell="A13" zoomScale="110" workbookViewId="0">
      <selection activeCell="B12" sqref="B12"/>
    </sheetView>
  </sheetViews>
  <sheetFormatPr baseColWidth="10" defaultRowHeight="12.75" x14ac:dyDescent="0.2"/>
  <cols>
    <col min="1" max="7" width="11.42578125" style="82"/>
    <col min="8" max="8" width="12.5703125" style="82" customWidth="1"/>
    <col min="9" max="10" width="11.42578125" style="82"/>
    <col min="11" max="11" width="13.5703125" style="82" customWidth="1"/>
    <col min="12" max="16384" width="11.42578125" style="82"/>
  </cols>
  <sheetData>
    <row r="1" spans="1:18" x14ac:dyDescent="0.2">
      <c r="A1" s="96" t="s">
        <v>147</v>
      </c>
      <c r="L1" s="143" t="s">
        <v>203</v>
      </c>
      <c r="M1" s="143" t="s">
        <v>205</v>
      </c>
      <c r="Q1" s="143" t="s">
        <v>203</v>
      </c>
      <c r="R1" s="143" t="s">
        <v>205</v>
      </c>
    </row>
    <row r="2" spans="1:18" x14ac:dyDescent="0.2">
      <c r="A2" s="95" t="s">
        <v>148</v>
      </c>
      <c r="K2" s="95" t="s">
        <v>202</v>
      </c>
      <c r="L2" s="145">
        <v>600000</v>
      </c>
      <c r="M2" s="146">
        <f>L2/$L$5</f>
        <v>0.6091370558375635</v>
      </c>
      <c r="P2" s="95" t="s">
        <v>208</v>
      </c>
      <c r="Q2" s="145">
        <v>10000</v>
      </c>
      <c r="R2" s="146">
        <f>Q2/$Q$4</f>
        <v>0.5</v>
      </c>
    </row>
    <row r="3" spans="1:18" x14ac:dyDescent="0.2">
      <c r="A3" s="95" t="s">
        <v>149</v>
      </c>
      <c r="K3" s="95" t="s">
        <v>204</v>
      </c>
      <c r="L3" s="145">
        <f>150000+35000</f>
        <v>185000</v>
      </c>
      <c r="M3" s="146">
        <f>L3/$L$5</f>
        <v>0.18781725888324874</v>
      </c>
      <c r="P3" s="95" t="s">
        <v>209</v>
      </c>
      <c r="Q3" s="145">
        <v>10000</v>
      </c>
      <c r="R3" s="146">
        <f>Q3/$Q$4</f>
        <v>0.5</v>
      </c>
    </row>
    <row r="4" spans="1:18" x14ac:dyDescent="0.2">
      <c r="A4" s="95" t="s">
        <v>150</v>
      </c>
      <c r="K4" s="95" t="s">
        <v>206</v>
      </c>
      <c r="L4" s="145">
        <v>200000</v>
      </c>
      <c r="M4" s="146">
        <f>L4/$L$5</f>
        <v>0.20304568527918782</v>
      </c>
      <c r="P4" s="95" t="s">
        <v>77</v>
      </c>
      <c r="Q4" s="145">
        <f>SUM(Q2:Q3)</f>
        <v>20000</v>
      </c>
      <c r="R4" s="146">
        <f>SUM(R2:R3)</f>
        <v>1</v>
      </c>
    </row>
    <row r="5" spans="1:18" x14ac:dyDescent="0.2">
      <c r="K5" s="95" t="s">
        <v>77</v>
      </c>
      <c r="L5" s="145">
        <f>SUM(L2:L4)</f>
        <v>985000</v>
      </c>
      <c r="M5" s="146">
        <f>SUM(M2:M4)</f>
        <v>1</v>
      </c>
    </row>
    <row r="6" spans="1:18" x14ac:dyDescent="0.2">
      <c r="A6" s="95" t="s">
        <v>151</v>
      </c>
      <c r="L6" s="144"/>
      <c r="M6" s="144"/>
    </row>
    <row r="7" spans="1:18" x14ac:dyDescent="0.2">
      <c r="A7" s="95" t="s">
        <v>152</v>
      </c>
      <c r="L7" s="144"/>
      <c r="M7" s="144"/>
      <c r="Q7" s="143" t="s">
        <v>203</v>
      </c>
      <c r="R7" s="143" t="s">
        <v>205</v>
      </c>
    </row>
    <row r="8" spans="1:18" x14ac:dyDescent="0.2">
      <c r="L8" s="143" t="s">
        <v>203</v>
      </c>
      <c r="M8" s="143" t="s">
        <v>205</v>
      </c>
      <c r="P8" s="95" t="s">
        <v>208</v>
      </c>
      <c r="Q8" s="145">
        <v>10000</v>
      </c>
      <c r="R8" s="146">
        <f>Q8/$Q$11</f>
        <v>8.3333333333333329E-2</v>
      </c>
    </row>
    <row r="9" spans="1:18" x14ac:dyDescent="0.2">
      <c r="A9" s="95" t="s">
        <v>153</v>
      </c>
      <c r="K9" s="95" t="s">
        <v>202</v>
      </c>
      <c r="L9" s="145">
        <v>600000</v>
      </c>
      <c r="M9" s="146">
        <f>L9/$L$13</f>
        <v>0.58536585365853655</v>
      </c>
      <c r="P9" s="95" t="s">
        <v>209</v>
      </c>
      <c r="Q9" s="145">
        <v>10000</v>
      </c>
      <c r="R9" s="146">
        <f>Q9/$Q$11</f>
        <v>8.3333333333333329E-2</v>
      </c>
    </row>
    <row r="10" spans="1:18" x14ac:dyDescent="0.2">
      <c r="K10" s="95" t="s">
        <v>204</v>
      </c>
      <c r="L10" s="145">
        <f>150000+35000</f>
        <v>185000</v>
      </c>
      <c r="M10" s="146">
        <f>L10/$L$13</f>
        <v>0.18048780487804877</v>
      </c>
      <c r="P10" s="96" t="s">
        <v>210</v>
      </c>
      <c r="Q10" s="147">
        <v>100000</v>
      </c>
      <c r="R10" s="148">
        <f>Q10/$Q$11</f>
        <v>0.83333333333333337</v>
      </c>
    </row>
    <row r="11" spans="1:18" x14ac:dyDescent="0.2">
      <c r="A11" s="95" t="s">
        <v>154</v>
      </c>
      <c r="K11" s="95" t="s">
        <v>206</v>
      </c>
      <c r="L11" s="145">
        <v>200000</v>
      </c>
      <c r="M11" s="146">
        <f>L11/$L$13</f>
        <v>0.1951219512195122</v>
      </c>
      <c r="P11" s="95" t="s">
        <v>77</v>
      </c>
      <c r="Q11" s="145">
        <f>SUM(Q8:Q10)</f>
        <v>120000</v>
      </c>
      <c r="R11" s="146">
        <f>SUM(R8:R10)</f>
        <v>1</v>
      </c>
    </row>
    <row r="12" spans="1:18" x14ac:dyDescent="0.2">
      <c r="A12" s="95" t="s">
        <v>201</v>
      </c>
      <c r="K12" s="95" t="s">
        <v>207</v>
      </c>
      <c r="L12" s="145">
        <v>40000</v>
      </c>
      <c r="M12" s="146">
        <f>L12/$L$13</f>
        <v>3.9024390243902439E-2</v>
      </c>
    </row>
    <row r="13" spans="1:18" x14ac:dyDescent="0.2">
      <c r="A13" s="95" t="s">
        <v>155</v>
      </c>
      <c r="K13" s="95" t="s">
        <v>77</v>
      </c>
      <c r="L13" s="145">
        <f>SUM(L9:L12)</f>
        <v>1025000</v>
      </c>
      <c r="M13" s="146">
        <f>SUM(M9:M12)</f>
        <v>1</v>
      </c>
    </row>
    <row r="14" spans="1:18" x14ac:dyDescent="0.2">
      <c r="A14" s="95" t="s">
        <v>156</v>
      </c>
    </row>
    <row r="15" spans="1:18" x14ac:dyDescent="0.2">
      <c r="A15" s="95" t="s">
        <v>157</v>
      </c>
    </row>
    <row r="16" spans="1:18" x14ac:dyDescent="0.2">
      <c r="A16" s="95" t="s">
        <v>158</v>
      </c>
      <c r="K16" s="96" t="s">
        <v>211</v>
      </c>
    </row>
    <row r="17" spans="1:13" x14ac:dyDescent="0.2">
      <c r="A17" s="95" t="s">
        <v>159</v>
      </c>
      <c r="L17" s="143" t="s">
        <v>203</v>
      </c>
      <c r="M17" s="143" t="s">
        <v>205</v>
      </c>
    </row>
    <row r="18" spans="1:13" x14ac:dyDescent="0.2">
      <c r="A18" s="95" t="s">
        <v>160</v>
      </c>
      <c r="K18" s="95" t="s">
        <v>202</v>
      </c>
      <c r="L18" s="145">
        <v>600000</v>
      </c>
      <c r="M18" s="146">
        <f>L18/$L$23</f>
        <v>0.59701492537313428</v>
      </c>
    </row>
    <row r="19" spans="1:13" x14ac:dyDescent="0.2">
      <c r="A19" s="95" t="s">
        <v>161</v>
      </c>
      <c r="K19" s="95" t="s">
        <v>204</v>
      </c>
      <c r="L19" s="145">
        <f>150000+35000</f>
        <v>185000</v>
      </c>
      <c r="M19" s="146">
        <f t="shared" ref="M19:M22" si="0">L19/$L$23</f>
        <v>0.18407960199004975</v>
      </c>
    </row>
    <row r="20" spans="1:13" x14ac:dyDescent="0.2">
      <c r="A20" s="95" t="s">
        <v>182</v>
      </c>
      <c r="K20" s="95" t="s">
        <v>206</v>
      </c>
      <c r="L20" s="145">
        <v>200000</v>
      </c>
      <c r="M20" s="146">
        <f t="shared" si="0"/>
        <v>0.19900497512437812</v>
      </c>
    </row>
    <row r="21" spans="1:13" x14ac:dyDescent="0.2">
      <c r="A21" s="95" t="s">
        <v>162</v>
      </c>
      <c r="K21" s="95" t="s">
        <v>208</v>
      </c>
      <c r="L21" s="145">
        <v>10000</v>
      </c>
      <c r="M21" s="146">
        <f t="shared" si="0"/>
        <v>9.9502487562189053E-3</v>
      </c>
    </row>
    <row r="22" spans="1:13" x14ac:dyDescent="0.2">
      <c r="A22" s="95" t="s">
        <v>163</v>
      </c>
      <c r="K22" s="95" t="s">
        <v>209</v>
      </c>
      <c r="L22" s="145">
        <v>10000</v>
      </c>
      <c r="M22" s="146">
        <f t="shared" si="0"/>
        <v>9.9502487562189053E-3</v>
      </c>
    </row>
    <row r="23" spans="1:13" x14ac:dyDescent="0.2">
      <c r="A23" s="95" t="s">
        <v>164</v>
      </c>
      <c r="K23" s="95" t="s">
        <v>77</v>
      </c>
      <c r="L23" s="145">
        <f>SUM(L18:L22)</f>
        <v>1005000</v>
      </c>
      <c r="M23" s="146">
        <f>SUM(M18:M22)</f>
        <v>0.99999999999999978</v>
      </c>
    </row>
    <row r="24" spans="1:13" x14ac:dyDescent="0.2">
      <c r="A24" s="95" t="s">
        <v>165</v>
      </c>
    </row>
    <row r="25" spans="1:13" x14ac:dyDescent="0.2">
      <c r="A25" s="95" t="s">
        <v>166</v>
      </c>
    </row>
    <row r="26" spans="1:13" x14ac:dyDescent="0.2">
      <c r="A26" s="95" t="s">
        <v>167</v>
      </c>
    </row>
    <row r="27" spans="1:13" x14ac:dyDescent="0.2">
      <c r="A27" s="95" t="s">
        <v>168</v>
      </c>
    </row>
    <row r="28" spans="1:13" x14ac:dyDescent="0.2">
      <c r="A28" s="95" t="s">
        <v>169</v>
      </c>
    </row>
    <row r="29" spans="1:13" x14ac:dyDescent="0.2">
      <c r="A29" s="95" t="s">
        <v>170</v>
      </c>
    </row>
    <row r="30" spans="1:13" x14ac:dyDescent="0.2">
      <c r="A30" s="95" t="s">
        <v>171</v>
      </c>
    </row>
    <row r="31" spans="1:13" x14ac:dyDescent="0.2">
      <c r="A31" s="95" t="s">
        <v>172</v>
      </c>
    </row>
    <row r="32" spans="1:13" x14ac:dyDescent="0.2">
      <c r="A32" s="95" t="s">
        <v>173</v>
      </c>
    </row>
    <row r="33" spans="1:1" x14ac:dyDescent="0.2">
      <c r="A33" s="95" t="s">
        <v>174</v>
      </c>
    </row>
    <row r="34" spans="1:1" x14ac:dyDescent="0.2">
      <c r="A34" s="95" t="s">
        <v>175</v>
      </c>
    </row>
    <row r="35" spans="1:1" x14ac:dyDescent="0.2">
      <c r="A35" s="95" t="s">
        <v>176</v>
      </c>
    </row>
    <row r="36" spans="1:1" x14ac:dyDescent="0.2">
      <c r="A36" s="95" t="s">
        <v>183</v>
      </c>
    </row>
    <row r="37" spans="1:1" x14ac:dyDescent="0.2">
      <c r="A37" s="95" t="s">
        <v>177</v>
      </c>
    </row>
    <row r="39" spans="1:1" x14ac:dyDescent="0.2">
      <c r="A39" s="95" t="s">
        <v>178</v>
      </c>
    </row>
  </sheetData>
  <phoneticPr fontId="7" type="noConversion"/>
  <printOptions horizontalCentered="1"/>
  <pageMargins left="0" right="0" top="0" bottom="0" header="0" footer="0"/>
  <pageSetup paperSize="9" scale="9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7"/>
  </sheetPr>
  <dimension ref="A1:N151"/>
  <sheetViews>
    <sheetView zoomScaleNormal="100" workbookViewId="0">
      <pane ySplit="10" topLeftCell="A137" activePane="bottomLeft" state="frozen"/>
      <selection pane="bottomLeft" activeCell="F149" sqref="F149:G149"/>
    </sheetView>
  </sheetViews>
  <sheetFormatPr baseColWidth="10" defaultRowHeight="12.75" x14ac:dyDescent="0.2"/>
  <cols>
    <col min="1" max="1" width="30.28515625" style="9" bestFit="1" customWidth="1"/>
    <col min="2" max="2" width="4.5703125" style="9" hidden="1" customWidth="1"/>
    <col min="3" max="3" width="3" style="9" bestFit="1" customWidth="1"/>
    <col min="4" max="4" width="4.85546875" style="9" customWidth="1"/>
    <col min="5" max="5" width="34.85546875" style="18" customWidth="1"/>
    <col min="6" max="6" width="9.28515625" style="9" customWidth="1"/>
    <col min="7" max="7" width="9.7109375" style="9" customWidth="1"/>
    <col min="8" max="8" width="3.42578125" style="9" customWidth="1"/>
    <col min="9" max="9" width="15.85546875" style="9" customWidth="1"/>
    <col min="10" max="10" width="9.42578125" style="9" customWidth="1"/>
    <col min="11" max="16384" width="11.42578125" style="9"/>
  </cols>
  <sheetData>
    <row r="1" spans="1:12" ht="18" x14ac:dyDescent="0.25">
      <c r="A1" s="58" t="s">
        <v>52</v>
      </c>
    </row>
    <row r="2" spans="1:12" x14ac:dyDescent="0.2">
      <c r="A2" s="2"/>
    </row>
    <row r="3" spans="1:12" x14ac:dyDescent="0.2">
      <c r="A3" s="2"/>
    </row>
    <row r="4" spans="1:12" x14ac:dyDescent="0.2">
      <c r="A4" s="2"/>
    </row>
    <row r="5" spans="1:12" x14ac:dyDescent="0.2">
      <c r="A5" s="2"/>
    </row>
    <row r="6" spans="1:12" x14ac:dyDescent="0.2">
      <c r="A6" s="2"/>
    </row>
    <row r="7" spans="1:12" x14ac:dyDescent="0.2">
      <c r="A7" s="2"/>
    </row>
    <row r="8" spans="1:12" x14ac:dyDescent="0.2">
      <c r="A8" s="2"/>
    </row>
    <row r="9" spans="1:12" ht="13.5" thickBot="1" x14ac:dyDescent="0.25">
      <c r="A9" s="2"/>
    </row>
    <row r="10" spans="1:12" ht="16.5" thickBot="1" x14ac:dyDescent="0.3">
      <c r="A10" s="97" t="s">
        <v>56</v>
      </c>
      <c r="B10" s="98"/>
      <c r="C10" s="98"/>
      <c r="D10" s="98"/>
      <c r="E10" s="99" t="s">
        <v>53</v>
      </c>
      <c r="F10" s="100" t="s">
        <v>54</v>
      </c>
      <c r="G10" s="101" t="s">
        <v>55</v>
      </c>
      <c r="H10" s="17"/>
      <c r="I10" s="48"/>
      <c r="J10" s="17"/>
      <c r="K10" s="17"/>
      <c r="L10" s="17"/>
    </row>
    <row r="11" spans="1:12" x14ac:dyDescent="0.2">
      <c r="B11" s="9">
        <v>10</v>
      </c>
      <c r="D11" s="15" t="s">
        <v>179</v>
      </c>
      <c r="E11" s="16"/>
      <c r="F11" s="6">
        <v>600000</v>
      </c>
      <c r="G11" s="6"/>
      <c r="H11" s="4"/>
      <c r="I11" s="47"/>
      <c r="J11" s="49"/>
      <c r="K11" s="47"/>
      <c r="L11" s="17"/>
    </row>
    <row r="12" spans="1:12" x14ac:dyDescent="0.2">
      <c r="D12" s="15"/>
      <c r="E12" s="51" t="s">
        <v>57</v>
      </c>
      <c r="F12" s="6"/>
      <c r="G12" s="6">
        <v>600000</v>
      </c>
      <c r="H12" s="4"/>
      <c r="I12" s="47"/>
      <c r="J12" s="49"/>
      <c r="K12" s="47"/>
      <c r="L12" s="17"/>
    </row>
    <row r="13" spans="1:12" x14ac:dyDescent="0.2">
      <c r="D13" s="15" t="s">
        <v>47</v>
      </c>
      <c r="E13" s="16"/>
      <c r="F13" s="6">
        <v>150000</v>
      </c>
      <c r="G13" s="6"/>
      <c r="H13" s="4"/>
      <c r="I13" s="17"/>
      <c r="J13" s="49"/>
      <c r="K13" s="47"/>
      <c r="L13" s="17"/>
    </row>
    <row r="14" spans="1:12" x14ac:dyDescent="0.2">
      <c r="D14" s="52"/>
      <c r="E14" s="51" t="s">
        <v>57</v>
      </c>
      <c r="F14" s="6"/>
      <c r="G14" s="6">
        <v>150000</v>
      </c>
      <c r="H14" s="4"/>
      <c r="I14" s="47"/>
      <c r="J14" s="49"/>
      <c r="K14" s="47"/>
      <c r="L14" s="17"/>
    </row>
    <row r="15" spans="1:12" x14ac:dyDescent="0.2">
      <c r="B15" s="9">
        <v>33</v>
      </c>
      <c r="D15" s="15" t="s">
        <v>15</v>
      </c>
      <c r="E15" s="16"/>
      <c r="F15" s="6">
        <v>35000</v>
      </c>
      <c r="G15" s="6"/>
      <c r="H15" s="4"/>
      <c r="I15" s="47"/>
      <c r="J15" s="50"/>
      <c r="K15" s="47"/>
      <c r="L15" s="17"/>
    </row>
    <row r="16" spans="1:12" x14ac:dyDescent="0.2">
      <c r="B16" s="9">
        <v>34</v>
      </c>
      <c r="E16" s="51" t="s">
        <v>57</v>
      </c>
      <c r="G16" s="6">
        <v>35000</v>
      </c>
      <c r="H16" s="17"/>
      <c r="I16" s="17"/>
      <c r="K16" s="17"/>
      <c r="L16" s="17"/>
    </row>
    <row r="17" spans="1:14" x14ac:dyDescent="0.2">
      <c r="B17" s="9">
        <v>33</v>
      </c>
      <c r="D17" s="15" t="s">
        <v>47</v>
      </c>
      <c r="E17" s="16"/>
      <c r="F17" s="6">
        <v>200000</v>
      </c>
      <c r="G17" s="6"/>
      <c r="H17" s="17"/>
    </row>
    <row r="18" spans="1:14" x14ac:dyDescent="0.2">
      <c r="D18" s="15"/>
      <c r="E18" s="51" t="s">
        <v>57</v>
      </c>
      <c r="F18" s="6"/>
      <c r="G18" s="6">
        <v>200000</v>
      </c>
      <c r="H18" s="17"/>
    </row>
    <row r="19" spans="1:14" x14ac:dyDescent="0.2">
      <c r="B19" s="9">
        <v>10</v>
      </c>
      <c r="D19" s="15" t="s">
        <v>179</v>
      </c>
      <c r="E19" s="16"/>
      <c r="F19" s="6">
        <v>600000</v>
      </c>
      <c r="G19" s="6"/>
      <c r="H19" s="17"/>
    </row>
    <row r="20" spans="1:14" x14ac:dyDescent="0.2">
      <c r="D20" s="15"/>
      <c r="E20" s="22" t="s">
        <v>31</v>
      </c>
      <c r="F20" s="6"/>
      <c r="G20" s="6">
        <v>600000</v>
      </c>
      <c r="H20" s="17"/>
      <c r="I20" s="17"/>
      <c r="J20" s="50"/>
      <c r="K20" s="17"/>
      <c r="L20" s="17"/>
    </row>
    <row r="21" spans="1:14" x14ac:dyDescent="0.2">
      <c r="B21" s="9">
        <v>20</v>
      </c>
      <c r="D21" s="15" t="s">
        <v>179</v>
      </c>
      <c r="E21" s="16"/>
      <c r="F21" s="6">
        <v>5000</v>
      </c>
      <c r="G21" s="6"/>
      <c r="H21" s="17"/>
      <c r="I21" s="17"/>
      <c r="J21" s="17"/>
      <c r="K21" s="17"/>
      <c r="L21" s="17"/>
    </row>
    <row r="22" spans="1:14" x14ac:dyDescent="0.2">
      <c r="C22" s="9">
        <v>46</v>
      </c>
      <c r="D22" s="15"/>
      <c r="E22" s="52" t="s">
        <v>57</v>
      </c>
      <c r="F22" s="62"/>
      <c r="G22" s="62">
        <v>5000</v>
      </c>
      <c r="H22" s="17"/>
      <c r="I22" s="17"/>
      <c r="J22" s="17"/>
      <c r="K22" s="15"/>
      <c r="L22" s="16"/>
      <c r="M22" s="6"/>
      <c r="N22" s="6"/>
    </row>
    <row r="23" spans="1:14" x14ac:dyDescent="0.2">
      <c r="D23" s="52" t="s">
        <v>46</v>
      </c>
      <c r="E23" s="52"/>
      <c r="F23" s="62">
        <v>56000</v>
      </c>
      <c r="G23" s="80"/>
      <c r="H23" s="17"/>
      <c r="I23" s="17"/>
      <c r="J23" s="17"/>
      <c r="K23" s="15"/>
      <c r="L23" s="16"/>
      <c r="M23" s="6"/>
      <c r="N23" s="6"/>
    </row>
    <row r="24" spans="1:14" ht="13.5" thickBot="1" x14ac:dyDescent="0.25">
      <c r="D24" s="15"/>
      <c r="E24" s="15" t="s">
        <v>179</v>
      </c>
      <c r="F24" s="53"/>
      <c r="G24" s="53">
        <v>56000</v>
      </c>
      <c r="H24" s="17"/>
      <c r="I24" s="17"/>
      <c r="J24" s="17"/>
      <c r="K24" s="15"/>
      <c r="L24" s="16"/>
      <c r="M24" s="6"/>
      <c r="N24" s="6"/>
    </row>
    <row r="25" spans="1:14" x14ac:dyDescent="0.2">
      <c r="D25" s="15"/>
      <c r="E25" s="52"/>
      <c r="F25" s="5">
        <f>SUM(F11:F24)</f>
        <v>1646000</v>
      </c>
      <c r="G25" s="5">
        <f>SUM(G11:G24)</f>
        <v>1646000</v>
      </c>
      <c r="H25" s="17"/>
      <c r="I25" s="17"/>
      <c r="J25" s="17"/>
      <c r="K25" s="15"/>
      <c r="L25" s="16"/>
      <c r="M25" s="6"/>
      <c r="N25" s="6"/>
    </row>
    <row r="26" spans="1:14" ht="18" x14ac:dyDescent="0.25">
      <c r="A26" s="102"/>
      <c r="B26" s="102"/>
      <c r="C26" s="102"/>
      <c r="D26" s="102"/>
      <c r="E26" s="103">
        <v>1</v>
      </c>
      <c r="F26" s="104"/>
      <c r="G26" s="104"/>
      <c r="H26" s="17"/>
      <c r="I26" s="17"/>
      <c r="J26" s="17"/>
      <c r="K26" s="15"/>
      <c r="L26" s="16"/>
      <c r="M26" s="6"/>
      <c r="N26" s="6"/>
    </row>
    <row r="27" spans="1:14" x14ac:dyDescent="0.2">
      <c r="B27" s="9">
        <v>33</v>
      </c>
      <c r="D27" s="52" t="s">
        <v>70</v>
      </c>
      <c r="E27" s="16"/>
      <c r="F27" s="6">
        <v>300000</v>
      </c>
      <c r="G27" s="6"/>
      <c r="H27" s="17"/>
      <c r="I27" s="17"/>
      <c r="J27" s="17"/>
      <c r="K27" s="15"/>
      <c r="L27" s="16"/>
      <c r="M27" s="6"/>
      <c r="N27" s="6"/>
    </row>
    <row r="28" spans="1:14" x14ac:dyDescent="0.2">
      <c r="C28" s="9">
        <v>46</v>
      </c>
      <c r="D28" s="15"/>
      <c r="E28" s="22" t="s">
        <v>31</v>
      </c>
      <c r="F28" s="6"/>
      <c r="G28" s="6">
        <v>150000</v>
      </c>
      <c r="H28" s="17"/>
      <c r="I28" s="17"/>
      <c r="J28" s="17"/>
      <c r="K28" s="15"/>
      <c r="L28" s="22"/>
      <c r="M28" s="6"/>
      <c r="N28" s="6"/>
    </row>
    <row r="29" spans="1:14" ht="13.5" thickBot="1" x14ac:dyDescent="0.25">
      <c r="C29" s="9">
        <v>10</v>
      </c>
      <c r="D29" s="15"/>
      <c r="E29" s="15" t="s">
        <v>179</v>
      </c>
      <c r="F29" s="54"/>
      <c r="G29" s="54">
        <v>150000</v>
      </c>
      <c r="H29" s="17"/>
      <c r="I29" s="17"/>
      <c r="J29" s="17"/>
      <c r="K29" s="15"/>
      <c r="L29" s="22"/>
      <c r="M29" s="6"/>
      <c r="N29" s="6"/>
    </row>
    <row r="30" spans="1:14" x14ac:dyDescent="0.2">
      <c r="D30" s="15"/>
      <c r="E30" s="22"/>
      <c r="F30" s="5">
        <f>SUM(F27:F29)</f>
        <v>300000</v>
      </c>
      <c r="G30" s="5">
        <f>SUM(G27:G29)</f>
        <v>300000</v>
      </c>
      <c r="H30" s="17"/>
      <c r="I30" s="17"/>
      <c r="J30" s="17"/>
      <c r="K30" s="15"/>
      <c r="L30" s="22"/>
      <c r="M30" s="6"/>
      <c r="N30" s="6"/>
    </row>
    <row r="31" spans="1:14" ht="18" x14ac:dyDescent="0.25">
      <c r="A31" s="102"/>
      <c r="B31" s="102"/>
      <c r="C31" s="102"/>
      <c r="D31" s="105"/>
      <c r="E31" s="103">
        <v>2</v>
      </c>
      <c r="F31" s="104"/>
      <c r="G31" s="104"/>
      <c r="H31" s="17"/>
      <c r="I31" s="17"/>
      <c r="J31" s="17"/>
      <c r="K31" s="15"/>
      <c r="L31" s="22"/>
      <c r="M31" s="6"/>
      <c r="N31" s="6"/>
    </row>
    <row r="32" spans="1:14" x14ac:dyDescent="0.2">
      <c r="B32" s="9">
        <v>60</v>
      </c>
      <c r="D32" s="52" t="s">
        <v>46</v>
      </c>
      <c r="E32" s="8"/>
      <c r="F32" s="7">
        <v>600000</v>
      </c>
      <c r="G32" s="7"/>
      <c r="H32" s="17"/>
      <c r="I32" s="17"/>
      <c r="J32" s="17"/>
      <c r="K32" s="15"/>
      <c r="L32" s="22"/>
      <c r="M32" s="6"/>
      <c r="N32" s="6"/>
    </row>
    <row r="33" spans="1:14" x14ac:dyDescent="0.2">
      <c r="D33" s="52"/>
      <c r="E33" s="15" t="s">
        <v>179</v>
      </c>
      <c r="F33" s="7"/>
      <c r="G33" s="7">
        <v>600000</v>
      </c>
      <c r="H33" s="17"/>
      <c r="I33" s="49"/>
      <c r="J33" s="17"/>
      <c r="K33" s="15"/>
      <c r="L33" s="22"/>
      <c r="M33" s="6"/>
      <c r="N33" s="6"/>
    </row>
    <row r="34" spans="1:14" x14ac:dyDescent="0.2">
      <c r="B34" s="9">
        <v>40</v>
      </c>
      <c r="D34" s="51" t="s">
        <v>61</v>
      </c>
      <c r="E34" s="8"/>
      <c r="F34" s="7">
        <f>0.18*F32</f>
        <v>108000</v>
      </c>
      <c r="G34" s="7"/>
      <c r="H34" s="17"/>
      <c r="I34" s="17"/>
      <c r="J34" s="17"/>
      <c r="K34" s="17"/>
      <c r="L34" s="17"/>
    </row>
    <row r="35" spans="1:14" ht="13.5" thickBot="1" x14ac:dyDescent="0.25">
      <c r="C35" s="9">
        <v>10</v>
      </c>
      <c r="E35" s="15" t="s">
        <v>179</v>
      </c>
      <c r="F35" s="53"/>
      <c r="G35" s="53">
        <f>F34</f>
        <v>108000</v>
      </c>
      <c r="H35" s="17"/>
      <c r="I35" s="17"/>
      <c r="J35" s="17"/>
      <c r="K35" s="17"/>
      <c r="L35" s="17"/>
    </row>
    <row r="36" spans="1:14" x14ac:dyDescent="0.2">
      <c r="E36" s="7"/>
      <c r="F36" s="5">
        <f>SUM(F32:F35)</f>
        <v>708000</v>
      </c>
      <c r="G36" s="5">
        <f>SUM(G32:G35)</f>
        <v>708000</v>
      </c>
      <c r="H36" s="17"/>
      <c r="I36" s="17"/>
      <c r="J36" s="17"/>
      <c r="K36" s="17"/>
      <c r="L36" s="17"/>
    </row>
    <row r="37" spans="1:14" ht="18" x14ac:dyDescent="0.25">
      <c r="A37" s="102"/>
      <c r="B37" s="102"/>
      <c r="C37" s="102"/>
      <c r="D37" s="102"/>
      <c r="E37" s="103">
        <v>3</v>
      </c>
      <c r="F37" s="104"/>
      <c r="G37" s="104"/>
      <c r="H37" s="17"/>
      <c r="I37" s="17"/>
      <c r="J37" s="17"/>
      <c r="K37" s="17"/>
      <c r="L37" s="17"/>
    </row>
    <row r="38" spans="1:14" x14ac:dyDescent="0.2">
      <c r="A38" s="17"/>
      <c r="B38" s="17"/>
      <c r="C38" s="17"/>
      <c r="D38" s="47" t="s">
        <v>0</v>
      </c>
      <c r="E38" s="55"/>
      <c r="F38" s="49"/>
      <c r="G38" s="49">
        <v>400000</v>
      </c>
      <c r="H38" s="17"/>
      <c r="I38" s="17"/>
      <c r="J38" s="17"/>
      <c r="K38" s="17"/>
      <c r="L38" s="17"/>
    </row>
    <row r="39" spans="1:14" x14ac:dyDescent="0.2">
      <c r="A39" s="17"/>
      <c r="B39" s="17"/>
      <c r="C39" s="17"/>
      <c r="D39" s="47"/>
      <c r="E39" s="56" t="s">
        <v>1</v>
      </c>
      <c r="F39" s="49">
        <v>400000</v>
      </c>
      <c r="G39" s="49"/>
      <c r="H39" s="17"/>
      <c r="I39" s="17"/>
      <c r="J39" s="17"/>
      <c r="K39" s="17"/>
      <c r="L39" s="17"/>
    </row>
    <row r="40" spans="1:14" x14ac:dyDescent="0.2">
      <c r="B40" s="9">
        <v>10</v>
      </c>
      <c r="D40" s="52" t="s">
        <v>1</v>
      </c>
      <c r="E40" s="8"/>
      <c r="F40" s="7">
        <f>18%*F39</f>
        <v>72000</v>
      </c>
      <c r="G40" s="7"/>
      <c r="H40" s="17"/>
      <c r="I40" s="17"/>
      <c r="J40" s="17"/>
      <c r="K40" s="17"/>
      <c r="L40" s="17"/>
    </row>
    <row r="41" spans="1:14" x14ac:dyDescent="0.2">
      <c r="B41" s="9">
        <v>12</v>
      </c>
      <c r="E41" s="51" t="s">
        <v>61</v>
      </c>
      <c r="F41" s="7"/>
      <c r="G41" s="7">
        <f>F40</f>
        <v>72000</v>
      </c>
      <c r="H41" s="17"/>
      <c r="I41" s="17"/>
      <c r="J41" s="17"/>
      <c r="K41" s="17"/>
      <c r="L41" s="17"/>
    </row>
    <row r="42" spans="1:14" x14ac:dyDescent="0.2">
      <c r="C42" s="9">
        <v>40</v>
      </c>
      <c r="D42" s="52" t="s">
        <v>32</v>
      </c>
      <c r="E42" s="23"/>
      <c r="F42" s="7">
        <v>350000</v>
      </c>
      <c r="G42" s="7"/>
      <c r="H42" s="17"/>
      <c r="I42" s="17"/>
      <c r="J42" s="17"/>
      <c r="K42" s="17"/>
      <c r="L42" s="17"/>
    </row>
    <row r="43" spans="1:14" ht="13.5" thickBot="1" x14ac:dyDescent="0.25">
      <c r="C43" s="9">
        <v>70</v>
      </c>
      <c r="E43" s="22" t="s">
        <v>46</v>
      </c>
      <c r="F43" s="53"/>
      <c r="G43" s="53">
        <v>350000</v>
      </c>
      <c r="H43" s="17"/>
      <c r="I43" s="17"/>
      <c r="J43" s="17"/>
      <c r="K43" s="17"/>
      <c r="L43" s="17"/>
    </row>
    <row r="44" spans="1:14" x14ac:dyDescent="0.2">
      <c r="E44" s="23"/>
      <c r="F44" s="5">
        <f>SUM(F38:F43)</f>
        <v>822000</v>
      </c>
      <c r="G44" s="5">
        <f>SUM(G38:G43)</f>
        <v>822000</v>
      </c>
      <c r="H44" s="17"/>
      <c r="I44" s="17"/>
      <c r="J44" s="17"/>
      <c r="K44" s="17"/>
      <c r="L44" s="17"/>
    </row>
    <row r="45" spans="1:14" ht="15.75" x14ac:dyDescent="0.25">
      <c r="A45" s="102"/>
      <c r="B45" s="102"/>
      <c r="C45" s="102"/>
      <c r="D45" s="102"/>
      <c r="E45" s="106">
        <v>4</v>
      </c>
      <c r="F45" s="104"/>
      <c r="G45" s="104"/>
      <c r="H45" s="17"/>
      <c r="I45" s="17"/>
      <c r="J45" s="17"/>
      <c r="K45" s="17"/>
      <c r="L45" s="17"/>
    </row>
    <row r="46" spans="1:14" x14ac:dyDescent="0.2">
      <c r="B46" s="9">
        <v>63</v>
      </c>
      <c r="D46" s="15" t="s">
        <v>179</v>
      </c>
      <c r="E46" s="8"/>
      <c r="F46" s="7"/>
      <c r="G46" s="7">
        <v>300</v>
      </c>
      <c r="H46" s="17"/>
      <c r="I46" s="20"/>
      <c r="J46" s="8"/>
      <c r="K46" s="7"/>
      <c r="L46" s="7"/>
    </row>
    <row r="47" spans="1:14" x14ac:dyDescent="0.2">
      <c r="B47" s="9">
        <v>63</v>
      </c>
      <c r="E47" s="57" t="s">
        <v>58</v>
      </c>
      <c r="F47" s="7">
        <v>300</v>
      </c>
      <c r="G47" s="7"/>
      <c r="H47" s="17"/>
      <c r="I47" s="20"/>
      <c r="J47" s="8"/>
      <c r="K47" s="7"/>
      <c r="L47" s="7"/>
    </row>
    <row r="48" spans="1:14" x14ac:dyDescent="0.2">
      <c r="B48" s="9">
        <v>63</v>
      </c>
      <c r="D48" s="15" t="s">
        <v>179</v>
      </c>
      <c r="E48" s="8"/>
      <c r="F48" s="7"/>
      <c r="G48" s="7">
        <v>200</v>
      </c>
      <c r="H48" s="17"/>
      <c r="I48" s="20"/>
      <c r="J48" s="8"/>
      <c r="K48" s="7"/>
      <c r="L48" s="7"/>
    </row>
    <row r="49" spans="1:12" x14ac:dyDescent="0.2">
      <c r="B49" s="9">
        <v>40</v>
      </c>
      <c r="D49" s="20"/>
      <c r="E49" s="51" t="s">
        <v>59</v>
      </c>
      <c r="F49" s="7">
        <v>200</v>
      </c>
      <c r="G49" s="7"/>
      <c r="H49" s="17"/>
      <c r="I49" s="20"/>
      <c r="J49" s="8"/>
      <c r="K49" s="7"/>
      <c r="L49" s="7"/>
    </row>
    <row r="50" spans="1:12" x14ac:dyDescent="0.2">
      <c r="C50" s="9">
        <v>10</v>
      </c>
      <c r="D50" s="15" t="s">
        <v>179</v>
      </c>
      <c r="E50" s="7"/>
      <c r="F50" s="7"/>
      <c r="G50" s="7">
        <v>450</v>
      </c>
      <c r="H50" s="17"/>
      <c r="J50" s="7"/>
      <c r="K50" s="7"/>
      <c r="L50" s="7"/>
    </row>
    <row r="51" spans="1:12" x14ac:dyDescent="0.2">
      <c r="E51" s="51" t="s">
        <v>60</v>
      </c>
      <c r="F51" s="7">
        <v>450</v>
      </c>
      <c r="G51" s="7"/>
      <c r="H51" s="17"/>
      <c r="J51" s="7"/>
      <c r="K51" s="7"/>
      <c r="L51" s="7"/>
    </row>
    <row r="52" spans="1:12" x14ac:dyDescent="0.2">
      <c r="D52" s="15" t="s">
        <v>179</v>
      </c>
      <c r="E52" s="7"/>
      <c r="F52" s="7"/>
      <c r="G52" s="7">
        <f>(F47+F49+F51)*18%</f>
        <v>171</v>
      </c>
      <c r="H52" s="17"/>
      <c r="J52" s="7"/>
      <c r="K52" s="7"/>
      <c r="L52" s="7"/>
    </row>
    <row r="53" spans="1:12" ht="13.5" thickBot="1" x14ac:dyDescent="0.25">
      <c r="E53" s="19" t="s">
        <v>61</v>
      </c>
      <c r="F53" s="53">
        <f>G52</f>
        <v>171</v>
      </c>
      <c r="G53" s="53"/>
      <c r="H53" s="17"/>
      <c r="J53" s="7"/>
      <c r="K53" s="7"/>
      <c r="L53" s="7"/>
    </row>
    <row r="54" spans="1:12" x14ac:dyDescent="0.2">
      <c r="E54" s="7"/>
      <c r="F54" s="5">
        <f>SUM(F46:F53)</f>
        <v>1121</v>
      </c>
      <c r="G54" s="5">
        <f>SUM(G46:G53)</f>
        <v>1121</v>
      </c>
      <c r="H54" s="17"/>
      <c r="I54" s="17"/>
      <c r="J54" s="17"/>
      <c r="K54" s="17"/>
      <c r="L54" s="17"/>
    </row>
    <row r="55" spans="1:12" ht="18" x14ac:dyDescent="0.25">
      <c r="A55" s="102"/>
      <c r="B55" s="102"/>
      <c r="C55" s="102"/>
      <c r="D55" s="102"/>
      <c r="E55" s="103">
        <v>5</v>
      </c>
      <c r="F55" s="104"/>
      <c r="G55" s="104"/>
      <c r="H55" s="17"/>
      <c r="I55" s="17"/>
      <c r="J55" s="17"/>
      <c r="K55" s="17"/>
      <c r="L55" s="17"/>
    </row>
    <row r="56" spans="1:12" x14ac:dyDescent="0.2">
      <c r="B56" s="9">
        <v>62</v>
      </c>
      <c r="D56" s="9" t="s">
        <v>28</v>
      </c>
      <c r="E56" s="8"/>
      <c r="F56" s="7">
        <v>8000</v>
      </c>
      <c r="G56" s="7"/>
      <c r="H56" s="17"/>
      <c r="I56" s="17"/>
      <c r="J56" s="17"/>
      <c r="K56" s="17"/>
      <c r="L56" s="17"/>
    </row>
    <row r="57" spans="1:12" ht="13.5" thickBot="1" x14ac:dyDescent="0.25">
      <c r="C57" s="9">
        <v>10</v>
      </c>
      <c r="E57" s="15" t="s">
        <v>179</v>
      </c>
      <c r="F57" s="53"/>
      <c r="G57" s="53">
        <v>8000</v>
      </c>
      <c r="H57" s="17"/>
      <c r="I57" s="17"/>
      <c r="J57" s="17"/>
      <c r="K57" s="17"/>
      <c r="L57" s="17"/>
    </row>
    <row r="58" spans="1:12" x14ac:dyDescent="0.2">
      <c r="E58" s="7"/>
      <c r="F58" s="5">
        <f>SUM(F56:F57)</f>
        <v>8000</v>
      </c>
      <c r="G58" s="5">
        <f>SUM(G56:G57)</f>
        <v>8000</v>
      </c>
      <c r="H58" s="17"/>
      <c r="I58" s="17"/>
      <c r="J58" s="17"/>
      <c r="K58" s="17"/>
      <c r="L58" s="17"/>
    </row>
    <row r="59" spans="1:12" ht="18" x14ac:dyDescent="0.25">
      <c r="A59" s="102"/>
      <c r="B59" s="102"/>
      <c r="C59" s="102"/>
      <c r="D59" s="102"/>
      <c r="E59" s="103">
        <v>6</v>
      </c>
      <c r="F59" s="104"/>
      <c r="G59" s="104"/>
      <c r="H59" s="17"/>
      <c r="I59" s="17"/>
      <c r="J59" s="17"/>
      <c r="K59" s="17"/>
      <c r="L59" s="17"/>
    </row>
    <row r="60" spans="1:12" x14ac:dyDescent="0.2">
      <c r="B60" s="9">
        <v>64</v>
      </c>
      <c r="D60" s="52" t="s">
        <v>8</v>
      </c>
      <c r="E60" s="8"/>
      <c r="F60" s="7">
        <v>5000</v>
      </c>
      <c r="G60" s="7"/>
      <c r="H60" s="17"/>
      <c r="I60" s="17"/>
      <c r="J60" s="17"/>
      <c r="K60" s="17"/>
      <c r="L60" s="17"/>
    </row>
    <row r="61" spans="1:12" x14ac:dyDescent="0.2">
      <c r="E61" s="15" t="s">
        <v>179</v>
      </c>
      <c r="F61" s="7"/>
      <c r="G61" s="7">
        <v>5000</v>
      </c>
      <c r="H61" s="17"/>
      <c r="I61" s="17"/>
      <c r="J61" s="17"/>
      <c r="K61" s="17"/>
      <c r="L61" s="17"/>
    </row>
    <row r="62" spans="1:12" x14ac:dyDescent="0.2">
      <c r="B62" s="9">
        <v>66</v>
      </c>
      <c r="D62" s="9" t="s">
        <v>48</v>
      </c>
      <c r="E62" s="8"/>
      <c r="F62" s="7">
        <v>1500</v>
      </c>
      <c r="G62" s="7"/>
      <c r="H62" s="17"/>
      <c r="I62" s="17"/>
      <c r="J62" s="17"/>
      <c r="K62" s="17"/>
      <c r="L62" s="17"/>
    </row>
    <row r="63" spans="1:12" ht="13.5" thickBot="1" x14ac:dyDescent="0.25">
      <c r="C63" s="9">
        <v>10</v>
      </c>
      <c r="E63" s="15" t="s">
        <v>179</v>
      </c>
      <c r="F63" s="53"/>
      <c r="G63" s="53">
        <v>1500</v>
      </c>
      <c r="H63" s="17"/>
      <c r="I63" s="17"/>
      <c r="J63" s="17"/>
      <c r="K63" s="17"/>
      <c r="L63" s="17"/>
    </row>
    <row r="64" spans="1:12" x14ac:dyDescent="0.2">
      <c r="E64" s="7"/>
      <c r="F64" s="5">
        <f>SUM(F60:F63)</f>
        <v>6500</v>
      </c>
      <c r="G64" s="5">
        <f>SUM(G60:G63)</f>
        <v>6500</v>
      </c>
      <c r="H64" s="17"/>
      <c r="I64" s="17"/>
      <c r="J64" s="17"/>
      <c r="K64" s="17"/>
      <c r="L64" s="17"/>
    </row>
    <row r="65" spans="1:12" ht="18" x14ac:dyDescent="0.25">
      <c r="A65" s="102"/>
      <c r="B65" s="102"/>
      <c r="C65" s="102"/>
      <c r="D65" s="102"/>
      <c r="E65" s="103">
        <v>7</v>
      </c>
      <c r="F65" s="104"/>
      <c r="G65" s="104"/>
      <c r="H65" s="17"/>
      <c r="I65" s="17"/>
      <c r="J65" s="17"/>
      <c r="K65" s="17"/>
      <c r="L65" s="17"/>
    </row>
    <row r="66" spans="1:12" x14ac:dyDescent="0.2">
      <c r="B66" s="9">
        <v>38</v>
      </c>
      <c r="D66" s="52" t="s">
        <v>62</v>
      </c>
      <c r="E66" s="8"/>
      <c r="F66" s="7">
        <v>4000</v>
      </c>
      <c r="G66" s="7"/>
      <c r="H66" s="17"/>
      <c r="I66" s="17"/>
      <c r="J66" s="17"/>
      <c r="K66" s="17"/>
      <c r="L66" s="17"/>
    </row>
    <row r="67" spans="1:12" ht="13.5" thickBot="1" x14ac:dyDescent="0.25">
      <c r="C67" s="9">
        <v>10</v>
      </c>
      <c r="E67" s="15" t="s">
        <v>179</v>
      </c>
      <c r="F67" s="53"/>
      <c r="G67" s="53">
        <v>4000</v>
      </c>
      <c r="H67" s="17"/>
      <c r="I67" s="17"/>
      <c r="J67" s="17"/>
      <c r="K67" s="17"/>
      <c r="L67" s="17"/>
    </row>
    <row r="68" spans="1:12" x14ac:dyDescent="0.2">
      <c r="E68" s="7"/>
      <c r="F68" s="5">
        <f>SUM(F66:F67)</f>
        <v>4000</v>
      </c>
      <c r="G68" s="5">
        <f>SUM(G66:G67)</f>
        <v>4000</v>
      </c>
      <c r="H68" s="17"/>
      <c r="I68" s="17"/>
      <c r="J68" s="17"/>
      <c r="K68" s="17"/>
      <c r="L68" s="17"/>
    </row>
    <row r="69" spans="1:12" ht="18" x14ac:dyDescent="0.25">
      <c r="A69" s="102"/>
      <c r="B69" s="102"/>
      <c r="C69" s="102"/>
      <c r="D69" s="102"/>
      <c r="E69" s="103">
        <v>8</v>
      </c>
      <c r="F69" s="104"/>
      <c r="G69" s="104"/>
      <c r="H69" s="17"/>
      <c r="I69" s="17"/>
      <c r="J69" s="17"/>
      <c r="K69" s="17"/>
      <c r="L69" s="17"/>
    </row>
    <row r="70" spans="1:12" x14ac:dyDescent="0.2">
      <c r="B70" s="9">
        <v>65</v>
      </c>
      <c r="D70" s="52" t="s">
        <v>63</v>
      </c>
      <c r="E70" s="8"/>
      <c r="F70" s="7">
        <v>400</v>
      </c>
      <c r="G70" s="7"/>
      <c r="H70" s="17"/>
      <c r="I70" s="17"/>
      <c r="J70" s="17"/>
      <c r="K70" s="17"/>
      <c r="L70" s="17"/>
    </row>
    <row r="71" spans="1:12" x14ac:dyDescent="0.2">
      <c r="B71" s="9">
        <v>40</v>
      </c>
      <c r="E71" s="15" t="s">
        <v>179</v>
      </c>
      <c r="F71" s="7"/>
      <c r="G71" s="7">
        <f>F70</f>
        <v>400</v>
      </c>
      <c r="H71" s="17"/>
      <c r="I71" s="17"/>
      <c r="J71" s="17"/>
      <c r="K71" s="17"/>
      <c r="L71" s="17"/>
    </row>
    <row r="72" spans="1:12" x14ac:dyDescent="0.2">
      <c r="C72" s="9">
        <v>10</v>
      </c>
      <c r="D72" t="s">
        <v>61</v>
      </c>
      <c r="E72" s="7"/>
      <c r="F72" s="7">
        <f>F70*18%</f>
        <v>72</v>
      </c>
      <c r="G72" s="7"/>
      <c r="H72" s="17"/>
      <c r="I72" s="17"/>
      <c r="J72" s="17"/>
      <c r="K72" s="17"/>
      <c r="L72" s="17"/>
    </row>
    <row r="73" spans="1:12" ht="13.5" thickBot="1" x14ac:dyDescent="0.25">
      <c r="C73" s="9">
        <v>10</v>
      </c>
      <c r="E73" s="15" t="s">
        <v>179</v>
      </c>
      <c r="F73" s="53"/>
      <c r="G73" s="53">
        <f>F72</f>
        <v>72</v>
      </c>
      <c r="H73" s="17"/>
      <c r="I73" s="17"/>
      <c r="J73" s="17"/>
      <c r="K73" s="17"/>
      <c r="L73" s="17"/>
    </row>
    <row r="74" spans="1:12" x14ac:dyDescent="0.2">
      <c r="E74" s="7"/>
      <c r="F74" s="5">
        <f>SUM(F70:F73)</f>
        <v>472</v>
      </c>
      <c r="G74" s="5">
        <f>SUM(G70:G73)</f>
        <v>472</v>
      </c>
      <c r="H74" s="17"/>
      <c r="I74" s="17"/>
      <c r="J74" s="17"/>
      <c r="K74" s="17"/>
      <c r="L74" s="17"/>
    </row>
    <row r="75" spans="1:12" ht="18" x14ac:dyDescent="0.25">
      <c r="A75" s="102"/>
      <c r="B75" s="102"/>
      <c r="C75" s="102"/>
      <c r="D75" s="102"/>
      <c r="E75" s="103">
        <v>9</v>
      </c>
      <c r="F75" s="104"/>
      <c r="G75" s="104"/>
      <c r="H75" s="17"/>
      <c r="I75" s="17"/>
      <c r="J75" s="17"/>
      <c r="K75" s="17"/>
      <c r="L75" s="17"/>
    </row>
    <row r="76" spans="1:12" x14ac:dyDescent="0.2">
      <c r="B76" s="9">
        <v>10</v>
      </c>
      <c r="D76" s="15" t="s">
        <v>179</v>
      </c>
      <c r="E76" s="8"/>
      <c r="F76" s="7">
        <v>30000</v>
      </c>
      <c r="G76" s="7"/>
    </row>
    <row r="77" spans="1:12" x14ac:dyDescent="0.2">
      <c r="E77" s="23" t="s">
        <v>31</v>
      </c>
      <c r="F77" s="7"/>
      <c r="G77" s="7">
        <v>30000</v>
      </c>
    </row>
    <row r="78" spans="1:12" x14ac:dyDescent="0.2">
      <c r="B78" s="9">
        <v>67</v>
      </c>
      <c r="D78" s="52" t="s">
        <v>115</v>
      </c>
      <c r="E78" s="8"/>
      <c r="F78" s="7">
        <f>10%*F76</f>
        <v>3000</v>
      </c>
      <c r="G78" s="7"/>
      <c r="H78" s="17"/>
      <c r="I78" s="17"/>
      <c r="J78" s="17"/>
      <c r="K78" s="17"/>
      <c r="L78" s="17"/>
    </row>
    <row r="79" spans="1:12" ht="13.5" thickBot="1" x14ac:dyDescent="0.25">
      <c r="C79" s="9">
        <v>46</v>
      </c>
      <c r="E79" s="23" t="s">
        <v>31</v>
      </c>
      <c r="F79" s="53"/>
      <c r="G79" s="53">
        <f>10%*G77</f>
        <v>3000</v>
      </c>
      <c r="H79" s="17"/>
      <c r="I79" s="17"/>
      <c r="J79" s="17"/>
      <c r="K79" s="17"/>
      <c r="L79" s="17"/>
    </row>
    <row r="80" spans="1:12" x14ac:dyDescent="0.2">
      <c r="E80" s="23"/>
      <c r="F80" s="5">
        <f>SUM(F76:F79)</f>
        <v>33000</v>
      </c>
      <c r="G80" s="5">
        <f>SUM(G76:G79)</f>
        <v>33000</v>
      </c>
      <c r="H80" s="17"/>
      <c r="I80" s="17"/>
      <c r="J80" s="17"/>
      <c r="K80" s="17"/>
      <c r="L80" s="17"/>
    </row>
    <row r="81" spans="1:12" ht="15.75" x14ac:dyDescent="0.25">
      <c r="A81" s="102"/>
      <c r="B81" s="102"/>
      <c r="C81" s="102"/>
      <c r="D81" s="102"/>
      <c r="E81" s="106">
        <v>10</v>
      </c>
      <c r="F81" s="104"/>
      <c r="G81" s="104"/>
      <c r="H81" s="17"/>
      <c r="I81" s="17"/>
      <c r="J81" s="17"/>
      <c r="K81" s="17"/>
      <c r="L81" s="17"/>
    </row>
    <row r="82" spans="1:12" x14ac:dyDescent="0.2">
      <c r="B82" s="9">
        <v>68</v>
      </c>
      <c r="D82" s="52" t="s">
        <v>64</v>
      </c>
      <c r="E82" s="8"/>
      <c r="F82" s="7">
        <v>35000</v>
      </c>
      <c r="G82" s="7"/>
      <c r="H82" s="17"/>
      <c r="I82" s="17"/>
      <c r="J82" s="17"/>
      <c r="K82" s="17"/>
      <c r="L82" s="17"/>
    </row>
    <row r="83" spans="1:12" ht="13.5" thickBot="1" x14ac:dyDescent="0.25">
      <c r="C83" s="9">
        <v>39</v>
      </c>
      <c r="E83" s="8" t="s">
        <v>35</v>
      </c>
      <c r="F83" s="53"/>
      <c r="G83" s="53">
        <v>35000</v>
      </c>
      <c r="H83" s="17"/>
      <c r="I83" s="17"/>
      <c r="J83" s="17"/>
      <c r="K83" s="17"/>
      <c r="L83" s="17"/>
    </row>
    <row r="84" spans="1:12" x14ac:dyDescent="0.2">
      <c r="E84" s="8"/>
      <c r="F84" s="5">
        <f>SUM(F82:F83)</f>
        <v>35000</v>
      </c>
      <c r="G84" s="5">
        <f>SUM(G82:G83)</f>
        <v>35000</v>
      </c>
      <c r="H84" s="17"/>
      <c r="I84" s="17"/>
      <c r="J84" s="17"/>
      <c r="K84" s="17"/>
      <c r="L84" s="17"/>
    </row>
    <row r="85" spans="1:12" ht="18" x14ac:dyDescent="0.25">
      <c r="A85" s="102"/>
      <c r="B85" s="102"/>
      <c r="C85" s="102"/>
      <c r="D85" s="102"/>
      <c r="E85" s="103">
        <v>11</v>
      </c>
      <c r="F85" s="104"/>
      <c r="G85" s="104"/>
      <c r="H85" s="17"/>
      <c r="I85" s="17"/>
      <c r="J85" s="17"/>
      <c r="K85" s="17"/>
      <c r="L85" s="17"/>
    </row>
    <row r="86" spans="1:12" x14ac:dyDescent="0.2">
      <c r="B86" s="9">
        <v>34</v>
      </c>
      <c r="D86" s="52" t="s">
        <v>65</v>
      </c>
      <c r="E86" s="8"/>
      <c r="F86" s="7">
        <v>40000</v>
      </c>
      <c r="G86" s="7"/>
      <c r="H86" s="17"/>
      <c r="I86" s="17"/>
      <c r="J86" s="17"/>
      <c r="K86" s="17"/>
      <c r="L86" s="17"/>
    </row>
    <row r="87" spans="1:12" ht="13.5" thickBot="1" x14ac:dyDescent="0.25">
      <c r="C87" s="9">
        <v>50</v>
      </c>
      <c r="E87" s="51" t="s">
        <v>57</v>
      </c>
      <c r="F87" s="53"/>
      <c r="G87" s="53">
        <v>40000</v>
      </c>
      <c r="H87" s="17"/>
      <c r="I87" s="17"/>
      <c r="J87" s="17"/>
      <c r="K87" s="17"/>
      <c r="L87" s="17"/>
    </row>
    <row r="88" spans="1:12" x14ac:dyDescent="0.2">
      <c r="E88" s="23"/>
      <c r="F88" s="5">
        <f>SUM(F86:F87)</f>
        <v>40000</v>
      </c>
      <c r="G88" s="5">
        <f>SUM(G86:G87)</f>
        <v>40000</v>
      </c>
      <c r="H88" s="17"/>
      <c r="I88" s="17"/>
      <c r="J88" s="17"/>
      <c r="K88" s="17"/>
      <c r="L88" s="17"/>
    </row>
    <row r="89" spans="1:12" ht="18" x14ac:dyDescent="0.25">
      <c r="A89" s="102"/>
      <c r="B89" s="102"/>
      <c r="C89" s="102"/>
      <c r="D89" s="102"/>
      <c r="E89" s="103">
        <v>12</v>
      </c>
      <c r="F89" s="104"/>
      <c r="G89" s="104"/>
      <c r="H89" s="17"/>
      <c r="I89" s="17"/>
      <c r="J89" s="17"/>
      <c r="K89" s="17"/>
      <c r="L89" s="17"/>
    </row>
    <row r="90" spans="1:12" x14ac:dyDescent="0.2">
      <c r="B90" s="9">
        <v>68</v>
      </c>
      <c r="D90" s="52" t="s">
        <v>68</v>
      </c>
      <c r="E90" s="8"/>
      <c r="F90" s="7">
        <v>24000</v>
      </c>
      <c r="G90" s="7"/>
      <c r="H90" s="17"/>
      <c r="I90" s="17"/>
      <c r="J90" s="17"/>
      <c r="K90" s="17"/>
      <c r="L90" s="17"/>
    </row>
    <row r="91" spans="1:12" x14ac:dyDescent="0.2">
      <c r="E91" s="51" t="s">
        <v>140</v>
      </c>
      <c r="F91" s="7"/>
      <c r="G91" s="7">
        <v>24000</v>
      </c>
      <c r="H91" s="17"/>
      <c r="I91" s="17"/>
      <c r="J91" s="17"/>
      <c r="K91" s="17"/>
      <c r="L91" s="17"/>
    </row>
    <row r="92" spans="1:12" x14ac:dyDescent="0.2">
      <c r="B92" s="9">
        <v>68</v>
      </c>
      <c r="D92" t="s">
        <v>118</v>
      </c>
      <c r="E92" s="8"/>
      <c r="F92" s="7">
        <v>4500</v>
      </c>
      <c r="G92" s="7"/>
      <c r="H92" s="17"/>
      <c r="I92" s="17"/>
      <c r="J92" s="17"/>
      <c r="K92" s="17"/>
      <c r="L92" s="17"/>
    </row>
    <row r="93" spans="1:12" x14ac:dyDescent="0.2">
      <c r="B93" s="9">
        <v>68</v>
      </c>
      <c r="E93" s="78" t="s">
        <v>122</v>
      </c>
      <c r="F93" s="7"/>
      <c r="G93" s="7">
        <v>4500</v>
      </c>
      <c r="H93" s="17"/>
      <c r="I93" s="17"/>
      <c r="J93" s="17"/>
      <c r="K93" s="17"/>
      <c r="L93" s="17"/>
    </row>
    <row r="94" spans="1:12" x14ac:dyDescent="0.2">
      <c r="C94" s="9">
        <v>47</v>
      </c>
      <c r="D94" s="52" t="s">
        <v>66</v>
      </c>
      <c r="E94" s="8"/>
      <c r="F94" s="7">
        <v>6000</v>
      </c>
      <c r="H94" s="17"/>
      <c r="I94" s="17"/>
      <c r="J94" s="17"/>
      <c r="K94" s="17"/>
      <c r="L94" s="17"/>
    </row>
    <row r="95" spans="1:12" ht="13.5" thickBot="1" x14ac:dyDescent="0.25">
      <c r="C95" s="9">
        <v>39</v>
      </c>
      <c r="E95" s="8" t="s">
        <v>35</v>
      </c>
      <c r="F95" s="53"/>
      <c r="G95" s="53">
        <v>6000</v>
      </c>
      <c r="H95" s="17"/>
      <c r="I95" s="17"/>
      <c r="J95" s="17"/>
      <c r="K95" s="17"/>
      <c r="L95" s="17"/>
    </row>
    <row r="96" spans="1:12" x14ac:dyDescent="0.2">
      <c r="E96" s="8"/>
      <c r="F96" s="5">
        <f>SUM(F90:F95)</f>
        <v>34500</v>
      </c>
      <c r="G96" s="5">
        <f>SUM(G90:G95)</f>
        <v>34500</v>
      </c>
      <c r="H96" s="17"/>
      <c r="I96" s="17"/>
      <c r="J96" s="17"/>
      <c r="K96" s="17"/>
      <c r="L96" s="17"/>
    </row>
    <row r="97" spans="1:12" ht="18" x14ac:dyDescent="0.25">
      <c r="A97" s="102"/>
      <c r="B97" s="102"/>
      <c r="C97" s="102"/>
      <c r="D97" s="102"/>
      <c r="E97" s="103">
        <v>13</v>
      </c>
      <c r="F97" s="104"/>
      <c r="G97" s="104"/>
      <c r="H97" s="17"/>
      <c r="I97" s="17"/>
      <c r="J97" s="17"/>
      <c r="K97" s="17"/>
      <c r="L97" s="17"/>
    </row>
    <row r="98" spans="1:12" x14ac:dyDescent="0.2">
      <c r="B98" s="9">
        <v>60</v>
      </c>
      <c r="D98" s="52" t="s">
        <v>46</v>
      </c>
      <c r="E98" s="8"/>
      <c r="F98" s="7">
        <v>35000</v>
      </c>
      <c r="G98" s="7"/>
      <c r="H98" s="17"/>
      <c r="I98" s="17"/>
      <c r="J98" s="17"/>
      <c r="K98" s="17"/>
      <c r="L98" s="17"/>
    </row>
    <row r="99" spans="1:12" x14ac:dyDescent="0.2">
      <c r="D99" s="52"/>
      <c r="E99" s="15" t="s">
        <v>179</v>
      </c>
      <c r="F99" s="7"/>
      <c r="G99" s="7">
        <f>F98*50%</f>
        <v>17500</v>
      </c>
      <c r="H99" s="17"/>
      <c r="I99" s="17"/>
      <c r="J99" s="17"/>
      <c r="K99" s="17"/>
      <c r="L99" s="17"/>
    </row>
    <row r="100" spans="1:12" x14ac:dyDescent="0.2">
      <c r="B100" s="9">
        <v>40</v>
      </c>
      <c r="E100" s="23" t="s">
        <v>9</v>
      </c>
      <c r="F100" s="7"/>
      <c r="G100" s="7">
        <f>G99</f>
        <v>17500</v>
      </c>
      <c r="H100" s="17"/>
      <c r="I100" s="17"/>
      <c r="J100" s="17"/>
      <c r="K100" s="17"/>
      <c r="L100" s="17"/>
    </row>
    <row r="101" spans="1:12" x14ac:dyDescent="0.2">
      <c r="C101" s="9">
        <v>10</v>
      </c>
      <c r="D101" s="9" t="s">
        <v>34</v>
      </c>
      <c r="E101" s="8"/>
      <c r="F101" s="7">
        <f>18%*F98</f>
        <v>6300</v>
      </c>
      <c r="H101" s="17"/>
      <c r="I101" s="17"/>
      <c r="J101" s="17"/>
      <c r="K101" s="17"/>
      <c r="L101" s="17"/>
    </row>
    <row r="102" spans="1:12" ht="13.5" thickBot="1" x14ac:dyDescent="0.25">
      <c r="C102" s="9">
        <v>10</v>
      </c>
      <c r="E102" s="15" t="s">
        <v>179</v>
      </c>
      <c r="F102" s="53"/>
      <c r="G102" s="53">
        <f>F101</f>
        <v>6300</v>
      </c>
      <c r="H102" s="17"/>
      <c r="I102" s="17"/>
      <c r="J102" s="17"/>
      <c r="K102" s="17"/>
      <c r="L102" s="17"/>
    </row>
    <row r="103" spans="1:12" x14ac:dyDescent="0.2">
      <c r="E103" s="7"/>
      <c r="F103" s="5">
        <f>SUM(F98:F102)</f>
        <v>41300</v>
      </c>
      <c r="G103" s="5">
        <f>SUM(G98:G102)</f>
        <v>41300</v>
      </c>
      <c r="H103" s="17"/>
      <c r="I103" s="17"/>
      <c r="J103" s="17"/>
      <c r="K103" s="17"/>
      <c r="L103" s="17"/>
    </row>
    <row r="104" spans="1:12" ht="18" x14ac:dyDescent="0.25">
      <c r="A104" s="102"/>
      <c r="B104" s="102"/>
      <c r="C104" s="102"/>
      <c r="D104" s="102"/>
      <c r="E104" s="103">
        <v>14</v>
      </c>
      <c r="F104" s="104"/>
      <c r="G104" s="104"/>
      <c r="H104" s="17"/>
      <c r="I104" s="17"/>
      <c r="J104" s="17"/>
      <c r="K104" s="17"/>
      <c r="L104" s="17"/>
    </row>
    <row r="105" spans="1:12" x14ac:dyDescent="0.2">
      <c r="B105" s="9">
        <v>16</v>
      </c>
      <c r="D105" s="20" t="s">
        <v>36</v>
      </c>
      <c r="E105" s="8"/>
      <c r="F105" s="7">
        <v>50000</v>
      </c>
      <c r="G105" s="7"/>
      <c r="H105" s="17"/>
      <c r="I105" s="17"/>
      <c r="J105" s="17"/>
      <c r="K105" s="17"/>
      <c r="L105" s="17"/>
    </row>
    <row r="106" spans="1:12" x14ac:dyDescent="0.2">
      <c r="D106" s="20"/>
      <c r="E106" s="15" t="s">
        <v>179</v>
      </c>
      <c r="F106" s="7"/>
      <c r="G106" s="7">
        <v>50000</v>
      </c>
      <c r="H106" s="17"/>
      <c r="I106" s="17"/>
      <c r="J106" s="17"/>
      <c r="K106" s="17"/>
      <c r="L106" s="17"/>
    </row>
    <row r="107" spans="1:12" x14ac:dyDescent="0.2">
      <c r="B107" s="9">
        <v>16</v>
      </c>
      <c r="D107" s="20" t="s">
        <v>36</v>
      </c>
      <c r="E107" s="8"/>
      <c r="F107" s="7">
        <v>5000</v>
      </c>
      <c r="G107" s="7"/>
      <c r="H107" s="17"/>
      <c r="I107" s="17"/>
      <c r="J107" s="17"/>
      <c r="K107" s="17"/>
      <c r="L107" s="17"/>
    </row>
    <row r="108" spans="1:12" ht="13.5" thickBot="1" x14ac:dyDescent="0.25">
      <c r="C108" s="9">
        <v>77</v>
      </c>
      <c r="E108" s="23" t="s">
        <v>37</v>
      </c>
      <c r="F108" s="53"/>
      <c r="G108" s="53">
        <v>5000</v>
      </c>
      <c r="H108" s="17"/>
      <c r="I108" s="17"/>
      <c r="J108" s="17"/>
      <c r="K108" s="17"/>
      <c r="L108" s="17"/>
    </row>
    <row r="109" spans="1:12" x14ac:dyDescent="0.2">
      <c r="E109" s="23"/>
      <c r="F109" s="5">
        <f>SUM(F105:F108)</f>
        <v>55000</v>
      </c>
      <c r="G109" s="5">
        <f>SUM(G105:G108)</f>
        <v>55000</v>
      </c>
      <c r="H109" s="17"/>
      <c r="I109" s="17"/>
      <c r="J109" s="17"/>
      <c r="K109" s="17"/>
      <c r="L109" s="17"/>
    </row>
    <row r="110" spans="1:12" ht="18" x14ac:dyDescent="0.25">
      <c r="A110" s="102"/>
      <c r="B110" s="102"/>
      <c r="C110" s="102"/>
      <c r="D110" s="102"/>
      <c r="E110" s="103">
        <v>15</v>
      </c>
      <c r="F110" s="104"/>
      <c r="G110" s="104"/>
      <c r="H110" s="17"/>
      <c r="I110" s="17"/>
      <c r="J110" s="17"/>
      <c r="K110" s="17"/>
      <c r="L110" s="17"/>
    </row>
    <row r="111" spans="1:12" x14ac:dyDescent="0.2">
      <c r="B111" s="9">
        <v>10</v>
      </c>
      <c r="D111" s="15" t="s">
        <v>179</v>
      </c>
      <c r="E111" s="8"/>
      <c r="F111" s="7">
        <v>6000</v>
      </c>
      <c r="G111" s="7"/>
      <c r="H111" s="17"/>
      <c r="I111" s="17"/>
      <c r="J111" s="17"/>
      <c r="K111" s="17"/>
      <c r="L111" s="17"/>
    </row>
    <row r="112" spans="1:12" ht="13.5" thickBot="1" x14ac:dyDescent="0.25">
      <c r="C112" s="9">
        <v>12</v>
      </c>
      <c r="E112" s="23" t="s">
        <v>1</v>
      </c>
      <c r="F112" s="53"/>
      <c r="G112" s="53">
        <v>6000</v>
      </c>
      <c r="H112" s="17"/>
      <c r="I112" s="17"/>
      <c r="J112" s="17"/>
      <c r="K112" s="17"/>
      <c r="L112" s="17"/>
    </row>
    <row r="113" spans="1:12" x14ac:dyDescent="0.2">
      <c r="E113" s="23"/>
      <c r="F113" s="5">
        <f>SUM(F111:F112)</f>
        <v>6000</v>
      </c>
      <c r="G113" s="5">
        <f>SUM(G111:G112)</f>
        <v>6000</v>
      </c>
      <c r="H113" s="17"/>
      <c r="I113" s="17"/>
      <c r="J113" s="17"/>
      <c r="K113" s="17"/>
      <c r="L113" s="17"/>
    </row>
    <row r="114" spans="1:12" ht="18" x14ac:dyDescent="0.25">
      <c r="A114" s="102"/>
      <c r="B114" s="102"/>
      <c r="C114" s="102"/>
      <c r="D114" s="102"/>
      <c r="E114" s="103">
        <v>16</v>
      </c>
      <c r="F114" s="104"/>
      <c r="G114" s="104"/>
      <c r="H114" s="17"/>
      <c r="I114" s="17"/>
      <c r="J114" s="17"/>
      <c r="K114" s="17"/>
      <c r="L114" s="17"/>
    </row>
    <row r="115" spans="1:12" x14ac:dyDescent="0.2">
      <c r="B115" s="9">
        <v>31</v>
      </c>
      <c r="D115" s="9" t="s">
        <v>14</v>
      </c>
      <c r="E115" s="8"/>
      <c r="F115" s="7">
        <v>9000</v>
      </c>
      <c r="G115" s="7"/>
      <c r="H115" s="17"/>
      <c r="I115" s="17"/>
      <c r="J115" s="17"/>
      <c r="K115" s="17"/>
      <c r="L115" s="17"/>
    </row>
    <row r="116" spans="1:12" ht="13.5" thickBot="1" x14ac:dyDescent="0.25">
      <c r="C116" s="9">
        <v>10</v>
      </c>
      <c r="E116" s="15" t="s">
        <v>179</v>
      </c>
      <c r="F116" s="53"/>
      <c r="G116" s="53">
        <v>9000</v>
      </c>
      <c r="H116" s="17"/>
      <c r="I116" s="17"/>
      <c r="J116" s="17"/>
      <c r="K116" s="17"/>
      <c r="L116" s="17"/>
    </row>
    <row r="117" spans="1:12" x14ac:dyDescent="0.2">
      <c r="E117" s="7"/>
      <c r="F117" s="5">
        <f>SUM(F115:F116)</f>
        <v>9000</v>
      </c>
      <c r="G117" s="5">
        <f>SUM(G115:G116)</f>
        <v>9000</v>
      </c>
      <c r="H117" s="17"/>
      <c r="I117" s="17"/>
      <c r="J117" s="17"/>
      <c r="K117" s="17"/>
      <c r="L117" s="17"/>
    </row>
    <row r="118" spans="1:12" ht="18" x14ac:dyDescent="0.25">
      <c r="A118" s="102"/>
      <c r="B118" s="102"/>
      <c r="C118" s="102"/>
      <c r="D118" s="102"/>
      <c r="E118" s="103">
        <v>17</v>
      </c>
      <c r="F118" s="104"/>
      <c r="G118" s="104"/>
      <c r="H118" s="17"/>
      <c r="I118" s="17"/>
      <c r="J118" s="17"/>
      <c r="K118" s="17"/>
      <c r="L118" s="17"/>
    </row>
    <row r="119" spans="1:12" ht="14.25" customHeight="1" x14ac:dyDescent="0.25">
      <c r="A119" s="17"/>
      <c r="B119" s="17"/>
      <c r="C119" s="17"/>
      <c r="D119" s="47" t="s">
        <v>0</v>
      </c>
      <c r="E119" s="59"/>
      <c r="F119" s="49"/>
      <c r="G119" s="61">
        <v>50000</v>
      </c>
      <c r="H119" s="17"/>
      <c r="I119" s="17"/>
      <c r="J119" s="17"/>
      <c r="K119" s="17"/>
      <c r="L119" s="17"/>
    </row>
    <row r="120" spans="1:12" ht="14.25" customHeight="1" x14ac:dyDescent="0.2">
      <c r="A120" s="17"/>
      <c r="B120" s="17"/>
      <c r="C120" s="17"/>
      <c r="D120" s="47"/>
      <c r="E120" s="15" t="s">
        <v>179</v>
      </c>
      <c r="F120" s="60">
        <f>G119*30%</f>
        <v>15000</v>
      </c>
      <c r="G120" s="7"/>
      <c r="H120" s="17"/>
      <c r="I120" s="17"/>
      <c r="J120" s="17"/>
      <c r="K120" s="17"/>
      <c r="L120" s="17"/>
    </row>
    <row r="121" spans="1:12" x14ac:dyDescent="0.2">
      <c r="B121" s="9">
        <v>10</v>
      </c>
      <c r="E121" s="9" t="s">
        <v>1</v>
      </c>
      <c r="F121" s="60">
        <f>G119-F120</f>
        <v>35000</v>
      </c>
      <c r="G121" s="7"/>
      <c r="H121" s="17"/>
      <c r="I121" s="17"/>
      <c r="J121" s="17"/>
      <c r="K121" s="17"/>
      <c r="L121" s="17"/>
    </row>
    <row r="122" spans="1:12" x14ac:dyDescent="0.2">
      <c r="B122" s="9">
        <v>12</v>
      </c>
      <c r="D122" s="52" t="s">
        <v>46</v>
      </c>
      <c r="E122" s="8"/>
      <c r="F122" s="7"/>
      <c r="G122" s="7">
        <v>40000</v>
      </c>
      <c r="H122" s="17"/>
      <c r="I122" s="17"/>
      <c r="J122" s="17"/>
      <c r="K122" s="17"/>
      <c r="L122" s="17"/>
    </row>
    <row r="123" spans="1:12" x14ac:dyDescent="0.2">
      <c r="B123" s="9">
        <v>12</v>
      </c>
      <c r="E123" s="51" t="s">
        <v>51</v>
      </c>
      <c r="F123" s="62">
        <v>40000</v>
      </c>
      <c r="G123" s="62"/>
      <c r="H123" s="17"/>
      <c r="I123" s="17"/>
      <c r="J123" s="17"/>
      <c r="K123" s="17"/>
      <c r="L123" s="17"/>
    </row>
    <row r="124" spans="1:12" x14ac:dyDescent="0.2">
      <c r="D124" s="52" t="s">
        <v>69</v>
      </c>
      <c r="E124" s="51"/>
      <c r="F124" s="62">
        <f>5%*F121</f>
        <v>1750</v>
      </c>
      <c r="G124" s="62"/>
      <c r="H124" s="17"/>
      <c r="I124" s="17"/>
      <c r="J124" s="17"/>
      <c r="K124" s="17"/>
      <c r="L124" s="17"/>
    </row>
    <row r="125" spans="1:12" ht="13.5" thickBot="1" x14ac:dyDescent="0.25">
      <c r="E125" s="51" t="s">
        <v>1</v>
      </c>
      <c r="F125" s="53"/>
      <c r="G125" s="53">
        <f>F124</f>
        <v>1750</v>
      </c>
      <c r="H125" s="17"/>
      <c r="I125" s="17"/>
      <c r="J125" s="17"/>
      <c r="K125" s="17"/>
      <c r="L125" s="17"/>
    </row>
    <row r="126" spans="1:12" x14ac:dyDescent="0.2">
      <c r="E126" s="23"/>
      <c r="F126" s="5">
        <f>SUM(F119:F125)</f>
        <v>91750</v>
      </c>
      <c r="G126" s="5">
        <f>SUM(G119:G125)</f>
        <v>91750</v>
      </c>
      <c r="H126" s="17"/>
      <c r="I126" s="17"/>
      <c r="J126" s="17"/>
      <c r="K126" s="17"/>
      <c r="L126" s="17"/>
    </row>
    <row r="127" spans="1:12" ht="18" x14ac:dyDescent="0.25">
      <c r="A127" s="102"/>
      <c r="B127" s="102"/>
      <c r="C127" s="102"/>
      <c r="D127" s="102"/>
      <c r="E127" s="103">
        <v>18</v>
      </c>
      <c r="F127" s="104"/>
      <c r="G127" s="104"/>
      <c r="H127" s="17"/>
      <c r="I127" s="17"/>
      <c r="J127" s="17"/>
      <c r="K127" s="17"/>
      <c r="L127" s="17"/>
    </row>
    <row r="128" spans="1:12" x14ac:dyDescent="0.2">
      <c r="B128" s="9">
        <v>62</v>
      </c>
      <c r="D128" s="52" t="s">
        <v>71</v>
      </c>
      <c r="E128" s="8"/>
      <c r="F128" s="7">
        <v>4000</v>
      </c>
      <c r="G128" s="7"/>
      <c r="H128" s="17"/>
      <c r="I128" s="17"/>
      <c r="J128" s="17"/>
      <c r="K128" s="17"/>
      <c r="L128" s="17"/>
    </row>
    <row r="129" spans="1:12" ht="13.5" thickBot="1" x14ac:dyDescent="0.25">
      <c r="C129" s="9">
        <v>10</v>
      </c>
      <c r="E129" s="15" t="s">
        <v>179</v>
      </c>
      <c r="F129" s="53"/>
      <c r="G129" s="53">
        <v>4000</v>
      </c>
      <c r="H129" s="17"/>
      <c r="I129" s="17"/>
      <c r="J129" s="17"/>
      <c r="K129" s="17"/>
      <c r="L129" s="17"/>
    </row>
    <row r="130" spans="1:12" x14ac:dyDescent="0.2">
      <c r="E130" s="7"/>
      <c r="F130" s="5">
        <f>SUM(F128:F129)</f>
        <v>4000</v>
      </c>
      <c r="G130" s="5">
        <f>SUM(G128:G129)</f>
        <v>4000</v>
      </c>
      <c r="H130" s="17"/>
      <c r="I130" s="17"/>
      <c r="J130" s="17"/>
      <c r="K130" s="17"/>
      <c r="L130" s="17"/>
    </row>
    <row r="131" spans="1:12" ht="18" x14ac:dyDescent="0.25">
      <c r="A131" s="102"/>
      <c r="B131" s="102"/>
      <c r="C131" s="102"/>
      <c r="D131" s="102"/>
      <c r="E131" s="103">
        <v>19</v>
      </c>
      <c r="F131" s="104"/>
      <c r="G131" s="104"/>
      <c r="H131" s="17"/>
      <c r="I131" s="17"/>
      <c r="J131" s="17"/>
      <c r="K131" s="17"/>
      <c r="L131" s="17"/>
    </row>
    <row r="132" spans="1:12" x14ac:dyDescent="0.2">
      <c r="B132" s="9">
        <v>10</v>
      </c>
      <c r="D132" s="15" t="s">
        <v>179</v>
      </c>
      <c r="E132" s="8"/>
      <c r="F132" s="7">
        <v>5000</v>
      </c>
      <c r="G132" s="7"/>
      <c r="H132" s="17"/>
      <c r="I132" s="17"/>
      <c r="J132" s="17"/>
      <c r="K132" s="17"/>
      <c r="L132" s="17"/>
    </row>
    <row r="133" spans="1:12" ht="13.5" thickBot="1" x14ac:dyDescent="0.25">
      <c r="C133" s="9">
        <v>49</v>
      </c>
      <c r="E133" s="51" t="s">
        <v>138</v>
      </c>
      <c r="F133" s="53"/>
      <c r="G133" s="53">
        <v>5000</v>
      </c>
      <c r="H133" s="17"/>
      <c r="I133" s="17"/>
      <c r="J133" s="17"/>
      <c r="K133" s="17"/>
      <c r="L133" s="17"/>
    </row>
    <row r="134" spans="1:12" x14ac:dyDescent="0.2">
      <c r="E134" s="23"/>
      <c r="F134" s="5">
        <f>SUM(F132:F133)</f>
        <v>5000</v>
      </c>
      <c r="G134" s="5">
        <f>SUM(G132:G133)</f>
        <v>5000</v>
      </c>
      <c r="H134" s="17"/>
      <c r="I134" s="17"/>
      <c r="J134" s="17"/>
      <c r="K134" s="17"/>
      <c r="L134" s="17"/>
    </row>
    <row r="135" spans="1:12" ht="18" x14ac:dyDescent="0.25">
      <c r="A135" s="102"/>
      <c r="B135" s="102"/>
      <c r="C135" s="102"/>
      <c r="D135" s="102"/>
      <c r="E135" s="103">
        <v>20</v>
      </c>
      <c r="F135" s="104"/>
      <c r="G135" s="104"/>
      <c r="H135" s="17"/>
      <c r="I135" s="17"/>
      <c r="J135" s="17"/>
      <c r="K135" s="17"/>
      <c r="L135" s="17"/>
    </row>
    <row r="136" spans="1:12" x14ac:dyDescent="0.2">
      <c r="B136" s="9">
        <v>35</v>
      </c>
      <c r="D136" s="52" t="s">
        <v>47</v>
      </c>
      <c r="E136" s="8"/>
      <c r="F136" s="7">
        <f>10%*(F13+F17)</f>
        <v>35000</v>
      </c>
      <c r="G136" s="7"/>
      <c r="H136" s="17"/>
      <c r="I136" s="17"/>
      <c r="J136" s="17"/>
      <c r="K136" s="17"/>
      <c r="L136" s="17"/>
    </row>
    <row r="137" spans="1:12" x14ac:dyDescent="0.2">
      <c r="D137" s="52" t="s">
        <v>70</v>
      </c>
      <c r="E137" s="8"/>
      <c r="F137" s="7">
        <f>10%*(F27)</f>
        <v>30000</v>
      </c>
      <c r="G137" s="7"/>
      <c r="H137" s="17"/>
      <c r="I137" s="17"/>
      <c r="J137" s="17"/>
      <c r="K137" s="17"/>
      <c r="L137" s="17"/>
    </row>
    <row r="138" spans="1:12" ht="13.5" thickBot="1" x14ac:dyDescent="0.25">
      <c r="C138" s="9">
        <v>57</v>
      </c>
      <c r="E138" s="23" t="s">
        <v>38</v>
      </c>
      <c r="F138" s="53"/>
      <c r="G138" s="53">
        <f>F136+F137</f>
        <v>65000</v>
      </c>
      <c r="H138" s="17"/>
      <c r="I138" s="17"/>
      <c r="J138" s="17"/>
      <c r="K138" s="17"/>
      <c r="L138" s="17"/>
    </row>
    <row r="139" spans="1:12" x14ac:dyDescent="0.2">
      <c r="E139" s="23"/>
      <c r="F139" s="5">
        <f>SUM(F136:F138)</f>
        <v>65000</v>
      </c>
      <c r="G139" s="5">
        <f>SUM(G136:G138)</f>
        <v>65000</v>
      </c>
      <c r="H139" s="17"/>
      <c r="I139" s="17"/>
      <c r="J139" s="17"/>
      <c r="K139" s="17"/>
      <c r="L139" s="17"/>
    </row>
    <row r="140" spans="1:12" ht="18" x14ac:dyDescent="0.25">
      <c r="A140" s="102"/>
      <c r="B140" s="102"/>
      <c r="C140" s="102"/>
      <c r="D140" s="102"/>
      <c r="E140" s="103">
        <v>21</v>
      </c>
      <c r="F140" s="104"/>
      <c r="G140" s="104"/>
      <c r="H140" s="17"/>
      <c r="I140" s="17"/>
      <c r="J140" s="17"/>
      <c r="K140" s="17"/>
      <c r="L140" s="17"/>
    </row>
    <row r="141" spans="1:12" x14ac:dyDescent="0.2">
      <c r="B141" s="9">
        <v>10</v>
      </c>
      <c r="D141" s="15" t="s">
        <v>179</v>
      </c>
      <c r="E141" s="8"/>
      <c r="F141" s="7">
        <v>5000</v>
      </c>
      <c r="G141" s="7"/>
      <c r="H141" s="17"/>
      <c r="I141" s="17"/>
      <c r="J141" s="17"/>
      <c r="K141" s="17"/>
      <c r="L141" s="17"/>
    </row>
    <row r="142" spans="1:12" ht="13.5" thickBot="1" x14ac:dyDescent="0.25">
      <c r="C142" s="9">
        <v>56</v>
      </c>
      <c r="E142" s="51" t="s">
        <v>72</v>
      </c>
      <c r="F142" s="53"/>
      <c r="G142" s="53">
        <v>5000</v>
      </c>
      <c r="H142" s="17"/>
      <c r="I142" s="17"/>
      <c r="J142" s="17"/>
      <c r="K142" s="17"/>
      <c r="L142" s="17"/>
    </row>
    <row r="143" spans="1:12" x14ac:dyDescent="0.2">
      <c r="E143" s="23"/>
      <c r="F143" s="5">
        <f>SUM(F141:F142)</f>
        <v>5000</v>
      </c>
      <c r="G143" s="5">
        <f>SUM(G141:G142)</f>
        <v>5000</v>
      </c>
      <c r="H143" s="17"/>
      <c r="I143" s="17"/>
      <c r="J143" s="17"/>
      <c r="K143" s="17"/>
      <c r="L143" s="17"/>
    </row>
    <row r="144" spans="1:12" ht="18" x14ac:dyDescent="0.25">
      <c r="A144" s="102"/>
      <c r="B144" s="102"/>
      <c r="C144" s="102"/>
      <c r="D144" s="102"/>
      <c r="E144" s="103">
        <v>22</v>
      </c>
      <c r="F144" s="104"/>
      <c r="G144" s="104"/>
      <c r="H144" s="17"/>
      <c r="I144" s="17"/>
      <c r="J144" s="17"/>
      <c r="K144" s="17"/>
      <c r="L144" s="17"/>
    </row>
    <row r="145" spans="1:12" x14ac:dyDescent="0.2">
      <c r="B145" s="9">
        <v>10</v>
      </c>
      <c r="D145" s="15" t="s">
        <v>179</v>
      </c>
      <c r="E145" s="8"/>
      <c r="F145" s="7">
        <v>14000</v>
      </c>
      <c r="G145" s="7"/>
      <c r="H145" s="17"/>
      <c r="I145" s="17"/>
      <c r="J145" s="17"/>
      <c r="K145" s="17"/>
      <c r="L145" s="17"/>
    </row>
    <row r="146" spans="1:12" ht="13.5" thickBot="1" x14ac:dyDescent="0.25">
      <c r="C146" s="9">
        <v>33</v>
      </c>
      <c r="E146" s="6" t="s">
        <v>189</v>
      </c>
      <c r="F146" s="53"/>
      <c r="G146" s="53">
        <v>14000</v>
      </c>
    </row>
    <row r="147" spans="1:12" x14ac:dyDescent="0.2">
      <c r="E147" s="7"/>
      <c r="F147" s="5">
        <f>SUM(F145:F146)</f>
        <v>14000</v>
      </c>
      <c r="G147" s="5">
        <f>SUM(G145:G146)</f>
        <v>14000</v>
      </c>
    </row>
    <row r="148" spans="1:12" x14ac:dyDescent="0.2">
      <c r="E148" s="23"/>
      <c r="F148" s="7"/>
      <c r="G148" s="7"/>
    </row>
    <row r="149" spans="1:12" x14ac:dyDescent="0.2">
      <c r="A149" s="102"/>
      <c r="B149" s="102"/>
      <c r="C149" s="102"/>
      <c r="D149" s="102"/>
      <c r="E149" s="107"/>
      <c r="F149" s="108">
        <f>F25+F30+F36+F44+F54+F58+F64+F68+F74+F80+F84+F88+F96+F103+F109+F113+F117+F126+F130+F134+F139+F143+F147</f>
        <v>3934643</v>
      </c>
      <c r="G149" s="108">
        <f>G25+G30+G36+G44+G54+G58+G64+G68+G74+G80+G84+G88+G96+G103+G109+G113+G117+G126+G130+G134+G139+G143+G147</f>
        <v>3934643</v>
      </c>
    </row>
    <row r="150" spans="1:12" x14ac:dyDescent="0.2">
      <c r="E150" s="8"/>
      <c r="F150" s="7"/>
      <c r="G150" s="7"/>
    </row>
    <row r="151" spans="1:12" x14ac:dyDescent="0.2">
      <c r="F151" s="7">
        <f>F149-G149</f>
        <v>0</v>
      </c>
    </row>
  </sheetData>
  <phoneticPr fontId="7" type="noConversion"/>
  <pageMargins left="0.75" right="0.75" top="1" bottom="1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08E6-5B1B-4B68-873A-6407BEAB87FE}">
  <sheetPr>
    <tabColor indexed="47"/>
  </sheetPr>
  <dimension ref="A1:J96"/>
  <sheetViews>
    <sheetView zoomScaleNormal="100" workbookViewId="0">
      <pane ySplit="1" topLeftCell="A35" activePane="bottomLeft" state="frozen"/>
      <selection pane="bottomLeft" activeCell="B2" sqref="B2"/>
    </sheetView>
  </sheetViews>
  <sheetFormatPr baseColWidth="10" defaultRowHeight="12.75" x14ac:dyDescent="0.2"/>
  <cols>
    <col min="1" max="1" width="38.7109375" style="9" bestFit="1" customWidth="1"/>
    <col min="2" max="2" width="9.28515625" style="9" customWidth="1"/>
    <col min="3" max="3" width="9.7109375" style="9" customWidth="1"/>
    <col min="4" max="4" width="3.42578125" style="9" customWidth="1"/>
    <col min="5" max="5" width="15.85546875" style="9" customWidth="1"/>
    <col min="6" max="6" width="9.42578125" style="9" customWidth="1"/>
    <col min="7" max="16384" width="11.42578125" style="9"/>
  </cols>
  <sheetData>
    <row r="1" spans="1:10" x14ac:dyDescent="0.2">
      <c r="A1" s="123" t="s">
        <v>53</v>
      </c>
      <c r="B1" s="124" t="s">
        <v>54</v>
      </c>
      <c r="C1" s="124" t="s">
        <v>55</v>
      </c>
      <c r="D1" s="130" t="s">
        <v>190</v>
      </c>
      <c r="E1" s="48"/>
      <c r="F1" s="17"/>
      <c r="G1" s="17"/>
      <c r="H1" s="17"/>
    </row>
    <row r="2" spans="1:10" x14ac:dyDescent="0.2">
      <c r="A2" s="109" t="s">
        <v>179</v>
      </c>
      <c r="B2" s="110">
        <v>600000</v>
      </c>
      <c r="C2" s="110"/>
      <c r="D2" s="4">
        <v>1</v>
      </c>
      <c r="E2" s="47"/>
      <c r="F2" s="49"/>
      <c r="G2" s="47"/>
      <c r="H2" s="17"/>
    </row>
    <row r="3" spans="1:10" x14ac:dyDescent="0.2">
      <c r="A3" s="111" t="s">
        <v>57</v>
      </c>
      <c r="B3" s="110"/>
      <c r="C3" s="110">
        <v>600000</v>
      </c>
      <c r="D3" s="4">
        <v>2</v>
      </c>
      <c r="E3" s="47"/>
      <c r="F3" s="49"/>
      <c r="G3" s="47"/>
      <c r="H3" s="17"/>
    </row>
    <row r="4" spans="1:10" x14ac:dyDescent="0.2">
      <c r="A4" s="109" t="s">
        <v>47</v>
      </c>
      <c r="B4" s="110">
        <v>150000</v>
      </c>
      <c r="C4" s="110"/>
      <c r="D4" s="4">
        <v>3</v>
      </c>
      <c r="E4" s="17"/>
      <c r="F4" s="49"/>
      <c r="G4" s="47"/>
      <c r="H4" s="17"/>
    </row>
    <row r="5" spans="1:10" x14ac:dyDescent="0.2">
      <c r="A5" s="111" t="s">
        <v>57</v>
      </c>
      <c r="B5" s="110"/>
      <c r="C5" s="110">
        <v>150000</v>
      </c>
      <c r="D5" s="4">
        <v>2</v>
      </c>
      <c r="E5" s="47"/>
      <c r="F5" s="49"/>
      <c r="G5" s="47"/>
      <c r="H5" s="17"/>
    </row>
    <row r="6" spans="1:10" x14ac:dyDescent="0.2">
      <c r="A6" s="109" t="s">
        <v>15</v>
      </c>
      <c r="B6" s="110">
        <v>35000</v>
      </c>
      <c r="C6" s="110"/>
      <c r="D6" s="4">
        <v>4</v>
      </c>
      <c r="E6" s="47"/>
      <c r="F6" s="50"/>
      <c r="G6" s="47"/>
      <c r="H6" s="17"/>
    </row>
    <row r="7" spans="1:10" x14ac:dyDescent="0.2">
      <c r="A7" s="111" t="s">
        <v>57</v>
      </c>
      <c r="B7" s="80"/>
      <c r="C7" s="110">
        <v>35000</v>
      </c>
      <c r="D7" s="129">
        <v>2</v>
      </c>
      <c r="E7" s="17"/>
      <c r="G7" s="17"/>
      <c r="H7" s="17"/>
    </row>
    <row r="8" spans="1:10" x14ac:dyDescent="0.2">
      <c r="A8" s="109" t="s">
        <v>47</v>
      </c>
      <c r="B8" s="110">
        <v>200000</v>
      </c>
      <c r="C8" s="110"/>
      <c r="D8" s="129">
        <v>3</v>
      </c>
    </row>
    <row r="9" spans="1:10" x14ac:dyDescent="0.2">
      <c r="A9" s="111" t="s">
        <v>57</v>
      </c>
      <c r="B9" s="110"/>
      <c r="C9" s="110">
        <v>200000</v>
      </c>
      <c r="D9" s="129">
        <v>2</v>
      </c>
    </row>
    <row r="10" spans="1:10" x14ac:dyDescent="0.2">
      <c r="A10" s="109" t="s">
        <v>179</v>
      </c>
      <c r="B10" s="110">
        <v>600000</v>
      </c>
      <c r="C10" s="110"/>
      <c r="D10" s="129">
        <v>1</v>
      </c>
    </row>
    <row r="11" spans="1:10" x14ac:dyDescent="0.2">
      <c r="A11" s="112" t="s">
        <v>31</v>
      </c>
      <c r="B11" s="110"/>
      <c r="C11" s="110">
        <v>600000</v>
      </c>
      <c r="D11" s="129">
        <v>5</v>
      </c>
      <c r="E11" s="17"/>
      <c r="F11" s="50"/>
      <c r="G11" s="17"/>
      <c r="H11" s="17"/>
    </row>
    <row r="12" spans="1:10" x14ac:dyDescent="0.2">
      <c r="A12" s="109" t="s">
        <v>179</v>
      </c>
      <c r="B12" s="110">
        <v>5000</v>
      </c>
      <c r="C12" s="110"/>
      <c r="D12" s="129">
        <v>1</v>
      </c>
      <c r="E12" s="17"/>
      <c r="F12" s="17"/>
      <c r="G12" s="17"/>
      <c r="H12" s="17"/>
    </row>
    <row r="13" spans="1:10" x14ac:dyDescent="0.2">
      <c r="A13" s="113" t="s">
        <v>57</v>
      </c>
      <c r="B13" s="62"/>
      <c r="C13" s="62">
        <v>5000</v>
      </c>
      <c r="D13" s="129">
        <v>2</v>
      </c>
      <c r="E13" s="17"/>
      <c r="F13" s="17"/>
      <c r="G13" s="15"/>
      <c r="H13" s="16"/>
      <c r="I13" s="6"/>
      <c r="J13" s="6"/>
    </row>
    <row r="14" spans="1:10" x14ac:dyDescent="0.2">
      <c r="A14" s="113" t="s">
        <v>46</v>
      </c>
      <c r="B14" s="62">
        <v>56000</v>
      </c>
      <c r="C14" s="80"/>
      <c r="D14" s="129">
        <v>8</v>
      </c>
      <c r="E14" s="17"/>
      <c r="F14" s="17"/>
      <c r="G14" s="15"/>
      <c r="H14" s="16"/>
      <c r="I14" s="6"/>
      <c r="J14" s="6"/>
    </row>
    <row r="15" spans="1:10" x14ac:dyDescent="0.2">
      <c r="A15" s="109" t="s">
        <v>179</v>
      </c>
      <c r="B15" s="62"/>
      <c r="C15" s="62">
        <v>56000</v>
      </c>
      <c r="D15" s="129">
        <v>1</v>
      </c>
      <c r="E15" s="17"/>
      <c r="F15" s="17"/>
      <c r="G15" s="15"/>
      <c r="H15" s="16"/>
      <c r="I15" s="6"/>
      <c r="J15" s="6"/>
    </row>
    <row r="16" spans="1:10" x14ac:dyDescent="0.2">
      <c r="A16" s="113" t="s">
        <v>70</v>
      </c>
      <c r="B16" s="110">
        <v>300000</v>
      </c>
      <c r="C16" s="110"/>
      <c r="D16" s="129">
        <v>7</v>
      </c>
      <c r="E16" s="17"/>
      <c r="F16" s="17"/>
      <c r="G16" s="15"/>
      <c r="H16" s="16"/>
      <c r="I16" s="6"/>
      <c r="J16" s="6"/>
    </row>
    <row r="17" spans="1:10" x14ac:dyDescent="0.2">
      <c r="A17" s="112" t="s">
        <v>31</v>
      </c>
      <c r="B17" s="110"/>
      <c r="C17" s="110">
        <v>150000</v>
      </c>
      <c r="D17" s="129">
        <v>5</v>
      </c>
      <c r="E17" s="17"/>
      <c r="F17" s="17"/>
      <c r="G17" s="15"/>
      <c r="H17" s="22"/>
      <c r="I17" s="6"/>
      <c r="J17" s="6"/>
    </row>
    <row r="18" spans="1:10" x14ac:dyDescent="0.2">
      <c r="A18" s="109" t="s">
        <v>179</v>
      </c>
      <c r="B18" s="110"/>
      <c r="C18" s="110">
        <v>150000</v>
      </c>
      <c r="D18" s="129">
        <v>1</v>
      </c>
      <c r="E18" s="17"/>
      <c r="F18" s="17"/>
      <c r="G18" s="15"/>
      <c r="H18" s="22"/>
      <c r="I18" s="6"/>
      <c r="J18" s="6"/>
    </row>
    <row r="19" spans="1:10" x14ac:dyDescent="0.2">
      <c r="A19" s="113" t="s">
        <v>46</v>
      </c>
      <c r="B19" s="62">
        <v>600000</v>
      </c>
      <c r="C19" s="62"/>
      <c r="D19" s="129">
        <v>8</v>
      </c>
      <c r="E19" s="17"/>
      <c r="F19" s="17"/>
      <c r="G19" s="15"/>
      <c r="H19" s="22"/>
      <c r="I19" s="6"/>
      <c r="J19" s="6"/>
    </row>
    <row r="20" spans="1:10" x14ac:dyDescent="0.2">
      <c r="A20" s="109" t="s">
        <v>179</v>
      </c>
      <c r="B20" s="62"/>
      <c r="C20" s="62">
        <v>600000</v>
      </c>
      <c r="D20" s="129">
        <v>1</v>
      </c>
      <c r="E20" s="17"/>
      <c r="F20" s="17"/>
      <c r="G20" s="15"/>
      <c r="H20" s="22"/>
      <c r="I20" s="6"/>
      <c r="J20" s="6"/>
    </row>
    <row r="21" spans="1:10" x14ac:dyDescent="0.2">
      <c r="A21" s="111" t="s">
        <v>61</v>
      </c>
      <c r="B21" s="62">
        <f>0.18*B19</f>
        <v>108000</v>
      </c>
      <c r="C21" s="62"/>
      <c r="D21" s="129">
        <v>9</v>
      </c>
      <c r="E21" s="17"/>
      <c r="F21" s="17"/>
      <c r="G21" s="17"/>
      <c r="H21" s="17"/>
    </row>
    <row r="22" spans="1:10" x14ac:dyDescent="0.2">
      <c r="A22" s="109" t="s">
        <v>179</v>
      </c>
      <c r="B22" s="62"/>
      <c r="C22" s="62">
        <f>B21</f>
        <v>108000</v>
      </c>
      <c r="D22" s="129">
        <v>1</v>
      </c>
      <c r="E22" s="17"/>
      <c r="F22" s="17"/>
      <c r="G22" s="17"/>
      <c r="H22" s="17"/>
    </row>
    <row r="23" spans="1:10" x14ac:dyDescent="0.2">
      <c r="A23" s="77" t="s">
        <v>0</v>
      </c>
      <c r="B23" s="114"/>
      <c r="C23" s="114">
        <v>400000</v>
      </c>
      <c r="D23" s="129">
        <v>10</v>
      </c>
      <c r="E23" s="17"/>
      <c r="F23" s="17"/>
      <c r="G23" s="17"/>
      <c r="H23" s="17"/>
    </row>
    <row r="24" spans="1:10" x14ac:dyDescent="0.2">
      <c r="A24" s="115" t="s">
        <v>1</v>
      </c>
      <c r="B24" s="114">
        <v>400000</v>
      </c>
      <c r="C24" s="114"/>
      <c r="D24" s="129">
        <v>11</v>
      </c>
      <c r="E24" s="17"/>
      <c r="F24" s="17"/>
      <c r="G24" s="17"/>
      <c r="H24" s="17"/>
    </row>
    <row r="25" spans="1:10" x14ac:dyDescent="0.2">
      <c r="A25" s="113" t="s">
        <v>1</v>
      </c>
      <c r="B25" s="62">
        <f>18%*B24</f>
        <v>72000</v>
      </c>
      <c r="C25" s="62"/>
      <c r="D25" s="129">
        <v>11</v>
      </c>
      <c r="E25" s="17"/>
      <c r="F25" s="17"/>
      <c r="G25" s="17"/>
      <c r="H25" s="17"/>
    </row>
    <row r="26" spans="1:10" x14ac:dyDescent="0.2">
      <c r="A26" s="111" t="s">
        <v>61</v>
      </c>
      <c r="B26" s="62"/>
      <c r="C26" s="62">
        <f>B25</f>
        <v>72000</v>
      </c>
      <c r="D26" s="129">
        <v>9</v>
      </c>
      <c r="E26" s="17"/>
      <c r="F26" s="17"/>
      <c r="G26" s="17"/>
      <c r="H26" s="17"/>
    </row>
    <row r="27" spans="1:10" x14ac:dyDescent="0.2">
      <c r="A27" s="113" t="s">
        <v>32</v>
      </c>
      <c r="B27" s="62">
        <v>350000</v>
      </c>
      <c r="C27" s="62"/>
      <c r="D27" s="129">
        <v>12</v>
      </c>
      <c r="E27" s="17"/>
      <c r="F27" s="17"/>
      <c r="G27" s="17"/>
      <c r="H27" s="17"/>
    </row>
    <row r="28" spans="1:10" x14ac:dyDescent="0.2">
      <c r="A28" s="112" t="s">
        <v>46</v>
      </c>
      <c r="B28" s="62"/>
      <c r="C28" s="62">
        <v>350000</v>
      </c>
      <c r="D28" s="129">
        <v>8</v>
      </c>
      <c r="E28" s="17"/>
      <c r="F28" s="17"/>
      <c r="G28" s="17"/>
      <c r="H28" s="17"/>
    </row>
    <row r="29" spans="1:10" x14ac:dyDescent="0.2">
      <c r="A29" s="109" t="s">
        <v>179</v>
      </c>
      <c r="B29" s="62"/>
      <c r="C29" s="62">
        <v>300</v>
      </c>
      <c r="D29" s="129">
        <v>1</v>
      </c>
      <c r="E29" s="20"/>
      <c r="F29" s="8"/>
      <c r="G29" s="7"/>
      <c r="H29" s="7"/>
    </row>
    <row r="30" spans="1:10" x14ac:dyDescent="0.2">
      <c r="A30" s="117" t="s">
        <v>58</v>
      </c>
      <c r="B30" s="62">
        <v>300</v>
      </c>
      <c r="C30" s="62"/>
      <c r="D30" s="129">
        <v>13</v>
      </c>
      <c r="E30" s="20"/>
      <c r="F30" s="8"/>
      <c r="G30" s="7"/>
      <c r="H30" s="7"/>
    </row>
    <row r="31" spans="1:10" x14ac:dyDescent="0.2">
      <c r="A31" s="109" t="s">
        <v>179</v>
      </c>
      <c r="B31" s="62"/>
      <c r="C31" s="62">
        <v>200</v>
      </c>
      <c r="D31" s="129">
        <v>1</v>
      </c>
      <c r="E31" s="20"/>
      <c r="F31" s="8"/>
      <c r="G31" s="7"/>
      <c r="H31" s="7"/>
    </row>
    <row r="32" spans="1:10" x14ac:dyDescent="0.2">
      <c r="A32" s="111" t="s">
        <v>59</v>
      </c>
      <c r="B32" s="62">
        <v>200</v>
      </c>
      <c r="C32" s="62"/>
      <c r="D32" s="129">
        <v>13</v>
      </c>
      <c r="E32" s="20"/>
      <c r="F32" s="8"/>
      <c r="G32" s="7"/>
      <c r="H32" s="7"/>
    </row>
    <row r="33" spans="1:8" x14ac:dyDescent="0.2">
      <c r="A33" s="109" t="s">
        <v>179</v>
      </c>
      <c r="B33" s="62"/>
      <c r="C33" s="62">
        <v>450</v>
      </c>
      <c r="D33" s="129">
        <v>1</v>
      </c>
      <c r="F33" s="7"/>
      <c r="G33" s="7"/>
      <c r="H33" s="7"/>
    </row>
    <row r="34" spans="1:8" x14ac:dyDescent="0.2">
      <c r="A34" s="111" t="s">
        <v>60</v>
      </c>
      <c r="B34" s="62">
        <v>450</v>
      </c>
      <c r="C34" s="62"/>
      <c r="D34" s="129">
        <v>13</v>
      </c>
      <c r="F34" s="7"/>
      <c r="G34" s="7"/>
      <c r="H34" s="7"/>
    </row>
    <row r="35" spans="1:8" x14ac:dyDescent="0.2">
      <c r="A35" s="109" t="s">
        <v>179</v>
      </c>
      <c r="B35" s="62"/>
      <c r="C35" s="62">
        <f>(B30+B32+B34)*18%</f>
        <v>171</v>
      </c>
      <c r="D35" s="129">
        <v>1</v>
      </c>
      <c r="F35" s="7"/>
      <c r="G35" s="7"/>
      <c r="H35" s="7"/>
    </row>
    <row r="36" spans="1:8" x14ac:dyDescent="0.2">
      <c r="A36" s="118" t="s">
        <v>61</v>
      </c>
      <c r="B36" s="62">
        <f>C35</f>
        <v>171</v>
      </c>
      <c r="C36" s="62"/>
      <c r="D36" s="129">
        <v>9</v>
      </c>
      <c r="F36" s="7"/>
      <c r="G36" s="7"/>
      <c r="H36" s="7"/>
    </row>
    <row r="37" spans="1:8" x14ac:dyDescent="0.2">
      <c r="A37" s="80" t="s">
        <v>28</v>
      </c>
      <c r="B37" s="62">
        <v>8000</v>
      </c>
      <c r="C37" s="62"/>
      <c r="D37" s="129">
        <v>14</v>
      </c>
      <c r="E37" s="17"/>
      <c r="F37" s="17"/>
      <c r="G37" s="17"/>
      <c r="H37" s="17"/>
    </row>
    <row r="38" spans="1:8" x14ac:dyDescent="0.2">
      <c r="A38" s="109" t="s">
        <v>179</v>
      </c>
      <c r="B38" s="62"/>
      <c r="C38" s="62">
        <v>8000</v>
      </c>
      <c r="D38" s="129">
        <v>1</v>
      </c>
      <c r="E38" s="17"/>
      <c r="F38" s="17"/>
      <c r="G38" s="17"/>
      <c r="H38" s="17"/>
    </row>
    <row r="39" spans="1:8" x14ac:dyDescent="0.2">
      <c r="A39" s="113" t="s">
        <v>8</v>
      </c>
      <c r="B39" s="62">
        <v>5000</v>
      </c>
      <c r="C39" s="62"/>
      <c r="D39" s="129">
        <v>9</v>
      </c>
      <c r="E39" s="17"/>
      <c r="F39" s="17"/>
      <c r="G39" s="17"/>
      <c r="H39" s="17"/>
    </row>
    <row r="40" spans="1:8" x14ac:dyDescent="0.2">
      <c r="A40" s="109" t="s">
        <v>179</v>
      </c>
      <c r="B40" s="62"/>
      <c r="C40" s="62">
        <v>5000</v>
      </c>
      <c r="D40" s="129">
        <v>1</v>
      </c>
      <c r="E40" s="17"/>
      <c r="F40" s="17"/>
      <c r="G40" s="17"/>
      <c r="H40" s="17"/>
    </row>
    <row r="41" spans="1:8" x14ac:dyDescent="0.2">
      <c r="A41" s="80" t="s">
        <v>48</v>
      </c>
      <c r="B41" s="62">
        <v>1500</v>
      </c>
      <c r="C41" s="62"/>
      <c r="D41" s="129">
        <v>15</v>
      </c>
      <c r="E41" s="17"/>
      <c r="F41" s="17"/>
      <c r="G41" s="17"/>
      <c r="H41" s="17"/>
    </row>
    <row r="42" spans="1:8" x14ac:dyDescent="0.2">
      <c r="A42" s="109" t="s">
        <v>179</v>
      </c>
      <c r="B42" s="62"/>
      <c r="C42" s="62">
        <v>1500</v>
      </c>
      <c r="D42" s="129">
        <v>1</v>
      </c>
      <c r="E42" s="17"/>
      <c r="F42" s="17"/>
      <c r="G42" s="17"/>
      <c r="H42" s="17"/>
    </row>
    <row r="43" spans="1:8" x14ac:dyDescent="0.2">
      <c r="A43" s="113" t="s">
        <v>62</v>
      </c>
      <c r="B43" s="62">
        <v>4000</v>
      </c>
      <c r="C43" s="62"/>
      <c r="D43" s="129">
        <v>16</v>
      </c>
      <c r="E43" s="17"/>
      <c r="F43" s="17"/>
      <c r="G43" s="17"/>
      <c r="H43" s="17"/>
    </row>
    <row r="44" spans="1:8" x14ac:dyDescent="0.2">
      <c r="A44" s="109" t="s">
        <v>179</v>
      </c>
      <c r="B44" s="62"/>
      <c r="C44" s="62">
        <v>4000</v>
      </c>
      <c r="D44" s="129">
        <v>1</v>
      </c>
      <c r="E44" s="17"/>
      <c r="F44" s="17"/>
      <c r="G44" s="17"/>
      <c r="H44" s="17"/>
    </row>
    <row r="45" spans="1:8" x14ac:dyDescent="0.2">
      <c r="A45" s="113" t="s">
        <v>63</v>
      </c>
      <c r="B45" s="62">
        <v>400</v>
      </c>
      <c r="C45" s="62"/>
      <c r="D45" s="129">
        <v>6</v>
      </c>
      <c r="E45" s="17"/>
      <c r="F45" s="17"/>
      <c r="G45" s="17"/>
      <c r="H45" s="17"/>
    </row>
    <row r="46" spans="1:8" x14ac:dyDescent="0.2">
      <c r="A46" s="109" t="s">
        <v>179</v>
      </c>
      <c r="B46" s="62"/>
      <c r="C46" s="62">
        <f>B45</f>
        <v>400</v>
      </c>
      <c r="D46" s="129">
        <v>1</v>
      </c>
      <c r="E46" s="17"/>
      <c r="F46" s="17"/>
      <c r="G46" s="17"/>
      <c r="H46" s="17"/>
    </row>
    <row r="47" spans="1:8" x14ac:dyDescent="0.2">
      <c r="A47" s="119" t="s">
        <v>61</v>
      </c>
      <c r="B47" s="62">
        <f>B45*18%</f>
        <v>72</v>
      </c>
      <c r="C47" s="62"/>
      <c r="D47" s="129">
        <v>9</v>
      </c>
      <c r="E47" s="17"/>
      <c r="F47" s="17"/>
      <c r="G47" s="17"/>
      <c r="H47" s="17"/>
    </row>
    <row r="48" spans="1:8" x14ac:dyDescent="0.2">
      <c r="A48" s="109" t="s">
        <v>179</v>
      </c>
      <c r="B48" s="62"/>
      <c r="C48" s="62">
        <f>B47</f>
        <v>72</v>
      </c>
      <c r="D48" s="129">
        <v>1</v>
      </c>
      <c r="E48" s="17"/>
      <c r="F48" s="17"/>
      <c r="G48" s="17"/>
      <c r="H48" s="17"/>
    </row>
    <row r="49" spans="1:8" x14ac:dyDescent="0.2">
      <c r="A49" s="109" t="s">
        <v>179</v>
      </c>
      <c r="B49" s="62">
        <v>30000</v>
      </c>
      <c r="C49" s="62"/>
      <c r="D49" s="129">
        <v>1</v>
      </c>
    </row>
    <row r="50" spans="1:8" x14ac:dyDescent="0.2">
      <c r="A50" s="116" t="s">
        <v>31</v>
      </c>
      <c r="B50" s="62"/>
      <c r="C50" s="62">
        <v>30000</v>
      </c>
      <c r="D50" s="129">
        <v>5</v>
      </c>
    </row>
    <row r="51" spans="1:8" x14ac:dyDescent="0.2">
      <c r="A51" s="113" t="s">
        <v>115</v>
      </c>
      <c r="B51" s="62">
        <f>10%*B49</f>
        <v>3000</v>
      </c>
      <c r="C51" s="62"/>
      <c r="D51" s="129">
        <v>18</v>
      </c>
      <c r="E51" s="17"/>
      <c r="F51" s="17"/>
      <c r="G51" s="17"/>
      <c r="H51" s="17"/>
    </row>
    <row r="52" spans="1:8" x14ac:dyDescent="0.2">
      <c r="A52" s="116" t="s">
        <v>31</v>
      </c>
      <c r="B52" s="62"/>
      <c r="C52" s="62">
        <f>10%*C50</f>
        <v>3000</v>
      </c>
      <c r="D52" s="129">
        <v>5</v>
      </c>
      <c r="E52" s="17"/>
      <c r="F52" s="17"/>
      <c r="G52" s="17"/>
      <c r="H52" s="17"/>
    </row>
    <row r="53" spans="1:8" x14ac:dyDescent="0.2">
      <c r="A53" s="113" t="s">
        <v>64</v>
      </c>
      <c r="B53" s="62">
        <v>35000</v>
      </c>
      <c r="C53" s="62"/>
      <c r="D53" s="129">
        <v>6</v>
      </c>
      <c r="E53" s="17"/>
      <c r="F53" s="17"/>
      <c r="G53" s="17"/>
      <c r="H53" s="17"/>
    </row>
    <row r="54" spans="1:8" x14ac:dyDescent="0.2">
      <c r="A54" s="116" t="s">
        <v>35</v>
      </c>
      <c r="B54" s="62"/>
      <c r="C54" s="62">
        <v>35000</v>
      </c>
      <c r="D54" s="129">
        <v>20</v>
      </c>
      <c r="E54" s="17"/>
      <c r="F54" s="17"/>
      <c r="G54" s="17"/>
      <c r="H54" s="17"/>
    </row>
    <row r="55" spans="1:8" x14ac:dyDescent="0.2">
      <c r="A55" s="113" t="s">
        <v>65</v>
      </c>
      <c r="B55" s="62">
        <v>40000</v>
      </c>
      <c r="C55" s="62"/>
      <c r="D55" s="129">
        <v>4</v>
      </c>
      <c r="E55" s="17"/>
      <c r="F55" s="17"/>
      <c r="G55" s="17"/>
      <c r="H55" s="17"/>
    </row>
    <row r="56" spans="1:8" x14ac:dyDescent="0.2">
      <c r="A56" s="111" t="s">
        <v>57</v>
      </c>
      <c r="B56" s="62"/>
      <c r="C56" s="62">
        <v>40000</v>
      </c>
      <c r="D56" s="129">
        <v>2</v>
      </c>
      <c r="E56" s="17"/>
      <c r="F56" s="17"/>
      <c r="G56" s="17"/>
      <c r="H56" s="17"/>
    </row>
    <row r="57" spans="1:8" x14ac:dyDescent="0.2">
      <c r="A57" s="113" t="s">
        <v>68</v>
      </c>
      <c r="B57" s="62">
        <v>24000</v>
      </c>
      <c r="C57" s="62"/>
      <c r="D57" s="129">
        <v>19</v>
      </c>
      <c r="E57" s="17"/>
      <c r="F57" s="17"/>
      <c r="G57" s="17"/>
      <c r="H57" s="17"/>
    </row>
    <row r="58" spans="1:8" x14ac:dyDescent="0.2">
      <c r="A58" s="111" t="s">
        <v>140</v>
      </c>
      <c r="B58" s="62"/>
      <c r="C58" s="62">
        <v>24000</v>
      </c>
      <c r="D58" s="129">
        <v>28</v>
      </c>
      <c r="E58" s="17"/>
      <c r="F58" s="17"/>
      <c r="G58" s="17"/>
      <c r="H58" s="17"/>
    </row>
    <row r="59" spans="1:8" x14ac:dyDescent="0.2">
      <c r="A59" s="119" t="s">
        <v>118</v>
      </c>
      <c r="B59" s="62">
        <v>4500</v>
      </c>
      <c r="C59" s="62"/>
      <c r="D59" s="129">
        <v>19</v>
      </c>
      <c r="E59" s="17"/>
      <c r="F59" s="17"/>
      <c r="G59" s="17"/>
      <c r="H59" s="17"/>
    </row>
    <row r="60" spans="1:8" x14ac:dyDescent="0.2">
      <c r="A60" s="111" t="s">
        <v>122</v>
      </c>
      <c r="B60" s="62"/>
      <c r="C60" s="62">
        <v>4500</v>
      </c>
      <c r="D60" s="129">
        <v>19</v>
      </c>
      <c r="E60" s="17"/>
      <c r="F60" s="17"/>
      <c r="G60" s="17"/>
      <c r="H60" s="17"/>
    </row>
    <row r="61" spans="1:8" x14ac:dyDescent="0.2">
      <c r="A61" s="113" t="s">
        <v>66</v>
      </c>
      <c r="B61" s="62">
        <v>6000</v>
      </c>
      <c r="C61" s="80"/>
      <c r="D61" s="129">
        <v>19</v>
      </c>
      <c r="E61" s="17"/>
      <c r="F61" s="17"/>
      <c r="G61" s="17"/>
      <c r="H61" s="17"/>
    </row>
    <row r="62" spans="1:8" x14ac:dyDescent="0.2">
      <c r="A62" s="116" t="s">
        <v>35</v>
      </c>
      <c r="B62" s="62"/>
      <c r="C62" s="62">
        <v>6000</v>
      </c>
      <c r="D62" s="129">
        <v>20</v>
      </c>
      <c r="E62" s="17"/>
      <c r="F62" s="17"/>
      <c r="G62" s="17"/>
      <c r="H62" s="17"/>
    </row>
    <row r="63" spans="1:8" x14ac:dyDescent="0.2">
      <c r="A63" s="113" t="s">
        <v>46</v>
      </c>
      <c r="B63" s="62">
        <v>35000</v>
      </c>
      <c r="C63" s="62"/>
      <c r="D63" s="129">
        <v>8</v>
      </c>
      <c r="E63" s="17"/>
      <c r="F63" s="17"/>
      <c r="G63" s="17"/>
      <c r="H63" s="17"/>
    </row>
    <row r="64" spans="1:8" x14ac:dyDescent="0.2">
      <c r="A64" s="109" t="s">
        <v>179</v>
      </c>
      <c r="B64" s="62"/>
      <c r="C64" s="62">
        <f>B63*50%</f>
        <v>17500</v>
      </c>
      <c r="D64" s="129">
        <v>1</v>
      </c>
      <c r="E64" s="17"/>
      <c r="F64" s="17"/>
      <c r="G64" s="17"/>
      <c r="H64" s="17"/>
    </row>
    <row r="65" spans="1:8" x14ac:dyDescent="0.2">
      <c r="A65" s="116" t="s">
        <v>9</v>
      </c>
      <c r="B65" s="62"/>
      <c r="C65" s="62">
        <f>C64</f>
        <v>17500</v>
      </c>
      <c r="D65" s="129">
        <v>21</v>
      </c>
      <c r="E65" s="17"/>
      <c r="F65" s="17"/>
      <c r="G65" s="17"/>
      <c r="H65" s="17"/>
    </row>
    <row r="66" spans="1:8" x14ac:dyDescent="0.2">
      <c r="A66" s="80" t="s">
        <v>34</v>
      </c>
      <c r="B66" s="62">
        <f>18%*B63</f>
        <v>6300</v>
      </c>
      <c r="C66" s="80"/>
      <c r="D66" s="129">
        <v>9</v>
      </c>
      <c r="E66" s="17"/>
      <c r="F66" s="17"/>
      <c r="G66" s="17"/>
      <c r="H66" s="17"/>
    </row>
    <row r="67" spans="1:8" x14ac:dyDescent="0.2">
      <c r="A67" s="109" t="s">
        <v>179</v>
      </c>
      <c r="B67" s="62"/>
      <c r="C67" s="62">
        <f>B66</f>
        <v>6300</v>
      </c>
      <c r="D67" s="129">
        <v>1</v>
      </c>
      <c r="E67" s="17"/>
      <c r="F67" s="17"/>
      <c r="G67" s="17"/>
      <c r="H67" s="17"/>
    </row>
    <row r="68" spans="1:8" x14ac:dyDescent="0.2">
      <c r="A68" s="120" t="s">
        <v>36</v>
      </c>
      <c r="B68" s="62">
        <v>50000</v>
      </c>
      <c r="C68" s="62"/>
      <c r="D68" s="129">
        <v>22</v>
      </c>
      <c r="E68" s="17"/>
      <c r="F68" s="17"/>
      <c r="G68" s="17"/>
      <c r="H68" s="17"/>
    </row>
    <row r="69" spans="1:8" x14ac:dyDescent="0.2">
      <c r="A69" s="109" t="s">
        <v>179</v>
      </c>
      <c r="B69" s="62"/>
      <c r="C69" s="62">
        <v>50000</v>
      </c>
      <c r="D69" s="129">
        <v>1</v>
      </c>
      <c r="E69" s="17"/>
      <c r="F69" s="17"/>
      <c r="G69" s="17"/>
      <c r="H69" s="17"/>
    </row>
    <row r="70" spans="1:8" x14ac:dyDescent="0.2">
      <c r="A70" s="120" t="s">
        <v>36</v>
      </c>
      <c r="B70" s="62">
        <v>5000</v>
      </c>
      <c r="C70" s="62"/>
      <c r="D70" s="129">
        <v>22</v>
      </c>
      <c r="E70" s="17"/>
      <c r="F70" s="17"/>
      <c r="G70" s="17"/>
      <c r="H70" s="17"/>
    </row>
    <row r="71" spans="1:8" x14ac:dyDescent="0.2">
      <c r="A71" s="116" t="s">
        <v>37</v>
      </c>
      <c r="B71" s="62"/>
      <c r="C71" s="62">
        <v>5000</v>
      </c>
      <c r="D71" s="129">
        <v>23</v>
      </c>
      <c r="E71" s="17"/>
      <c r="F71" s="17"/>
      <c r="G71" s="17"/>
      <c r="H71" s="17"/>
    </row>
    <row r="72" spans="1:8" x14ac:dyDescent="0.2">
      <c r="A72" s="109" t="s">
        <v>179</v>
      </c>
      <c r="B72" s="62">
        <v>6000</v>
      </c>
      <c r="C72" s="62"/>
      <c r="D72" s="129">
        <v>1</v>
      </c>
      <c r="E72" s="17"/>
      <c r="F72" s="17"/>
      <c r="G72" s="17"/>
      <c r="H72" s="17"/>
    </row>
    <row r="73" spans="1:8" x14ac:dyDescent="0.2">
      <c r="A73" s="116" t="s">
        <v>1</v>
      </c>
      <c r="B73" s="62"/>
      <c r="C73" s="62">
        <v>6000</v>
      </c>
      <c r="D73" s="129">
        <v>11</v>
      </c>
      <c r="E73" s="17"/>
      <c r="F73" s="17"/>
      <c r="G73" s="17"/>
      <c r="H73" s="17"/>
    </row>
    <row r="74" spans="1:8" x14ac:dyDescent="0.2">
      <c r="A74" s="80" t="s">
        <v>14</v>
      </c>
      <c r="B74" s="62">
        <v>9000</v>
      </c>
      <c r="C74" s="62"/>
      <c r="D74" s="129">
        <v>24</v>
      </c>
      <c r="E74" s="17"/>
      <c r="F74" s="17"/>
      <c r="G74" s="17"/>
      <c r="H74" s="17"/>
    </row>
    <row r="75" spans="1:8" x14ac:dyDescent="0.2">
      <c r="A75" s="109" t="s">
        <v>179</v>
      </c>
      <c r="B75" s="62"/>
      <c r="C75" s="62">
        <v>9000</v>
      </c>
      <c r="D75" s="129">
        <v>1</v>
      </c>
      <c r="E75" s="17"/>
      <c r="F75" s="17"/>
      <c r="G75" s="17"/>
      <c r="H75" s="17"/>
    </row>
    <row r="76" spans="1:8" ht="14.25" customHeight="1" x14ac:dyDescent="0.2">
      <c r="A76" s="77" t="s">
        <v>0</v>
      </c>
      <c r="B76" s="114"/>
      <c r="C76" s="121">
        <v>50000</v>
      </c>
      <c r="D76" s="129">
        <v>10</v>
      </c>
      <c r="E76" s="17"/>
      <c r="F76" s="17"/>
      <c r="G76" s="17"/>
      <c r="H76" s="17"/>
    </row>
    <row r="77" spans="1:8" ht="14.25" customHeight="1" x14ac:dyDescent="0.2">
      <c r="A77" s="109" t="s">
        <v>179</v>
      </c>
      <c r="B77" s="122">
        <f>C76*30%</f>
        <v>15000</v>
      </c>
      <c r="C77" s="62"/>
      <c r="D77" s="129">
        <v>1</v>
      </c>
      <c r="E77" s="17"/>
      <c r="F77" s="17"/>
      <c r="G77" s="17"/>
      <c r="H77" s="17"/>
    </row>
    <row r="78" spans="1:8" x14ac:dyDescent="0.2">
      <c r="A78" s="80" t="s">
        <v>1</v>
      </c>
      <c r="B78" s="122">
        <f>C76-B77</f>
        <v>35000</v>
      </c>
      <c r="C78" s="62"/>
      <c r="D78" s="129">
        <v>11</v>
      </c>
      <c r="E78" s="17"/>
      <c r="F78" s="17"/>
      <c r="G78" s="17"/>
      <c r="H78" s="17"/>
    </row>
    <row r="79" spans="1:8" x14ac:dyDescent="0.2">
      <c r="A79" s="113" t="s">
        <v>46</v>
      </c>
      <c r="B79" s="62"/>
      <c r="C79" s="62">
        <v>40000</v>
      </c>
      <c r="D79" s="129">
        <v>8</v>
      </c>
      <c r="E79" s="17"/>
      <c r="F79" s="17"/>
      <c r="G79" s="17"/>
      <c r="H79" s="17"/>
    </row>
    <row r="80" spans="1:8" x14ac:dyDescent="0.2">
      <c r="A80" s="111" t="s">
        <v>51</v>
      </c>
      <c r="B80" s="62">
        <v>40000</v>
      </c>
      <c r="C80" s="62"/>
      <c r="D80" s="129">
        <v>12</v>
      </c>
      <c r="E80" s="17"/>
      <c r="F80" s="17"/>
      <c r="G80" s="17"/>
      <c r="H80" s="17"/>
    </row>
    <row r="81" spans="1:8" x14ac:dyDescent="0.2">
      <c r="A81" s="113" t="s">
        <v>69</v>
      </c>
      <c r="B81" s="62">
        <f>5%*B78</f>
        <v>1750</v>
      </c>
      <c r="C81" s="62"/>
      <c r="D81" s="129">
        <v>23</v>
      </c>
      <c r="E81" s="17"/>
      <c r="F81" s="17"/>
      <c r="G81" s="17"/>
      <c r="H81" s="17"/>
    </row>
    <row r="82" spans="1:8" x14ac:dyDescent="0.2">
      <c r="A82" s="111" t="s">
        <v>1</v>
      </c>
      <c r="B82" s="62"/>
      <c r="C82" s="62">
        <f>B81</f>
        <v>1750</v>
      </c>
      <c r="D82" s="129">
        <v>11</v>
      </c>
      <c r="E82" s="17"/>
      <c r="F82" s="17"/>
      <c r="G82" s="17"/>
      <c r="H82" s="17"/>
    </row>
    <row r="83" spans="1:8" x14ac:dyDescent="0.2">
      <c r="A83" s="113" t="s">
        <v>71</v>
      </c>
      <c r="B83" s="62">
        <v>4000</v>
      </c>
      <c r="C83" s="62"/>
      <c r="D83" s="129">
        <v>14</v>
      </c>
      <c r="E83" s="17"/>
      <c r="F83" s="17"/>
      <c r="G83" s="17"/>
      <c r="H83" s="17"/>
    </row>
    <row r="84" spans="1:8" x14ac:dyDescent="0.2">
      <c r="A84" s="109" t="s">
        <v>179</v>
      </c>
      <c r="B84" s="62"/>
      <c r="C84" s="62">
        <v>4000</v>
      </c>
      <c r="D84" s="129">
        <v>1</v>
      </c>
      <c r="E84" s="17"/>
      <c r="F84" s="17"/>
      <c r="G84" s="17"/>
      <c r="H84" s="17"/>
    </row>
    <row r="85" spans="1:8" x14ac:dyDescent="0.2">
      <c r="A85" s="109" t="s">
        <v>179</v>
      </c>
      <c r="B85" s="62">
        <v>5000</v>
      </c>
      <c r="C85" s="62"/>
      <c r="D85" s="129">
        <v>1</v>
      </c>
      <c r="E85" s="17"/>
      <c r="F85" s="17"/>
      <c r="G85" s="17"/>
      <c r="H85" s="17"/>
    </row>
    <row r="86" spans="1:8" x14ac:dyDescent="0.2">
      <c r="A86" s="111" t="s">
        <v>138</v>
      </c>
      <c r="B86" s="62"/>
      <c r="C86" s="62">
        <v>5000</v>
      </c>
      <c r="D86" s="129">
        <v>27</v>
      </c>
      <c r="E86" s="17"/>
      <c r="F86" s="17"/>
      <c r="G86" s="17"/>
      <c r="H86" s="17"/>
    </row>
    <row r="87" spans="1:8" x14ac:dyDescent="0.2">
      <c r="A87" s="113" t="s">
        <v>47</v>
      </c>
      <c r="B87" s="62">
        <f>10%*(B4+B8)</f>
        <v>35000</v>
      </c>
      <c r="C87" s="62"/>
      <c r="D87" s="129">
        <v>3</v>
      </c>
      <c r="E87" s="17"/>
      <c r="F87" s="17"/>
      <c r="G87" s="17"/>
      <c r="H87" s="17"/>
    </row>
    <row r="88" spans="1:8" x14ac:dyDescent="0.2">
      <c r="A88" s="113" t="s">
        <v>70</v>
      </c>
      <c r="B88" s="62">
        <f>10%*(B16)</f>
        <v>30000</v>
      </c>
      <c r="C88" s="62"/>
      <c r="D88" s="129">
        <v>7</v>
      </c>
      <c r="E88" s="17"/>
      <c r="F88" s="17"/>
      <c r="G88" s="17"/>
      <c r="H88" s="17"/>
    </row>
    <row r="89" spans="1:8" x14ac:dyDescent="0.2">
      <c r="A89" s="116" t="s">
        <v>38</v>
      </c>
      <c r="B89" s="62"/>
      <c r="C89" s="62">
        <f>B87+B88</f>
        <v>65000</v>
      </c>
      <c r="D89" s="129">
        <v>25</v>
      </c>
      <c r="E89" s="17"/>
      <c r="F89" s="17"/>
      <c r="G89" s="17"/>
      <c r="H89" s="17"/>
    </row>
    <row r="90" spans="1:8" x14ac:dyDescent="0.2">
      <c r="A90" s="109" t="s">
        <v>179</v>
      </c>
      <c r="B90" s="62">
        <v>5000</v>
      </c>
      <c r="C90" s="62"/>
      <c r="D90" s="129">
        <v>1</v>
      </c>
      <c r="E90" s="17"/>
      <c r="F90" s="17"/>
      <c r="G90" s="17"/>
      <c r="H90" s="17"/>
    </row>
    <row r="91" spans="1:8" x14ac:dyDescent="0.2">
      <c r="A91" s="111" t="s">
        <v>72</v>
      </c>
      <c r="B91" s="62"/>
      <c r="C91" s="62">
        <v>5000</v>
      </c>
      <c r="D91" s="129">
        <v>26</v>
      </c>
      <c r="E91" s="17"/>
      <c r="F91" s="17"/>
      <c r="G91" s="17"/>
      <c r="H91" s="17"/>
    </row>
    <row r="92" spans="1:8" x14ac:dyDescent="0.2">
      <c r="A92" s="109" t="s">
        <v>179</v>
      </c>
      <c r="B92" s="62">
        <v>14000</v>
      </c>
      <c r="C92" s="62"/>
      <c r="D92" s="129">
        <v>1</v>
      </c>
      <c r="E92" s="17"/>
      <c r="F92" s="17"/>
      <c r="G92" s="17"/>
      <c r="H92" s="17"/>
    </row>
    <row r="93" spans="1:8" x14ac:dyDescent="0.2">
      <c r="A93" s="110" t="s">
        <v>189</v>
      </c>
      <c r="B93" s="62"/>
      <c r="C93" s="62">
        <v>14000</v>
      </c>
      <c r="D93" s="129">
        <v>3</v>
      </c>
    </row>
    <row r="96" spans="1:8" x14ac:dyDescent="0.2">
      <c r="B96" s="7">
        <f>SUM(B2:B93)</f>
        <v>3934643</v>
      </c>
      <c r="C96" s="7">
        <f>SUM(C2:C93)</f>
        <v>3934643</v>
      </c>
      <c r="D96" s="7">
        <f>B96-C96</f>
        <v>0</v>
      </c>
    </row>
  </sheetData>
  <autoFilter ref="A1:D93" xr:uid="{662ACA01-DD6F-45D0-AAC6-2D815638E628}"/>
  <pageMargins left="0.75" right="0.75" top="1" bottom="1" header="0" footer="0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7"/>
  <sheetViews>
    <sheetView topLeftCell="A7" workbookViewId="0">
      <selection activeCell="C155" sqref="C155"/>
    </sheetView>
  </sheetViews>
  <sheetFormatPr baseColWidth="10" defaultRowHeight="12.75" x14ac:dyDescent="0.2"/>
  <cols>
    <col min="5" max="5" width="4.5703125" customWidth="1"/>
    <col min="9" max="9" width="12.7109375" customWidth="1"/>
    <col min="10" max="10" width="3.28515625" customWidth="1"/>
    <col min="14" max="14" width="12.42578125" customWidth="1"/>
    <col min="15" max="15" width="3.7109375" bestFit="1" customWidth="1"/>
  </cols>
  <sheetData>
    <row r="1" spans="1:14" ht="18" x14ac:dyDescent="0.25">
      <c r="A1" s="58" t="s">
        <v>73</v>
      </c>
    </row>
    <row r="3" spans="1:14" ht="13.5" thickBot="1" x14ac:dyDescent="0.25">
      <c r="A3" s="2" t="s">
        <v>180</v>
      </c>
      <c r="D3" s="66" t="s">
        <v>78</v>
      </c>
      <c r="F3" s="2" t="s">
        <v>90</v>
      </c>
      <c r="I3" s="2" t="s">
        <v>11</v>
      </c>
      <c r="K3" s="2" t="s">
        <v>91</v>
      </c>
      <c r="N3" s="2" t="s">
        <v>78</v>
      </c>
    </row>
    <row r="4" spans="1:14" ht="13.5" thickBot="1" x14ac:dyDescent="0.25">
      <c r="A4" s="72" t="s">
        <v>74</v>
      </c>
      <c r="B4" s="73" t="s">
        <v>75</v>
      </c>
      <c r="C4" s="74" t="s">
        <v>76</v>
      </c>
      <c r="D4" s="75" t="s">
        <v>55</v>
      </c>
      <c r="F4" s="72" t="s">
        <v>74</v>
      </c>
      <c r="G4" s="73" t="s">
        <v>75</v>
      </c>
      <c r="H4" s="74" t="s">
        <v>76</v>
      </c>
      <c r="I4" s="75" t="s">
        <v>55</v>
      </c>
      <c r="K4" s="72" t="s">
        <v>74</v>
      </c>
      <c r="L4" s="73" t="s">
        <v>75</v>
      </c>
      <c r="M4" s="74" t="s">
        <v>76</v>
      </c>
      <c r="N4" s="75" t="s">
        <v>55</v>
      </c>
    </row>
    <row r="5" spans="1:14" x14ac:dyDescent="0.2">
      <c r="A5" s="67" t="s">
        <v>79</v>
      </c>
      <c r="B5" s="64"/>
      <c r="C5" s="65">
        <f>DIARIO!F11</f>
        <v>600000</v>
      </c>
      <c r="F5" s="67" t="s">
        <v>79</v>
      </c>
      <c r="G5" s="64"/>
      <c r="H5" s="65"/>
      <c r="I5" s="65">
        <f>DIARIO!G12</f>
        <v>600000</v>
      </c>
      <c r="K5" s="67" t="s">
        <v>79</v>
      </c>
      <c r="L5" s="64"/>
      <c r="M5" s="65">
        <f>DIARIO!F13</f>
        <v>150000</v>
      </c>
    </row>
    <row r="6" spans="1:14" x14ac:dyDescent="0.2">
      <c r="A6" s="67" t="s">
        <v>79</v>
      </c>
      <c r="B6" s="64"/>
      <c r="C6" s="65">
        <f>DIARIO!F19</f>
        <v>600000</v>
      </c>
      <c r="F6" s="67" t="s">
        <v>79</v>
      </c>
      <c r="G6" s="64"/>
      <c r="H6" s="65"/>
      <c r="I6" s="65">
        <f>DIARIO!G14</f>
        <v>150000</v>
      </c>
      <c r="K6" s="67" t="s">
        <v>79</v>
      </c>
      <c r="L6" s="64"/>
      <c r="M6" s="65">
        <f>DIARIO!F17</f>
        <v>200000</v>
      </c>
    </row>
    <row r="7" spans="1:14" x14ac:dyDescent="0.2">
      <c r="A7" s="67" t="s">
        <v>79</v>
      </c>
      <c r="B7" s="64"/>
      <c r="C7" s="65">
        <f>DIARIO!F21</f>
        <v>5000</v>
      </c>
      <c r="D7" s="65"/>
      <c r="F7" s="67" t="s">
        <v>79</v>
      </c>
      <c r="G7" s="64"/>
      <c r="H7" s="65"/>
      <c r="I7" s="65">
        <f>DIARIO!G16</f>
        <v>35000</v>
      </c>
      <c r="K7" s="63">
        <v>20</v>
      </c>
      <c r="L7" s="64"/>
      <c r="M7" s="65">
        <f>DIARIO!F136</f>
        <v>35000</v>
      </c>
    </row>
    <row r="8" spans="1:14" x14ac:dyDescent="0.2">
      <c r="A8" s="67" t="s">
        <v>79</v>
      </c>
      <c r="B8" s="64"/>
      <c r="C8" s="65"/>
      <c r="D8" s="65">
        <f>DIARIO!G24</f>
        <v>56000</v>
      </c>
      <c r="F8" s="67" t="s">
        <v>79</v>
      </c>
      <c r="G8" s="64"/>
      <c r="H8" s="65"/>
      <c r="I8" s="65">
        <f>DIARIO!G18</f>
        <v>200000</v>
      </c>
      <c r="K8" s="63">
        <v>22</v>
      </c>
      <c r="L8" s="64"/>
      <c r="M8" s="65"/>
      <c r="N8" s="65">
        <f>DIARIO!G146</f>
        <v>14000</v>
      </c>
    </row>
    <row r="9" spans="1:14" x14ac:dyDescent="0.2">
      <c r="A9" s="63">
        <v>1</v>
      </c>
      <c r="B9" s="64"/>
      <c r="C9" s="65"/>
      <c r="D9" s="65">
        <f>DIARIO!G29</f>
        <v>150000</v>
      </c>
      <c r="F9" s="81" t="s">
        <v>79</v>
      </c>
      <c r="I9" s="65">
        <v>5000</v>
      </c>
      <c r="K9" s="63"/>
      <c r="L9" s="64"/>
      <c r="M9" s="65"/>
    </row>
    <row r="10" spans="1:14" x14ac:dyDescent="0.2">
      <c r="A10" s="63">
        <v>2</v>
      </c>
      <c r="B10" s="64"/>
      <c r="C10" s="65"/>
      <c r="D10" s="65">
        <f>DIARIO!G33</f>
        <v>600000</v>
      </c>
      <c r="F10" s="63">
        <v>11</v>
      </c>
      <c r="G10" s="64"/>
      <c r="H10" s="65"/>
      <c r="I10" s="65">
        <f>DIARIO!G87</f>
        <v>40000</v>
      </c>
      <c r="K10" s="63"/>
      <c r="L10" s="64"/>
      <c r="M10" s="65"/>
    </row>
    <row r="11" spans="1:14" x14ac:dyDescent="0.2">
      <c r="A11" s="63">
        <v>2</v>
      </c>
      <c r="B11" s="64"/>
      <c r="C11" s="65"/>
      <c r="D11" s="65">
        <f>DIARIO!G35</f>
        <v>108000</v>
      </c>
      <c r="F11" s="63"/>
      <c r="G11" s="64"/>
      <c r="H11" s="65"/>
      <c r="K11" s="63"/>
      <c r="L11" s="64"/>
      <c r="M11" s="65"/>
    </row>
    <row r="12" spans="1:14" x14ac:dyDescent="0.2">
      <c r="A12" s="63">
        <v>4</v>
      </c>
      <c r="B12" s="64"/>
      <c r="C12" s="65"/>
      <c r="D12" s="65">
        <f>DIARIO!G46</f>
        <v>300</v>
      </c>
      <c r="F12" s="63"/>
      <c r="G12" s="64"/>
      <c r="H12" s="65"/>
      <c r="K12" s="63"/>
      <c r="L12" s="64"/>
      <c r="M12" s="65"/>
    </row>
    <row r="13" spans="1:14" x14ac:dyDescent="0.2">
      <c r="A13" s="63">
        <v>4</v>
      </c>
      <c r="B13" s="64"/>
      <c r="C13" s="65"/>
      <c r="D13" s="65">
        <f>DIARIO!G48</f>
        <v>200</v>
      </c>
      <c r="F13" s="63"/>
      <c r="G13" s="64"/>
      <c r="H13" s="65"/>
      <c r="K13" s="63"/>
      <c r="L13" s="64"/>
      <c r="M13" s="65"/>
    </row>
    <row r="14" spans="1:14" x14ac:dyDescent="0.2">
      <c r="A14" s="63">
        <v>4</v>
      </c>
      <c r="B14" s="64"/>
      <c r="C14" s="65"/>
      <c r="D14" s="65">
        <f>DIARIO!G50</f>
        <v>450</v>
      </c>
      <c r="F14" s="63"/>
      <c r="G14" s="64"/>
      <c r="H14" s="65"/>
      <c r="K14" s="63"/>
      <c r="L14" s="64"/>
      <c r="M14" s="65"/>
    </row>
    <row r="15" spans="1:14" x14ac:dyDescent="0.2">
      <c r="A15" s="63">
        <v>4</v>
      </c>
      <c r="B15" s="64"/>
      <c r="C15" s="65"/>
      <c r="D15" s="65">
        <f>DIARIO!G52</f>
        <v>171</v>
      </c>
      <c r="F15" s="63"/>
      <c r="G15" s="64"/>
      <c r="H15" s="65"/>
      <c r="K15" s="63"/>
      <c r="L15" s="64"/>
      <c r="M15" s="65"/>
    </row>
    <row r="16" spans="1:14" x14ac:dyDescent="0.2">
      <c r="A16" s="63">
        <v>5</v>
      </c>
      <c r="B16" s="64"/>
      <c r="C16" s="65"/>
      <c r="D16" s="65">
        <f>DIARIO!G57</f>
        <v>8000</v>
      </c>
      <c r="F16" s="63"/>
      <c r="G16" s="64"/>
      <c r="H16" s="65"/>
      <c r="K16" s="63"/>
      <c r="L16" s="64"/>
      <c r="M16" s="65"/>
    </row>
    <row r="17" spans="1:14" x14ac:dyDescent="0.2">
      <c r="A17" s="63">
        <v>6</v>
      </c>
      <c r="B17" s="64"/>
      <c r="C17" s="65"/>
      <c r="D17" s="65">
        <f>DIARIO!G61</f>
        <v>5000</v>
      </c>
      <c r="F17" s="63"/>
      <c r="G17" s="64"/>
      <c r="H17" s="65"/>
      <c r="K17" s="63"/>
      <c r="L17" s="64"/>
      <c r="M17" s="65"/>
    </row>
    <row r="18" spans="1:14" x14ac:dyDescent="0.2">
      <c r="A18" s="63">
        <v>6</v>
      </c>
      <c r="B18" s="64"/>
      <c r="C18" s="65"/>
      <c r="D18" s="65">
        <f>DIARIO!G63</f>
        <v>1500</v>
      </c>
      <c r="F18" s="63"/>
      <c r="G18" s="64"/>
      <c r="H18" s="65"/>
      <c r="K18" s="63"/>
      <c r="L18" s="64"/>
      <c r="M18" s="65"/>
    </row>
    <row r="19" spans="1:14" x14ac:dyDescent="0.2">
      <c r="A19" s="63">
        <v>7</v>
      </c>
      <c r="B19" s="64"/>
      <c r="C19" s="65"/>
      <c r="D19" s="65">
        <f>DIARIO!G67</f>
        <v>4000</v>
      </c>
      <c r="F19" s="63"/>
      <c r="G19" s="64"/>
      <c r="H19" s="65"/>
      <c r="K19" s="63"/>
      <c r="L19" s="64"/>
      <c r="M19" s="65"/>
    </row>
    <row r="20" spans="1:14" x14ac:dyDescent="0.2">
      <c r="A20" s="63">
        <v>8</v>
      </c>
      <c r="B20" s="64"/>
      <c r="C20" s="65"/>
      <c r="D20" s="65">
        <f>DIARIO!G71</f>
        <v>400</v>
      </c>
      <c r="F20" s="63"/>
      <c r="G20" s="64"/>
      <c r="H20" s="65"/>
      <c r="K20" s="63"/>
      <c r="L20" s="64"/>
      <c r="M20" s="65"/>
    </row>
    <row r="21" spans="1:14" x14ac:dyDescent="0.2">
      <c r="A21" s="63">
        <v>8</v>
      </c>
      <c r="B21" s="64"/>
      <c r="C21" s="65"/>
      <c r="D21" s="65">
        <f>DIARIO!G73</f>
        <v>72</v>
      </c>
      <c r="F21" s="63"/>
      <c r="G21" s="64"/>
      <c r="H21" s="65"/>
      <c r="K21" s="63"/>
      <c r="L21" s="64"/>
      <c r="M21" s="65"/>
    </row>
    <row r="22" spans="1:14" x14ac:dyDescent="0.2">
      <c r="A22" s="63">
        <v>9</v>
      </c>
      <c r="B22" s="64"/>
      <c r="C22" s="65">
        <f>DIARIO!F76</f>
        <v>30000</v>
      </c>
      <c r="D22" s="65"/>
      <c r="F22" s="63"/>
      <c r="G22" s="64"/>
      <c r="H22" s="65"/>
      <c r="K22" s="63"/>
      <c r="L22" s="64"/>
      <c r="M22" s="65"/>
    </row>
    <row r="23" spans="1:14" x14ac:dyDescent="0.2">
      <c r="A23" s="63">
        <v>13</v>
      </c>
      <c r="B23" s="64"/>
      <c r="C23" s="65"/>
      <c r="D23" s="65">
        <f>DIARIO!G99</f>
        <v>17500</v>
      </c>
      <c r="F23" s="63"/>
      <c r="G23" s="64"/>
      <c r="H23" s="65"/>
      <c r="K23" s="63"/>
      <c r="L23" s="64"/>
      <c r="M23" s="65"/>
    </row>
    <row r="24" spans="1:14" x14ac:dyDescent="0.2">
      <c r="A24" s="63">
        <v>13</v>
      </c>
      <c r="B24" s="64"/>
      <c r="C24" s="65"/>
      <c r="D24" s="65">
        <f>DIARIO!G102</f>
        <v>6300</v>
      </c>
      <c r="F24" s="63"/>
      <c r="G24" s="64"/>
      <c r="H24" s="65"/>
      <c r="K24" s="63"/>
      <c r="L24" s="64"/>
      <c r="M24" s="65"/>
    </row>
    <row r="25" spans="1:14" x14ac:dyDescent="0.2">
      <c r="A25" s="63">
        <v>14</v>
      </c>
      <c r="B25" s="64"/>
      <c r="C25" s="65"/>
      <c r="D25" s="65">
        <f>DIARIO!G106</f>
        <v>50000</v>
      </c>
      <c r="F25" s="63"/>
      <c r="G25" s="64"/>
      <c r="H25" s="65"/>
      <c r="K25" s="63"/>
      <c r="L25" s="64"/>
      <c r="M25" s="65"/>
    </row>
    <row r="26" spans="1:14" x14ac:dyDescent="0.2">
      <c r="A26" s="63">
        <v>15</v>
      </c>
      <c r="B26" s="64"/>
      <c r="C26" s="65">
        <f>DIARIO!F111</f>
        <v>6000</v>
      </c>
      <c r="D26" s="65"/>
      <c r="F26" s="63"/>
      <c r="G26" s="64"/>
      <c r="H26" s="65"/>
      <c r="K26" s="63"/>
      <c r="L26" s="64"/>
      <c r="M26" s="65"/>
    </row>
    <row r="27" spans="1:14" x14ac:dyDescent="0.2">
      <c r="A27" s="63">
        <v>16</v>
      </c>
      <c r="B27" s="64"/>
      <c r="C27" s="65"/>
      <c r="D27" s="65">
        <f>DIARIO!G116</f>
        <v>9000</v>
      </c>
      <c r="F27" s="63"/>
      <c r="G27" s="64"/>
      <c r="H27" s="65"/>
      <c r="K27" s="63"/>
      <c r="L27" s="64"/>
      <c r="M27" s="65"/>
    </row>
    <row r="28" spans="1:14" x14ac:dyDescent="0.2">
      <c r="A28" s="63">
        <v>17</v>
      </c>
      <c r="B28" s="64"/>
      <c r="C28" s="65">
        <f>DIARIO!F120</f>
        <v>15000</v>
      </c>
      <c r="D28" s="65"/>
      <c r="F28" s="63"/>
      <c r="G28" s="64"/>
      <c r="H28" s="65"/>
      <c r="K28" s="63"/>
      <c r="L28" s="64"/>
      <c r="M28" s="65"/>
    </row>
    <row r="29" spans="1:14" x14ac:dyDescent="0.2">
      <c r="A29" s="63">
        <v>18</v>
      </c>
      <c r="B29" s="64"/>
      <c r="C29" s="65"/>
      <c r="D29" s="65">
        <f>DIARIO!G129</f>
        <v>4000</v>
      </c>
      <c r="F29" s="63"/>
      <c r="G29" s="64"/>
      <c r="H29" s="65"/>
      <c r="K29" s="63"/>
      <c r="L29" s="64"/>
      <c r="M29" s="65"/>
    </row>
    <row r="30" spans="1:14" x14ac:dyDescent="0.2">
      <c r="A30" s="63">
        <v>19</v>
      </c>
      <c r="B30" s="64"/>
      <c r="C30" s="65">
        <f>DIARIO!F132</f>
        <v>5000</v>
      </c>
      <c r="D30" s="65"/>
      <c r="F30" s="63"/>
      <c r="G30" s="64"/>
      <c r="H30" s="65"/>
      <c r="K30" s="63"/>
      <c r="L30" s="64"/>
      <c r="M30" s="65"/>
    </row>
    <row r="31" spans="1:14" x14ac:dyDescent="0.2">
      <c r="A31" s="63">
        <v>21</v>
      </c>
      <c r="B31" s="64"/>
      <c r="C31" s="65">
        <f>DIARIO!F141</f>
        <v>5000</v>
      </c>
      <c r="D31" s="65"/>
      <c r="F31" s="63"/>
      <c r="G31" s="64"/>
      <c r="H31" s="65"/>
      <c r="K31" s="63"/>
      <c r="L31" s="64"/>
      <c r="M31" s="65"/>
    </row>
    <row r="32" spans="1:14" ht="13.5" thickBot="1" x14ac:dyDescent="0.25">
      <c r="A32" s="63">
        <v>22</v>
      </c>
      <c r="B32" s="64"/>
      <c r="C32" s="70">
        <v>14000</v>
      </c>
      <c r="D32" s="70"/>
      <c r="F32" s="63"/>
      <c r="G32" s="64"/>
      <c r="H32" s="70"/>
      <c r="I32" s="71"/>
      <c r="K32" s="63"/>
      <c r="L32" s="64"/>
      <c r="M32" s="70"/>
      <c r="N32" s="71"/>
    </row>
    <row r="33" spans="1:15" x14ac:dyDescent="0.2">
      <c r="A33" s="63"/>
      <c r="B33" s="2" t="s">
        <v>77</v>
      </c>
      <c r="C33" s="5">
        <f>SUM(C5:C32)</f>
        <v>1280000</v>
      </c>
      <c r="D33" s="5">
        <f>SUM(D5:D32)</f>
        <v>1020893</v>
      </c>
      <c r="E33" s="15" t="s">
        <v>133</v>
      </c>
      <c r="F33" s="63"/>
      <c r="G33" s="2" t="s">
        <v>77</v>
      </c>
      <c r="H33" s="5">
        <f>SUM(H5:H32)</f>
        <v>0</v>
      </c>
      <c r="I33" s="5">
        <f>SUM(I5:I32)</f>
        <v>1030000</v>
      </c>
      <c r="J33" s="15" t="s">
        <v>133</v>
      </c>
      <c r="K33" s="63"/>
      <c r="L33" s="2" t="s">
        <v>77</v>
      </c>
      <c r="M33" s="5">
        <f>SUM(M5:M32)</f>
        <v>385000</v>
      </c>
      <c r="N33" s="5">
        <f>SUM(N5:N32)</f>
        <v>14000</v>
      </c>
      <c r="O33" s="15" t="s">
        <v>133</v>
      </c>
    </row>
    <row r="34" spans="1:15" ht="15" x14ac:dyDescent="0.25">
      <c r="A34" s="63"/>
      <c r="B34" s="2" t="s">
        <v>33</v>
      </c>
      <c r="C34" s="76">
        <f>C33-D33</f>
        <v>259107</v>
      </c>
      <c r="D34" s="15"/>
      <c r="F34" s="63"/>
      <c r="G34" s="2" t="s">
        <v>33</v>
      </c>
      <c r="H34" s="15"/>
      <c r="I34" s="76">
        <f>I33-H33</f>
        <v>1030000</v>
      </c>
      <c r="K34" s="63"/>
      <c r="L34" s="2" t="s">
        <v>33</v>
      </c>
      <c r="M34" s="76">
        <f>M33-N33</f>
        <v>371000</v>
      </c>
    </row>
    <row r="37" spans="1:15" ht="13.5" thickBot="1" x14ac:dyDescent="0.25">
      <c r="A37" s="2" t="s">
        <v>92</v>
      </c>
      <c r="D37" s="66" t="s">
        <v>78</v>
      </c>
      <c r="F37" s="2" t="s">
        <v>93</v>
      </c>
      <c r="I37" s="2" t="s">
        <v>84</v>
      </c>
      <c r="K37" s="2" t="s">
        <v>94</v>
      </c>
      <c r="N37" s="2" t="s">
        <v>87</v>
      </c>
    </row>
    <row r="38" spans="1:15" ht="13.5" thickBot="1" x14ac:dyDescent="0.25">
      <c r="A38" s="72" t="s">
        <v>74</v>
      </c>
      <c r="B38" s="73" t="s">
        <v>75</v>
      </c>
      <c r="C38" s="74" t="s">
        <v>76</v>
      </c>
      <c r="D38" s="75" t="s">
        <v>55</v>
      </c>
      <c r="F38" s="72" t="s">
        <v>74</v>
      </c>
      <c r="G38" s="73" t="s">
        <v>75</v>
      </c>
      <c r="H38" s="74" t="s">
        <v>76</v>
      </c>
      <c r="I38" s="75" t="s">
        <v>55</v>
      </c>
      <c r="K38" s="72" t="s">
        <v>74</v>
      </c>
      <c r="L38" s="73" t="s">
        <v>75</v>
      </c>
      <c r="M38" s="74" t="s">
        <v>76</v>
      </c>
      <c r="N38" s="75" t="s">
        <v>55</v>
      </c>
    </row>
    <row r="39" spans="1:15" x14ac:dyDescent="0.2">
      <c r="A39" s="67" t="s">
        <v>79</v>
      </c>
      <c r="B39" s="64"/>
      <c r="C39" s="65">
        <f>DIARIO!F15</f>
        <v>35000</v>
      </c>
      <c r="F39" s="67" t="s">
        <v>79</v>
      </c>
      <c r="G39" s="64"/>
      <c r="H39" s="65"/>
      <c r="I39" s="65">
        <f>DIARIO!G20</f>
        <v>600000</v>
      </c>
      <c r="K39" s="67">
        <v>8</v>
      </c>
      <c r="L39" s="64"/>
      <c r="M39" s="65">
        <f>DIARIO!F70</f>
        <v>400</v>
      </c>
    </row>
    <row r="40" spans="1:15" x14ac:dyDescent="0.2">
      <c r="A40" s="67">
        <v>11</v>
      </c>
      <c r="B40" s="64"/>
      <c r="C40" s="65">
        <f>DIARIO!F86</f>
        <v>40000</v>
      </c>
      <c r="F40" s="67">
        <v>1</v>
      </c>
      <c r="G40" s="64"/>
      <c r="H40" s="65"/>
      <c r="I40" s="65">
        <f>DIARIO!G28</f>
        <v>150000</v>
      </c>
      <c r="K40" s="63">
        <v>10</v>
      </c>
      <c r="L40" s="64"/>
      <c r="M40" s="65">
        <f>DIARIO!F82</f>
        <v>35000</v>
      </c>
    </row>
    <row r="41" spans="1:15" x14ac:dyDescent="0.2">
      <c r="A41" s="67"/>
      <c r="B41" s="64"/>
      <c r="C41" s="65"/>
      <c r="D41" s="65"/>
      <c r="F41" s="67">
        <v>9</v>
      </c>
      <c r="G41" s="64"/>
      <c r="H41" s="65"/>
      <c r="I41" s="65">
        <f>DIARIO!G77</f>
        <v>30000</v>
      </c>
    </row>
    <row r="42" spans="1:15" x14ac:dyDescent="0.2">
      <c r="A42" s="63"/>
      <c r="B42" s="64"/>
      <c r="C42" s="65"/>
      <c r="D42" s="65"/>
      <c r="F42" s="67">
        <v>9</v>
      </c>
      <c r="G42" s="64"/>
      <c r="H42" s="65"/>
      <c r="I42" s="65">
        <f>DIARIO!G79</f>
        <v>3000</v>
      </c>
      <c r="K42" s="63"/>
      <c r="L42" s="64"/>
      <c r="M42" s="65"/>
    </row>
    <row r="43" spans="1:15" x14ac:dyDescent="0.2">
      <c r="A43" s="63"/>
      <c r="B43" s="64"/>
      <c r="C43" s="65"/>
      <c r="D43" s="65"/>
      <c r="F43" s="63"/>
      <c r="G43" s="64"/>
      <c r="H43" s="65"/>
      <c r="I43" s="65"/>
      <c r="K43" s="63"/>
      <c r="L43" s="64"/>
      <c r="M43" s="65"/>
    </row>
    <row r="44" spans="1:15" x14ac:dyDescent="0.2">
      <c r="A44" s="63"/>
      <c r="B44" s="64"/>
      <c r="C44" s="65"/>
      <c r="D44" s="65"/>
      <c r="F44" s="63"/>
      <c r="G44" s="64"/>
      <c r="H44" s="65"/>
      <c r="K44" s="63"/>
      <c r="L44" s="64"/>
      <c r="M44" s="65"/>
    </row>
    <row r="45" spans="1:15" ht="13.5" thickBot="1" x14ac:dyDescent="0.25">
      <c r="A45" s="68"/>
      <c r="B45" s="69"/>
      <c r="C45" s="70"/>
      <c r="D45" s="71"/>
      <c r="F45" s="68"/>
      <c r="G45" s="69"/>
      <c r="H45" s="70"/>
      <c r="I45" s="71"/>
      <c r="K45" s="68"/>
      <c r="L45" s="69"/>
      <c r="M45" s="70"/>
      <c r="N45" s="71"/>
    </row>
    <row r="46" spans="1:15" x14ac:dyDescent="0.2">
      <c r="A46" s="63"/>
      <c r="B46" s="2" t="s">
        <v>77</v>
      </c>
      <c r="C46" s="5">
        <f>SUM(C39:C45)</f>
        <v>75000</v>
      </c>
      <c r="D46" s="5">
        <f>SUM(D39:D45)</f>
        <v>0</v>
      </c>
      <c r="E46" s="15" t="s">
        <v>133</v>
      </c>
      <c r="F46" s="63"/>
      <c r="G46" s="2" t="s">
        <v>77</v>
      </c>
      <c r="H46" s="5">
        <f>SUM(H39:H45)</f>
        <v>0</v>
      </c>
      <c r="I46" s="5">
        <f>SUM(I39:I45)</f>
        <v>783000</v>
      </c>
      <c r="J46" s="15" t="s">
        <v>133</v>
      </c>
      <c r="K46" s="63"/>
      <c r="L46" s="2" t="s">
        <v>77</v>
      </c>
      <c r="M46" s="5">
        <f>SUM(M39:M45)</f>
        <v>35400</v>
      </c>
      <c r="N46" s="5">
        <f>SUM(N39:N45)</f>
        <v>0</v>
      </c>
      <c r="O46" s="15" t="s">
        <v>133</v>
      </c>
    </row>
    <row r="47" spans="1:15" ht="15" x14ac:dyDescent="0.25">
      <c r="A47" s="63"/>
      <c r="B47" s="2" t="s">
        <v>33</v>
      </c>
      <c r="C47" s="76">
        <f>C46-D46</f>
        <v>75000</v>
      </c>
      <c r="F47" s="63"/>
      <c r="G47" s="2" t="s">
        <v>33</v>
      </c>
      <c r="H47" s="5"/>
      <c r="I47" s="76">
        <f>I46-H46</f>
        <v>783000</v>
      </c>
      <c r="K47" s="63"/>
      <c r="L47" s="2" t="s">
        <v>33</v>
      </c>
      <c r="M47" s="76">
        <f>M46-N46</f>
        <v>35400</v>
      </c>
    </row>
    <row r="50" spans="1:15" ht="13.5" thickBot="1" x14ac:dyDescent="0.25">
      <c r="A50" s="2" t="s">
        <v>95</v>
      </c>
      <c r="D50" s="66" t="s">
        <v>78</v>
      </c>
      <c r="F50" s="2" t="s">
        <v>96</v>
      </c>
      <c r="I50" s="2" t="s">
        <v>78</v>
      </c>
      <c r="K50" s="2" t="s">
        <v>97</v>
      </c>
      <c r="N50" s="2" t="s">
        <v>84</v>
      </c>
    </row>
    <row r="51" spans="1:15" ht="13.5" thickBot="1" x14ac:dyDescent="0.25">
      <c r="A51" s="72" t="s">
        <v>74</v>
      </c>
      <c r="B51" s="73" t="s">
        <v>75</v>
      </c>
      <c r="C51" s="74" t="s">
        <v>76</v>
      </c>
      <c r="D51" s="75" t="s">
        <v>55</v>
      </c>
      <c r="F51" s="72" t="s">
        <v>74</v>
      </c>
      <c r="G51" s="73" t="s">
        <v>75</v>
      </c>
      <c r="H51" s="74" t="s">
        <v>76</v>
      </c>
      <c r="I51" s="75" t="s">
        <v>55</v>
      </c>
      <c r="K51" s="72" t="s">
        <v>74</v>
      </c>
      <c r="L51" s="73" t="s">
        <v>75</v>
      </c>
      <c r="M51" s="74" t="s">
        <v>76</v>
      </c>
      <c r="N51" s="75" t="s">
        <v>55</v>
      </c>
    </row>
    <row r="52" spans="1:15" x14ac:dyDescent="0.2">
      <c r="A52" s="67">
        <v>1</v>
      </c>
      <c r="B52" s="64"/>
      <c r="C52" s="65">
        <f>DIARIO!F27</f>
        <v>300000</v>
      </c>
      <c r="F52" s="52" t="s">
        <v>79</v>
      </c>
      <c r="H52" s="65">
        <f>DIARIO!F23</f>
        <v>56000</v>
      </c>
      <c r="K52" s="67">
        <v>2</v>
      </c>
      <c r="L52" s="64"/>
      <c r="M52" s="65">
        <f>DIARIO!F34</f>
        <v>108000</v>
      </c>
    </row>
    <row r="53" spans="1:15" x14ac:dyDescent="0.2">
      <c r="A53" s="67">
        <v>20</v>
      </c>
      <c r="B53" s="64"/>
      <c r="C53" s="65">
        <f>DIARIO!F137</f>
        <v>30000</v>
      </c>
      <c r="F53" s="67">
        <v>2</v>
      </c>
      <c r="G53" s="64"/>
      <c r="H53" s="65">
        <f>DIARIO!F32</f>
        <v>600000</v>
      </c>
      <c r="I53" s="65"/>
      <c r="K53" s="67">
        <v>3</v>
      </c>
      <c r="L53" s="64"/>
      <c r="M53" s="65"/>
      <c r="N53" s="65">
        <f>DIARIO!G41</f>
        <v>72000</v>
      </c>
    </row>
    <row r="54" spans="1:15" x14ac:dyDescent="0.2">
      <c r="A54" s="67"/>
      <c r="B54" s="64"/>
      <c r="C54" s="65"/>
      <c r="D54" s="65"/>
      <c r="F54" s="67">
        <v>3</v>
      </c>
      <c r="G54" s="64"/>
      <c r="H54" s="65"/>
      <c r="I54" s="65">
        <f>DIARIO!G43</f>
        <v>350000</v>
      </c>
      <c r="K54" s="63">
        <v>4</v>
      </c>
      <c r="L54" s="64"/>
      <c r="M54" s="65">
        <f>DIARIO!F53</f>
        <v>171</v>
      </c>
    </row>
    <row r="55" spans="1:15" x14ac:dyDescent="0.2">
      <c r="A55" s="63"/>
      <c r="B55" s="64"/>
      <c r="C55" s="65"/>
      <c r="D55" s="65"/>
      <c r="F55" s="67">
        <v>13</v>
      </c>
      <c r="G55" s="64"/>
      <c r="H55" s="65">
        <f>DIARIO!F98</f>
        <v>35000</v>
      </c>
      <c r="I55" s="65"/>
      <c r="K55" s="63">
        <v>6</v>
      </c>
      <c r="L55" s="64"/>
      <c r="M55" s="65">
        <f>DIARIO!F60</f>
        <v>5000</v>
      </c>
    </row>
    <row r="56" spans="1:15" x14ac:dyDescent="0.2">
      <c r="A56" s="63"/>
      <c r="B56" s="64"/>
      <c r="C56" s="65"/>
      <c r="D56" s="65"/>
      <c r="F56" s="67">
        <v>17</v>
      </c>
      <c r="G56" s="64"/>
      <c r="H56" s="65"/>
      <c r="I56" s="65">
        <f>DIARIO!G122</f>
        <v>40000</v>
      </c>
      <c r="K56" s="63">
        <v>8</v>
      </c>
      <c r="L56" s="64"/>
      <c r="M56" s="65">
        <f>DIARIO!F72</f>
        <v>72</v>
      </c>
    </row>
    <row r="57" spans="1:15" x14ac:dyDescent="0.2">
      <c r="A57" s="63"/>
      <c r="B57" s="64"/>
      <c r="C57" s="65"/>
      <c r="D57" s="65"/>
      <c r="F57" s="63"/>
      <c r="G57" s="64"/>
      <c r="H57" s="65"/>
      <c r="I57" s="65"/>
      <c r="K57" s="63">
        <v>13</v>
      </c>
      <c r="L57" s="64"/>
      <c r="M57" s="65">
        <f>DIARIO!F101</f>
        <v>6300</v>
      </c>
    </row>
    <row r="58" spans="1:15" ht="13.5" thickBot="1" x14ac:dyDescent="0.25">
      <c r="A58" s="68"/>
      <c r="B58" s="69"/>
      <c r="C58" s="70"/>
      <c r="D58" s="71"/>
      <c r="F58" s="68"/>
      <c r="G58" s="69"/>
      <c r="H58" s="70"/>
      <c r="I58" s="71"/>
      <c r="K58" s="68"/>
      <c r="L58" s="69"/>
      <c r="M58" s="70"/>
      <c r="N58" s="71"/>
    </row>
    <row r="59" spans="1:15" x14ac:dyDescent="0.2">
      <c r="A59" s="63"/>
      <c r="B59" s="2" t="s">
        <v>77</v>
      </c>
      <c r="C59" s="5">
        <f>SUM(C52:C58)</f>
        <v>330000</v>
      </c>
      <c r="D59" s="5">
        <f>SUM(D52:D58)</f>
        <v>0</v>
      </c>
      <c r="E59" s="15" t="s">
        <v>133</v>
      </c>
      <c r="F59" s="63"/>
      <c r="G59" s="2" t="s">
        <v>77</v>
      </c>
      <c r="H59" s="5">
        <f>SUM(H52:H58)</f>
        <v>691000</v>
      </c>
      <c r="I59" s="5">
        <f>SUM(I52:I58)</f>
        <v>390000</v>
      </c>
      <c r="J59" s="15" t="s">
        <v>133</v>
      </c>
      <c r="K59" s="63"/>
      <c r="L59" s="2" t="s">
        <v>77</v>
      </c>
      <c r="M59" s="5">
        <f>SUM(M52:M58)</f>
        <v>119543</v>
      </c>
      <c r="N59" s="5">
        <f>SUM(N52:N58)</f>
        <v>72000</v>
      </c>
      <c r="O59" s="15" t="s">
        <v>133</v>
      </c>
    </row>
    <row r="60" spans="1:15" ht="15" x14ac:dyDescent="0.25">
      <c r="A60" s="63"/>
      <c r="B60" s="2" t="s">
        <v>33</v>
      </c>
      <c r="C60" s="76">
        <f>C59-D59</f>
        <v>330000</v>
      </c>
      <c r="F60" s="63"/>
      <c r="G60" s="2" t="s">
        <v>33</v>
      </c>
      <c r="H60" s="76">
        <f>H59-I59</f>
        <v>301000</v>
      </c>
      <c r="K60" s="63"/>
      <c r="L60" s="2" t="s">
        <v>33</v>
      </c>
      <c r="M60" s="76">
        <f>M59-N59</f>
        <v>47543</v>
      </c>
    </row>
    <row r="63" spans="1:15" ht="13.5" thickBot="1" x14ac:dyDescent="0.25">
      <c r="A63" s="2" t="s">
        <v>99</v>
      </c>
      <c r="D63" s="66" t="s">
        <v>100</v>
      </c>
      <c r="F63" s="2" t="s">
        <v>102</v>
      </c>
      <c r="I63" s="2" t="s">
        <v>78</v>
      </c>
      <c r="K63" s="2" t="s">
        <v>103</v>
      </c>
      <c r="N63" s="2" t="s">
        <v>104</v>
      </c>
    </row>
    <row r="64" spans="1:15" ht="13.5" thickBot="1" x14ac:dyDescent="0.25">
      <c r="A64" s="72" t="s">
        <v>74</v>
      </c>
      <c r="B64" s="73" t="s">
        <v>75</v>
      </c>
      <c r="C64" s="74" t="s">
        <v>76</v>
      </c>
      <c r="D64" s="75" t="s">
        <v>55</v>
      </c>
      <c r="F64" s="72" t="s">
        <v>74</v>
      </c>
      <c r="G64" s="73" t="s">
        <v>75</v>
      </c>
      <c r="H64" s="74" t="s">
        <v>76</v>
      </c>
      <c r="I64" s="75" t="s">
        <v>55</v>
      </c>
      <c r="K64" s="72" t="s">
        <v>74</v>
      </c>
      <c r="L64" s="73" t="s">
        <v>75</v>
      </c>
      <c r="M64" s="74" t="s">
        <v>76</v>
      </c>
      <c r="N64" s="75" t="s">
        <v>55</v>
      </c>
    </row>
    <row r="65" spans="1:15" x14ac:dyDescent="0.2">
      <c r="A65" s="67">
        <v>3</v>
      </c>
      <c r="B65" s="64"/>
      <c r="C65" s="65"/>
      <c r="D65" s="65">
        <f>DIARIO!G38</f>
        <v>400000</v>
      </c>
      <c r="F65" s="67">
        <v>3</v>
      </c>
      <c r="G65" s="64"/>
      <c r="H65" s="65">
        <f>DIARIO!F39</f>
        <v>400000</v>
      </c>
      <c r="I65" s="65"/>
      <c r="K65" s="67">
        <v>3</v>
      </c>
      <c r="L65" s="64"/>
      <c r="M65" s="65">
        <f>DIARIO!F42</f>
        <v>350000</v>
      </c>
    </row>
    <row r="66" spans="1:15" x14ac:dyDescent="0.2">
      <c r="A66" s="67">
        <v>17</v>
      </c>
      <c r="B66" s="64"/>
      <c r="C66" s="65"/>
      <c r="D66" s="65">
        <f>DIARIO!G119</f>
        <v>50000</v>
      </c>
      <c r="F66" s="67">
        <v>3</v>
      </c>
      <c r="G66" s="64"/>
      <c r="H66" s="65">
        <f>DIARIO!F40</f>
        <v>72000</v>
      </c>
      <c r="I66" s="65"/>
      <c r="K66" s="67">
        <v>17</v>
      </c>
      <c r="L66" s="64"/>
      <c r="M66" s="65">
        <f>DIARIO!F123</f>
        <v>40000</v>
      </c>
      <c r="N66" s="65"/>
    </row>
    <row r="67" spans="1:15" x14ac:dyDescent="0.2">
      <c r="A67" s="67"/>
      <c r="B67" s="64"/>
      <c r="C67" s="65"/>
      <c r="D67" s="65"/>
      <c r="F67" s="67">
        <v>15</v>
      </c>
      <c r="G67" s="64"/>
      <c r="H67" s="65"/>
      <c r="I67" s="65">
        <f>DIARIO!G112</f>
        <v>6000</v>
      </c>
      <c r="K67" s="63"/>
      <c r="L67" s="64"/>
      <c r="M67" s="65"/>
    </row>
    <row r="68" spans="1:15" x14ac:dyDescent="0.2">
      <c r="A68" s="63"/>
      <c r="B68" s="64"/>
      <c r="C68" s="65"/>
      <c r="D68" s="65"/>
      <c r="F68" s="67">
        <v>17</v>
      </c>
      <c r="G68" s="64"/>
      <c r="H68" s="65">
        <f>DIARIO!F121</f>
        <v>35000</v>
      </c>
      <c r="I68" s="65"/>
      <c r="K68" s="63"/>
      <c r="L68" s="64"/>
      <c r="M68" s="65"/>
    </row>
    <row r="69" spans="1:15" x14ac:dyDescent="0.2">
      <c r="A69" s="63"/>
      <c r="B69" s="64"/>
      <c r="C69" s="65"/>
      <c r="D69" s="65"/>
      <c r="F69" s="63">
        <v>17</v>
      </c>
      <c r="G69" s="64"/>
      <c r="H69" s="65"/>
      <c r="I69" s="65">
        <f>DIARIO!G125</f>
        <v>1750</v>
      </c>
      <c r="K69" s="63"/>
      <c r="L69" s="64"/>
      <c r="M69" s="65"/>
    </row>
    <row r="70" spans="1:15" x14ac:dyDescent="0.2">
      <c r="A70" s="63"/>
      <c r="B70" s="64"/>
      <c r="C70" s="65"/>
      <c r="D70" s="65"/>
      <c r="F70" s="63"/>
      <c r="G70" s="64"/>
      <c r="H70" s="65"/>
      <c r="K70" s="63"/>
      <c r="L70" s="64"/>
      <c r="M70" s="65"/>
    </row>
    <row r="71" spans="1:15" ht="13.5" thickBot="1" x14ac:dyDescent="0.25">
      <c r="A71" s="68"/>
      <c r="B71" s="69"/>
      <c r="C71" s="70"/>
      <c r="D71" s="71"/>
      <c r="F71" s="68"/>
      <c r="G71" s="69"/>
      <c r="H71" s="70"/>
      <c r="I71" s="71"/>
      <c r="K71" s="68"/>
      <c r="L71" s="69"/>
      <c r="M71" s="70"/>
      <c r="N71" s="71"/>
    </row>
    <row r="72" spans="1:15" x14ac:dyDescent="0.2">
      <c r="A72" s="63"/>
      <c r="B72" s="2" t="s">
        <v>77</v>
      </c>
      <c r="C72" s="5">
        <f>SUM(C65:C71)</f>
        <v>0</v>
      </c>
      <c r="D72" s="5">
        <f>SUM(D65:D71)</f>
        <v>450000</v>
      </c>
      <c r="E72" s="15" t="s">
        <v>133</v>
      </c>
      <c r="F72" s="63"/>
      <c r="G72" s="2" t="s">
        <v>77</v>
      </c>
      <c r="H72" s="5">
        <f>SUM(H65:H71)</f>
        <v>507000</v>
      </c>
      <c r="I72" s="5">
        <f>SUM(I65:I71)</f>
        <v>7750</v>
      </c>
      <c r="J72" s="15" t="s">
        <v>133</v>
      </c>
      <c r="K72" s="63"/>
      <c r="L72" s="2" t="s">
        <v>77</v>
      </c>
      <c r="M72" s="5">
        <f>SUM(M65:M71)</f>
        <v>390000</v>
      </c>
      <c r="N72" s="5">
        <f>SUM(N65:N71)</f>
        <v>0</v>
      </c>
      <c r="O72" s="15" t="s">
        <v>133</v>
      </c>
    </row>
    <row r="73" spans="1:15" ht="15" x14ac:dyDescent="0.25">
      <c r="A73" s="63"/>
      <c r="B73" s="2" t="s">
        <v>33</v>
      </c>
      <c r="D73" s="76">
        <f>D72-C72</f>
        <v>450000</v>
      </c>
      <c r="F73" s="63"/>
      <c r="G73" s="2" t="s">
        <v>33</v>
      </c>
      <c r="H73" s="76">
        <f>H72-I72</f>
        <v>499250</v>
      </c>
      <c r="K73" s="63"/>
      <c r="L73" s="2" t="s">
        <v>33</v>
      </c>
      <c r="M73" s="76">
        <f>M72-N72</f>
        <v>390000</v>
      </c>
    </row>
    <row r="76" spans="1:15" ht="13.5" thickBot="1" x14ac:dyDescent="0.25">
      <c r="A76" s="2" t="s">
        <v>106</v>
      </c>
      <c r="D76" s="66" t="s">
        <v>87</v>
      </c>
      <c r="F76" s="2" t="s">
        <v>109</v>
      </c>
      <c r="I76" s="2" t="s">
        <v>87</v>
      </c>
      <c r="K76" s="2" t="s">
        <v>111</v>
      </c>
      <c r="N76" s="2" t="s">
        <v>87</v>
      </c>
    </row>
    <row r="77" spans="1:15" ht="13.5" thickBot="1" x14ac:dyDescent="0.25">
      <c r="A77" s="72" t="s">
        <v>74</v>
      </c>
      <c r="B77" s="73" t="s">
        <v>75</v>
      </c>
      <c r="C77" s="74" t="s">
        <v>76</v>
      </c>
      <c r="D77" s="75" t="s">
        <v>55</v>
      </c>
      <c r="F77" s="72" t="s">
        <v>74</v>
      </c>
      <c r="G77" s="73" t="s">
        <v>75</v>
      </c>
      <c r="H77" s="74" t="s">
        <v>76</v>
      </c>
      <c r="I77" s="75" t="s">
        <v>55</v>
      </c>
      <c r="K77" s="72" t="s">
        <v>74</v>
      </c>
      <c r="L77" s="73" t="s">
        <v>75</v>
      </c>
      <c r="M77" s="74" t="s">
        <v>76</v>
      </c>
      <c r="N77" s="75" t="s">
        <v>55</v>
      </c>
    </row>
    <row r="78" spans="1:15" x14ac:dyDescent="0.2">
      <c r="A78" s="67">
        <v>3</v>
      </c>
      <c r="B78" s="64"/>
      <c r="C78" s="65">
        <f>DIARIO!F47</f>
        <v>300</v>
      </c>
      <c r="D78" s="65"/>
      <c r="F78" s="67">
        <v>5</v>
      </c>
      <c r="G78" s="64"/>
      <c r="H78" s="65">
        <f>DIARIO!F56</f>
        <v>8000</v>
      </c>
      <c r="I78" s="65"/>
      <c r="K78" s="67">
        <v>6</v>
      </c>
      <c r="L78" s="64"/>
      <c r="M78" s="65">
        <f>DIARIO!F62</f>
        <v>1500</v>
      </c>
    </row>
    <row r="79" spans="1:15" x14ac:dyDescent="0.2">
      <c r="A79" s="67">
        <v>3</v>
      </c>
      <c r="B79" s="64"/>
      <c r="C79" s="65">
        <f>DIARIO!F49</f>
        <v>200</v>
      </c>
      <c r="D79" s="65"/>
      <c r="F79" s="67">
        <v>18</v>
      </c>
      <c r="G79" s="64"/>
      <c r="H79" s="65">
        <f>DIARIO!F128</f>
        <v>4000</v>
      </c>
      <c r="I79" s="65"/>
      <c r="K79" s="67"/>
      <c r="L79" s="64"/>
      <c r="M79" s="65"/>
      <c r="N79" s="65"/>
    </row>
    <row r="80" spans="1:15" x14ac:dyDescent="0.2">
      <c r="A80" s="67">
        <v>3</v>
      </c>
      <c r="B80" s="64"/>
      <c r="C80" s="65">
        <f>DIARIO!F51</f>
        <v>450</v>
      </c>
      <c r="D80" s="65"/>
      <c r="F80" s="67"/>
      <c r="G80" s="64"/>
      <c r="H80" s="65"/>
      <c r="I80" s="65"/>
      <c r="K80" s="63"/>
      <c r="L80" s="64"/>
      <c r="M80" s="65"/>
    </row>
    <row r="81" spans="1:15" x14ac:dyDescent="0.2">
      <c r="A81" s="63"/>
      <c r="B81" s="64"/>
      <c r="C81" s="65"/>
      <c r="D81" s="65"/>
      <c r="F81" s="67"/>
      <c r="G81" s="64"/>
      <c r="H81" s="65"/>
      <c r="I81" s="65"/>
      <c r="K81" s="63"/>
      <c r="L81" s="64"/>
      <c r="M81" s="65"/>
    </row>
    <row r="82" spans="1:15" x14ac:dyDescent="0.2">
      <c r="A82" s="63"/>
      <c r="B82" s="64"/>
      <c r="C82" s="65"/>
      <c r="D82" s="65"/>
      <c r="F82" s="63"/>
      <c r="G82" s="64"/>
      <c r="H82" s="65"/>
      <c r="I82" s="65"/>
      <c r="K82" s="63"/>
      <c r="L82" s="64"/>
      <c r="M82" s="65"/>
    </row>
    <row r="83" spans="1:15" x14ac:dyDescent="0.2">
      <c r="A83" s="63"/>
      <c r="B83" s="64"/>
      <c r="C83" s="65"/>
      <c r="D83" s="65"/>
      <c r="F83" s="63"/>
      <c r="G83" s="64"/>
      <c r="H83" s="65"/>
      <c r="K83" s="63"/>
      <c r="L83" s="64"/>
      <c r="M83" s="65"/>
    </row>
    <row r="84" spans="1:15" ht="13.5" thickBot="1" x14ac:dyDescent="0.25">
      <c r="A84" s="68"/>
      <c r="B84" s="69"/>
      <c r="C84" s="70"/>
      <c r="D84" s="71"/>
      <c r="F84" s="68"/>
      <c r="G84" s="69"/>
      <c r="H84" s="70"/>
      <c r="I84" s="71"/>
      <c r="K84" s="68"/>
      <c r="L84" s="69"/>
      <c r="M84" s="70"/>
      <c r="N84" s="71"/>
    </row>
    <row r="85" spans="1:15" x14ac:dyDescent="0.2">
      <c r="A85" s="63"/>
      <c r="B85" s="2" t="s">
        <v>77</v>
      </c>
      <c r="C85" s="5">
        <f>SUM(C78:C84)</f>
        <v>950</v>
      </c>
      <c r="D85" s="5">
        <f>SUM(D78:D84)</f>
        <v>0</v>
      </c>
      <c r="E85" s="15" t="s">
        <v>133</v>
      </c>
      <c r="F85" s="63"/>
      <c r="G85" s="2" t="s">
        <v>77</v>
      </c>
      <c r="H85" s="5">
        <f>SUM(H78:H84)</f>
        <v>12000</v>
      </c>
      <c r="I85" s="5">
        <f>SUM(I78:I84)</f>
        <v>0</v>
      </c>
      <c r="J85" s="15" t="s">
        <v>133</v>
      </c>
      <c r="K85" s="63"/>
      <c r="L85" s="2" t="s">
        <v>77</v>
      </c>
      <c r="M85" s="5">
        <f>SUM(M78:M84)</f>
        <v>1500</v>
      </c>
      <c r="N85" s="5">
        <f>SUM(N78:N84)</f>
        <v>0</v>
      </c>
      <c r="O85" s="15" t="s">
        <v>133</v>
      </c>
    </row>
    <row r="86" spans="1:15" ht="15" x14ac:dyDescent="0.25">
      <c r="A86" s="63"/>
      <c r="B86" s="2" t="s">
        <v>33</v>
      </c>
      <c r="C86" s="76">
        <f>C85-D85</f>
        <v>950</v>
      </c>
      <c r="F86" s="63"/>
      <c r="G86" s="2" t="s">
        <v>33</v>
      </c>
      <c r="H86" s="76">
        <f>H85-I85</f>
        <v>12000</v>
      </c>
      <c r="K86" s="63"/>
      <c r="L86" s="2" t="s">
        <v>33</v>
      </c>
      <c r="M86" s="76">
        <f>M85-N85</f>
        <v>1500</v>
      </c>
    </row>
    <row r="89" spans="1:15" ht="13.5" thickBot="1" x14ac:dyDescent="0.25">
      <c r="A89" s="2" t="s">
        <v>112</v>
      </c>
      <c r="D89" s="66" t="s">
        <v>78</v>
      </c>
      <c r="F89" s="2" t="s">
        <v>113</v>
      </c>
      <c r="I89" s="2" t="s">
        <v>87</v>
      </c>
      <c r="K89" s="2" t="s">
        <v>116</v>
      </c>
      <c r="N89" s="2" t="s">
        <v>87</v>
      </c>
    </row>
    <row r="90" spans="1:15" ht="13.5" thickBot="1" x14ac:dyDescent="0.25">
      <c r="A90" s="72" t="s">
        <v>74</v>
      </c>
      <c r="B90" s="73" t="s">
        <v>75</v>
      </c>
      <c r="C90" s="74" t="s">
        <v>76</v>
      </c>
      <c r="D90" s="75" t="s">
        <v>55</v>
      </c>
      <c r="F90" s="72" t="s">
        <v>74</v>
      </c>
      <c r="G90" s="73" t="s">
        <v>75</v>
      </c>
      <c r="H90" s="74" t="s">
        <v>76</v>
      </c>
      <c r="I90" s="75" t="s">
        <v>55</v>
      </c>
      <c r="K90" s="72" t="s">
        <v>74</v>
      </c>
      <c r="L90" s="73" t="s">
        <v>75</v>
      </c>
      <c r="M90" s="74" t="s">
        <v>76</v>
      </c>
      <c r="N90" s="75" t="s">
        <v>55</v>
      </c>
    </row>
    <row r="91" spans="1:15" x14ac:dyDescent="0.2">
      <c r="A91" s="67">
        <v>7</v>
      </c>
      <c r="B91" s="64"/>
      <c r="C91" s="65">
        <f>DIARIO!F66</f>
        <v>4000</v>
      </c>
      <c r="D91" s="65"/>
      <c r="F91" s="67"/>
      <c r="G91" s="64"/>
      <c r="H91" s="65"/>
      <c r="I91" s="65"/>
      <c r="K91" s="67">
        <v>9</v>
      </c>
      <c r="L91" s="64"/>
      <c r="M91" s="65">
        <f>DIARIO!F78</f>
        <v>3000</v>
      </c>
    </row>
    <row r="92" spans="1:15" x14ac:dyDescent="0.2">
      <c r="A92" s="67"/>
      <c r="B92" s="64"/>
      <c r="C92" s="65"/>
      <c r="D92" s="65"/>
      <c r="F92" s="67"/>
      <c r="G92" s="64"/>
      <c r="H92" s="65"/>
      <c r="I92" s="65"/>
      <c r="K92" s="67"/>
      <c r="L92" s="64"/>
      <c r="M92" s="65"/>
      <c r="N92" s="65"/>
    </row>
    <row r="93" spans="1:15" x14ac:dyDescent="0.2">
      <c r="A93" s="67"/>
      <c r="B93" s="64"/>
      <c r="C93" s="65"/>
      <c r="D93" s="65"/>
      <c r="F93" s="67"/>
      <c r="G93" s="64"/>
      <c r="H93" s="65"/>
      <c r="I93" s="65"/>
      <c r="K93" s="63"/>
      <c r="L93" s="64"/>
      <c r="M93" s="65"/>
    </row>
    <row r="94" spans="1:15" x14ac:dyDescent="0.2">
      <c r="A94" s="63"/>
      <c r="B94" s="64"/>
      <c r="C94" s="65"/>
      <c r="D94" s="65"/>
      <c r="F94" s="67"/>
      <c r="G94" s="64"/>
      <c r="H94" s="65"/>
      <c r="I94" s="65"/>
      <c r="K94" s="63"/>
      <c r="L94" s="64"/>
      <c r="M94" s="65"/>
    </row>
    <row r="95" spans="1:15" x14ac:dyDescent="0.2">
      <c r="A95" s="63"/>
      <c r="B95" s="64"/>
      <c r="C95" s="65"/>
      <c r="D95" s="65"/>
      <c r="F95" s="63"/>
      <c r="G95" s="64"/>
      <c r="H95" s="65"/>
      <c r="I95" s="65"/>
      <c r="K95" s="63"/>
      <c r="L95" s="64"/>
      <c r="M95" s="65"/>
    </row>
    <row r="96" spans="1:15" x14ac:dyDescent="0.2">
      <c r="A96" s="63"/>
      <c r="B96" s="64"/>
      <c r="C96" s="65"/>
      <c r="D96" s="65"/>
      <c r="F96" s="63"/>
      <c r="G96" s="64"/>
      <c r="H96" s="65"/>
      <c r="K96" s="63"/>
      <c r="L96" s="64"/>
      <c r="M96" s="65"/>
    </row>
    <row r="97" spans="1:15" ht="13.5" thickBot="1" x14ac:dyDescent="0.25">
      <c r="A97" s="68"/>
      <c r="B97" s="69"/>
      <c r="C97" s="70"/>
      <c r="D97" s="71"/>
      <c r="F97" s="68"/>
      <c r="G97" s="69"/>
      <c r="H97" s="70"/>
      <c r="I97" s="71"/>
      <c r="K97" s="68"/>
      <c r="L97" s="69"/>
      <c r="M97" s="70"/>
      <c r="N97" s="71"/>
    </row>
    <row r="98" spans="1:15" x14ac:dyDescent="0.2">
      <c r="A98" s="63"/>
      <c r="B98" s="2" t="s">
        <v>77</v>
      </c>
      <c r="C98" s="5">
        <f>SUM(C91:C97)</f>
        <v>4000</v>
      </c>
      <c r="D98" s="5">
        <f>SUM(D91:D97)</f>
        <v>0</v>
      </c>
      <c r="E98" s="15" t="s">
        <v>133</v>
      </c>
      <c r="F98" s="63"/>
      <c r="G98" s="2" t="s">
        <v>77</v>
      </c>
      <c r="H98" s="5">
        <f>SUM(H91:H97)</f>
        <v>0</v>
      </c>
      <c r="I98" s="5">
        <f>SUM(I91:I97)</f>
        <v>0</v>
      </c>
      <c r="J98" s="15" t="s">
        <v>133</v>
      </c>
      <c r="K98" s="63"/>
      <c r="L98" s="2" t="s">
        <v>77</v>
      </c>
      <c r="M98" s="5">
        <f>SUM(M91:M97)</f>
        <v>3000</v>
      </c>
      <c r="N98" s="5">
        <f>SUM(N91:N97)</f>
        <v>0</v>
      </c>
      <c r="O98" s="15" t="s">
        <v>133</v>
      </c>
    </row>
    <row r="99" spans="1:15" ht="15" x14ac:dyDescent="0.25">
      <c r="A99" s="63"/>
      <c r="B99" s="2" t="s">
        <v>33</v>
      </c>
      <c r="C99" s="76">
        <f>C98-D98</f>
        <v>4000</v>
      </c>
      <c r="F99" s="63"/>
      <c r="G99" s="2" t="s">
        <v>33</v>
      </c>
      <c r="H99" s="76">
        <f>H98-I98</f>
        <v>0</v>
      </c>
      <c r="K99" s="63"/>
      <c r="L99" s="2" t="s">
        <v>33</v>
      </c>
      <c r="M99" s="76">
        <f>M98-N98</f>
        <v>3000</v>
      </c>
    </row>
    <row r="101" spans="1:15" x14ac:dyDescent="0.2">
      <c r="I101" s="2" t="s">
        <v>78</v>
      </c>
    </row>
    <row r="102" spans="1:15" ht="13.5" thickBot="1" x14ac:dyDescent="0.25">
      <c r="A102" s="2" t="s">
        <v>117</v>
      </c>
      <c r="D102" s="66" t="s">
        <v>87</v>
      </c>
      <c r="F102" s="2" t="s">
        <v>119</v>
      </c>
      <c r="I102" s="2" t="s">
        <v>87</v>
      </c>
      <c r="K102" s="2" t="s">
        <v>123</v>
      </c>
      <c r="N102" s="2" t="s">
        <v>84</v>
      </c>
    </row>
    <row r="103" spans="1:15" ht="13.5" thickBot="1" x14ac:dyDescent="0.25">
      <c r="A103" s="72" t="s">
        <v>74</v>
      </c>
      <c r="B103" s="73" t="s">
        <v>75</v>
      </c>
      <c r="C103" s="74" t="s">
        <v>76</v>
      </c>
      <c r="D103" s="75" t="s">
        <v>55</v>
      </c>
      <c r="F103" s="72" t="s">
        <v>74</v>
      </c>
      <c r="G103" s="73" t="s">
        <v>75</v>
      </c>
      <c r="H103" s="74" t="s">
        <v>76</v>
      </c>
      <c r="I103" s="75" t="s">
        <v>55</v>
      </c>
      <c r="K103" s="72" t="s">
        <v>74</v>
      </c>
      <c r="L103" s="73" t="s">
        <v>75</v>
      </c>
      <c r="M103" s="74" t="s">
        <v>76</v>
      </c>
      <c r="N103" s="75" t="s">
        <v>55</v>
      </c>
    </row>
    <row r="104" spans="1:15" x14ac:dyDescent="0.2">
      <c r="A104" s="67">
        <v>12</v>
      </c>
      <c r="B104" s="64"/>
      <c r="C104" s="65"/>
      <c r="D104" s="65">
        <f>DIARIO!G93</f>
        <v>4500</v>
      </c>
      <c r="F104" s="67">
        <v>10</v>
      </c>
      <c r="G104" s="64"/>
      <c r="H104" s="65"/>
      <c r="I104" s="65">
        <f>DIARIO!G83</f>
        <v>35000</v>
      </c>
      <c r="K104" s="67">
        <v>13</v>
      </c>
      <c r="L104" s="64"/>
      <c r="M104" s="65"/>
      <c r="N104" s="65">
        <f>DIARIO!G100</f>
        <v>17500</v>
      </c>
    </row>
    <row r="105" spans="1:15" x14ac:dyDescent="0.2">
      <c r="A105" s="67">
        <v>12</v>
      </c>
      <c r="B105" s="64"/>
      <c r="C105" s="65">
        <f>DIARIO!F94</f>
        <v>6000</v>
      </c>
      <c r="F105" s="67">
        <v>12</v>
      </c>
      <c r="G105" s="64"/>
      <c r="H105" s="65"/>
      <c r="I105" s="65">
        <f>DIARIO!G95</f>
        <v>6000</v>
      </c>
      <c r="K105" s="67"/>
      <c r="L105" s="64"/>
      <c r="M105" s="65"/>
      <c r="N105" s="65"/>
    </row>
    <row r="106" spans="1:15" x14ac:dyDescent="0.2">
      <c r="A106" s="67">
        <v>12</v>
      </c>
      <c r="B106" s="64"/>
      <c r="C106" s="65">
        <f>DIARIO!F90</f>
        <v>24000</v>
      </c>
      <c r="D106" s="65"/>
      <c r="F106" s="67"/>
      <c r="G106" s="64"/>
      <c r="H106" s="65"/>
      <c r="I106" s="65"/>
      <c r="K106" s="63"/>
      <c r="L106" s="64"/>
      <c r="M106" s="65"/>
    </row>
    <row r="107" spans="1:15" x14ac:dyDescent="0.2">
      <c r="A107" s="63">
        <v>12</v>
      </c>
      <c r="B107" s="64"/>
      <c r="C107" s="65">
        <f>DIARIO!F92</f>
        <v>4500</v>
      </c>
      <c r="D107" s="65"/>
      <c r="F107" s="67"/>
      <c r="G107" s="64"/>
      <c r="H107" s="65"/>
      <c r="I107" s="65"/>
      <c r="K107" s="63"/>
      <c r="L107" s="64"/>
      <c r="M107" s="65"/>
    </row>
    <row r="108" spans="1:15" x14ac:dyDescent="0.2">
      <c r="A108" s="63"/>
      <c r="B108" s="64"/>
      <c r="C108" s="65"/>
      <c r="D108" s="65"/>
      <c r="F108" s="63"/>
      <c r="G108" s="64"/>
      <c r="H108" s="65"/>
      <c r="I108" s="65"/>
      <c r="K108" s="63"/>
      <c r="L108" s="64"/>
      <c r="M108" s="65"/>
    </row>
    <row r="109" spans="1:15" x14ac:dyDescent="0.2">
      <c r="A109" s="63"/>
      <c r="B109" s="64"/>
      <c r="C109" s="65"/>
      <c r="D109" s="65"/>
      <c r="F109" s="63"/>
      <c r="G109" s="64"/>
      <c r="H109" s="65"/>
      <c r="K109" s="63"/>
      <c r="L109" s="64"/>
      <c r="M109" s="65"/>
    </row>
    <row r="110" spans="1:15" ht="13.5" thickBot="1" x14ac:dyDescent="0.25">
      <c r="A110" s="68"/>
      <c r="B110" s="69"/>
      <c r="C110" s="70"/>
      <c r="D110" s="71"/>
      <c r="F110" s="68"/>
      <c r="G110" s="69"/>
      <c r="H110" s="70"/>
      <c r="I110" s="71"/>
      <c r="K110" s="68"/>
      <c r="L110" s="69"/>
      <c r="M110" s="70"/>
      <c r="N110" s="71"/>
    </row>
    <row r="111" spans="1:15" x14ac:dyDescent="0.2">
      <c r="A111" s="63"/>
      <c r="B111" s="2" t="s">
        <v>77</v>
      </c>
      <c r="C111" s="5">
        <f>SUM(C104:C110)</f>
        <v>34500</v>
      </c>
      <c r="D111" s="5">
        <f>SUM(D104:D110)</f>
        <v>4500</v>
      </c>
      <c r="E111" s="15" t="s">
        <v>133</v>
      </c>
      <c r="F111" s="63"/>
      <c r="G111" s="2" t="s">
        <v>77</v>
      </c>
      <c r="H111" s="5">
        <f>SUM(H104:H110)</f>
        <v>0</v>
      </c>
      <c r="I111" s="5">
        <f>SUM(I104:I110)</f>
        <v>41000</v>
      </c>
      <c r="J111" s="15" t="s">
        <v>133</v>
      </c>
      <c r="K111" s="63"/>
      <c r="L111" s="2" t="s">
        <v>77</v>
      </c>
      <c r="M111" s="5">
        <f>SUM(M104:M110)</f>
        <v>0</v>
      </c>
      <c r="N111" s="5">
        <f>SUM(N104:N110)</f>
        <v>17500</v>
      </c>
      <c r="O111" s="15" t="s">
        <v>133</v>
      </c>
    </row>
    <row r="112" spans="1:15" ht="15" x14ac:dyDescent="0.25">
      <c r="A112" s="63"/>
      <c r="B112" s="2" t="s">
        <v>33</v>
      </c>
      <c r="C112" s="76">
        <f>C111-D111</f>
        <v>30000</v>
      </c>
      <c r="F112" s="63"/>
      <c r="G112" s="2" t="s">
        <v>33</v>
      </c>
      <c r="I112" s="76">
        <f>I111-H111</f>
        <v>41000</v>
      </c>
      <c r="K112" s="63"/>
      <c r="L112" s="2" t="s">
        <v>33</v>
      </c>
      <c r="N112" s="76">
        <f>N111-M111</f>
        <v>17500</v>
      </c>
    </row>
    <row r="115" spans="1:15" ht="13.5" thickBot="1" x14ac:dyDescent="0.25">
      <c r="A115" s="2" t="s">
        <v>124</v>
      </c>
      <c r="D115" s="66" t="s">
        <v>82</v>
      </c>
      <c r="F115" s="2" t="s">
        <v>126</v>
      </c>
      <c r="I115" s="2" t="s">
        <v>87</v>
      </c>
      <c r="K115" s="2" t="s">
        <v>127</v>
      </c>
      <c r="N115" s="2" t="s">
        <v>78</v>
      </c>
    </row>
    <row r="116" spans="1:15" ht="13.5" thickBot="1" x14ac:dyDescent="0.25">
      <c r="A116" s="72" t="s">
        <v>74</v>
      </c>
      <c r="B116" s="73" t="s">
        <v>75</v>
      </c>
      <c r="C116" s="74" t="s">
        <v>76</v>
      </c>
      <c r="D116" s="75" t="s">
        <v>55</v>
      </c>
      <c r="F116" s="72" t="s">
        <v>74</v>
      </c>
      <c r="G116" s="73" t="s">
        <v>75</v>
      </c>
      <c r="H116" s="74" t="s">
        <v>76</v>
      </c>
      <c r="I116" s="75" t="s">
        <v>55</v>
      </c>
      <c r="K116" s="72" t="s">
        <v>74</v>
      </c>
      <c r="L116" s="73" t="s">
        <v>75</v>
      </c>
      <c r="M116" s="74" t="s">
        <v>76</v>
      </c>
      <c r="N116" s="75" t="s">
        <v>55</v>
      </c>
    </row>
    <row r="117" spans="1:15" x14ac:dyDescent="0.2">
      <c r="A117" s="67">
        <v>14</v>
      </c>
      <c r="B117" s="64"/>
      <c r="C117" s="65">
        <f>DIARIO!F105</f>
        <v>50000</v>
      </c>
      <c r="D117" s="65"/>
      <c r="F117" s="67">
        <v>14</v>
      </c>
      <c r="G117" s="64"/>
      <c r="H117" s="65"/>
      <c r="I117" s="65">
        <f>DIARIO!G108</f>
        <v>5000</v>
      </c>
      <c r="K117" s="67">
        <v>16</v>
      </c>
      <c r="L117" s="64"/>
      <c r="M117" s="65">
        <f>DIARIO!F115</f>
        <v>9000</v>
      </c>
      <c r="N117" s="65"/>
    </row>
    <row r="118" spans="1:15" x14ac:dyDescent="0.2">
      <c r="A118" s="67">
        <v>14</v>
      </c>
      <c r="B118" s="64"/>
      <c r="C118" s="65">
        <f>DIARIO!F107</f>
        <v>5000</v>
      </c>
      <c r="D118" s="65"/>
      <c r="F118" s="67">
        <v>17</v>
      </c>
      <c r="G118" s="64"/>
      <c r="H118" s="65">
        <f>DIARIO!F124</f>
        <v>1750</v>
      </c>
      <c r="I118" s="65"/>
      <c r="K118" s="67"/>
      <c r="L118" s="64"/>
      <c r="M118" s="65"/>
      <c r="N118" s="65"/>
    </row>
    <row r="119" spans="1:15" x14ac:dyDescent="0.2">
      <c r="A119" s="67"/>
      <c r="B119" s="64"/>
      <c r="C119" s="65"/>
      <c r="D119" s="65"/>
      <c r="F119" s="67"/>
      <c r="G119" s="64"/>
      <c r="H119" s="65"/>
      <c r="I119" s="65"/>
      <c r="K119" s="63"/>
      <c r="L119" s="64"/>
      <c r="M119" s="65"/>
    </row>
    <row r="120" spans="1:15" x14ac:dyDescent="0.2">
      <c r="A120" s="63"/>
      <c r="B120" s="64"/>
      <c r="C120" s="65"/>
      <c r="D120" s="65"/>
      <c r="F120" s="67"/>
      <c r="G120" s="64"/>
      <c r="H120" s="65"/>
      <c r="I120" s="65"/>
      <c r="K120" s="63"/>
      <c r="L120" s="64"/>
      <c r="M120" s="65"/>
    </row>
    <row r="121" spans="1:15" x14ac:dyDescent="0.2">
      <c r="A121" s="63"/>
      <c r="B121" s="64"/>
      <c r="C121" s="65"/>
      <c r="D121" s="65"/>
      <c r="F121" s="63"/>
      <c r="G121" s="64"/>
      <c r="H121" s="65"/>
      <c r="I121" s="65"/>
      <c r="K121" s="63"/>
      <c r="L121" s="64"/>
      <c r="M121" s="65"/>
    </row>
    <row r="122" spans="1:15" x14ac:dyDescent="0.2">
      <c r="A122" s="63"/>
      <c r="B122" s="64"/>
      <c r="C122" s="65"/>
      <c r="D122" s="65"/>
      <c r="F122" s="63"/>
      <c r="G122" s="64"/>
      <c r="H122" s="65"/>
      <c r="K122" s="63"/>
      <c r="L122" s="64"/>
      <c r="M122" s="65"/>
    </row>
    <row r="123" spans="1:15" ht="13.5" thickBot="1" x14ac:dyDescent="0.25">
      <c r="A123" s="68"/>
      <c r="B123" s="69"/>
      <c r="C123" s="70"/>
      <c r="D123" s="71"/>
      <c r="F123" s="68"/>
      <c r="G123" s="69"/>
      <c r="H123" s="70"/>
      <c r="I123" s="71"/>
      <c r="K123" s="68"/>
      <c r="L123" s="69"/>
      <c r="M123" s="70"/>
      <c r="N123" s="71"/>
    </row>
    <row r="124" spans="1:15" x14ac:dyDescent="0.2">
      <c r="A124" s="63"/>
      <c r="B124" s="2" t="s">
        <v>77</v>
      </c>
      <c r="C124" s="5">
        <f>SUM(C117:C123)</f>
        <v>55000</v>
      </c>
      <c r="D124" s="5">
        <f>SUM(D117:D123)</f>
        <v>0</v>
      </c>
      <c r="E124" s="15" t="s">
        <v>133</v>
      </c>
      <c r="F124" s="63"/>
      <c r="G124" s="2" t="s">
        <v>77</v>
      </c>
      <c r="H124" s="5">
        <f>SUM(H117:H123)</f>
        <v>1750</v>
      </c>
      <c r="I124" s="5">
        <f>SUM(I117:I123)</f>
        <v>5000</v>
      </c>
      <c r="J124" s="15" t="s">
        <v>133</v>
      </c>
      <c r="K124" s="63"/>
      <c r="L124" s="2" t="s">
        <v>77</v>
      </c>
      <c r="M124" s="5">
        <f>SUM(M117:M123)</f>
        <v>9000</v>
      </c>
      <c r="N124" s="5">
        <f>SUM(N117:N123)</f>
        <v>0</v>
      </c>
      <c r="O124" s="15" t="s">
        <v>133</v>
      </c>
    </row>
    <row r="125" spans="1:15" ht="15" x14ac:dyDescent="0.25">
      <c r="A125" s="63"/>
      <c r="B125" s="2" t="s">
        <v>33</v>
      </c>
      <c r="C125" s="76">
        <f>C124-D124</f>
        <v>55000</v>
      </c>
      <c r="F125" s="63"/>
      <c r="G125" s="2" t="s">
        <v>33</v>
      </c>
      <c r="I125" s="76">
        <f>I124-H124</f>
        <v>3250</v>
      </c>
      <c r="K125" s="63"/>
      <c r="L125" s="2" t="s">
        <v>33</v>
      </c>
      <c r="M125" s="76">
        <f>M124-N124</f>
        <v>9000</v>
      </c>
    </row>
    <row r="128" spans="1:15" ht="13.5" thickBot="1" x14ac:dyDescent="0.25">
      <c r="A128" s="2" t="s">
        <v>129</v>
      </c>
      <c r="D128" s="66" t="s">
        <v>78</v>
      </c>
      <c r="F128" s="2" t="s">
        <v>130</v>
      </c>
      <c r="I128" s="2" t="s">
        <v>87</v>
      </c>
      <c r="K128" s="2" t="s">
        <v>139</v>
      </c>
      <c r="N128" s="2" t="s">
        <v>84</v>
      </c>
    </row>
    <row r="129" spans="1:15" ht="13.5" thickBot="1" x14ac:dyDescent="0.25">
      <c r="A129" s="72" t="s">
        <v>74</v>
      </c>
      <c r="B129" s="73" t="s">
        <v>75</v>
      </c>
      <c r="C129" s="74" t="s">
        <v>76</v>
      </c>
      <c r="D129" s="75" t="s">
        <v>55</v>
      </c>
      <c r="F129" s="72" t="s">
        <v>74</v>
      </c>
      <c r="G129" s="73" t="s">
        <v>75</v>
      </c>
      <c r="H129" s="74" t="s">
        <v>76</v>
      </c>
      <c r="I129" s="75" t="s">
        <v>55</v>
      </c>
      <c r="K129" s="72" t="s">
        <v>74</v>
      </c>
      <c r="L129" s="73" t="s">
        <v>75</v>
      </c>
      <c r="M129" s="74" t="s">
        <v>76</v>
      </c>
      <c r="N129" s="75" t="s">
        <v>55</v>
      </c>
    </row>
    <row r="130" spans="1:15" x14ac:dyDescent="0.2">
      <c r="A130" s="67">
        <v>20</v>
      </c>
      <c r="B130" s="64"/>
      <c r="C130" s="65"/>
      <c r="D130" s="65">
        <f>DIARIO!G138</f>
        <v>65000</v>
      </c>
      <c r="F130" s="67">
        <v>21</v>
      </c>
      <c r="G130" s="64"/>
      <c r="H130" s="65"/>
      <c r="I130" s="65">
        <f>DIARIO!G142</f>
        <v>5000</v>
      </c>
      <c r="K130" s="67">
        <v>19</v>
      </c>
      <c r="L130" s="64"/>
      <c r="M130" s="65"/>
      <c r="N130" s="65">
        <f>DIARIO!G133</f>
        <v>5000</v>
      </c>
    </row>
    <row r="131" spans="1:15" x14ac:dyDescent="0.2">
      <c r="A131" s="67"/>
      <c r="B131" s="64"/>
      <c r="C131" s="65"/>
      <c r="D131" s="65"/>
      <c r="F131" s="67"/>
      <c r="G131" s="64"/>
      <c r="H131" s="65"/>
      <c r="I131" s="65"/>
      <c r="K131" s="67"/>
      <c r="L131" s="64"/>
      <c r="M131" s="65"/>
      <c r="N131" s="65"/>
    </row>
    <row r="132" spans="1:15" x14ac:dyDescent="0.2">
      <c r="A132" s="67"/>
      <c r="B132" s="64"/>
      <c r="C132" s="65"/>
      <c r="D132" s="65"/>
      <c r="F132" s="67"/>
      <c r="G132" s="64"/>
      <c r="H132" s="65"/>
      <c r="I132" s="65"/>
      <c r="K132" s="67"/>
      <c r="L132" s="64"/>
      <c r="M132" s="65"/>
      <c r="N132" s="65"/>
    </row>
    <row r="133" spans="1:15" x14ac:dyDescent="0.2">
      <c r="A133" s="63"/>
      <c r="B133" s="64"/>
      <c r="C133" s="65"/>
      <c r="D133" s="65"/>
      <c r="F133" s="67"/>
      <c r="G133" s="64"/>
      <c r="H133" s="65"/>
      <c r="I133" s="65"/>
      <c r="K133" s="67"/>
      <c r="L133" s="64"/>
      <c r="M133" s="65"/>
      <c r="N133" s="65"/>
    </row>
    <row r="134" spans="1:15" x14ac:dyDescent="0.2">
      <c r="A134" s="63"/>
      <c r="B134" s="64"/>
      <c r="C134" s="65"/>
      <c r="D134" s="65"/>
      <c r="F134" s="63"/>
      <c r="G134" s="64"/>
      <c r="H134" s="65"/>
      <c r="I134" s="65"/>
      <c r="K134" s="63"/>
      <c r="L134" s="64"/>
      <c r="M134" s="65"/>
      <c r="N134" s="65"/>
    </row>
    <row r="135" spans="1:15" x14ac:dyDescent="0.2">
      <c r="A135" s="63"/>
      <c r="B135" s="64"/>
      <c r="C135" s="65"/>
      <c r="D135" s="65"/>
      <c r="F135" s="63"/>
      <c r="G135" s="64"/>
      <c r="H135" s="65"/>
      <c r="K135" s="63"/>
      <c r="L135" s="64"/>
      <c r="M135" s="65"/>
    </row>
    <row r="136" spans="1:15" ht="13.5" thickBot="1" x14ac:dyDescent="0.25">
      <c r="A136" s="68"/>
      <c r="B136" s="69"/>
      <c r="C136" s="70"/>
      <c r="D136" s="71"/>
      <c r="F136" s="68"/>
      <c r="G136" s="69"/>
      <c r="H136" s="70"/>
      <c r="I136" s="71"/>
      <c r="K136" s="68"/>
      <c r="L136" s="69"/>
      <c r="M136" s="70"/>
      <c r="N136" s="71"/>
    </row>
    <row r="137" spans="1:15" x14ac:dyDescent="0.2">
      <c r="A137" s="63"/>
      <c r="B137" s="2" t="s">
        <v>77</v>
      </c>
      <c r="C137" s="5">
        <f>SUM(C130:C136)</f>
        <v>0</v>
      </c>
      <c r="D137" s="5">
        <f>SUM(D130:D136)</f>
        <v>65000</v>
      </c>
      <c r="E137" s="15" t="s">
        <v>133</v>
      </c>
      <c r="F137" s="63"/>
      <c r="G137" s="2" t="s">
        <v>77</v>
      </c>
      <c r="H137" s="5">
        <f>SUM(H130:H136)</f>
        <v>0</v>
      </c>
      <c r="I137" s="5">
        <f>SUM(I130:I136)</f>
        <v>5000</v>
      </c>
      <c r="J137" s="15" t="s">
        <v>133</v>
      </c>
      <c r="K137" s="63"/>
      <c r="L137" s="2" t="s">
        <v>77</v>
      </c>
      <c r="M137" s="5">
        <f>SUM(M130:M136)</f>
        <v>0</v>
      </c>
      <c r="N137" s="5">
        <f>SUM(N130:N136)</f>
        <v>5000</v>
      </c>
      <c r="O137" s="15" t="s">
        <v>133</v>
      </c>
    </row>
    <row r="138" spans="1:15" ht="15" x14ac:dyDescent="0.25">
      <c r="A138" s="63"/>
      <c r="B138" s="2" t="s">
        <v>33</v>
      </c>
      <c r="D138" s="76">
        <f>D137-C137</f>
        <v>65000</v>
      </c>
      <c r="F138" s="63"/>
      <c r="G138" s="2" t="s">
        <v>33</v>
      </c>
      <c r="I138" s="76">
        <f>I137-H137</f>
        <v>5000</v>
      </c>
      <c r="K138" s="63"/>
      <c r="L138" s="2" t="s">
        <v>33</v>
      </c>
      <c r="N138" s="76">
        <f>N137-M137</f>
        <v>5000</v>
      </c>
    </row>
    <row r="141" spans="1:15" ht="13.5" thickBot="1" x14ac:dyDescent="0.25">
      <c r="A141" s="2" t="s">
        <v>141</v>
      </c>
      <c r="D141" s="2" t="s">
        <v>84</v>
      </c>
    </row>
    <row r="142" spans="1:15" ht="13.5" thickBot="1" x14ac:dyDescent="0.25">
      <c r="A142" s="72" t="s">
        <v>74</v>
      </c>
      <c r="B142" s="73" t="s">
        <v>75</v>
      </c>
      <c r="C142" s="74" t="s">
        <v>76</v>
      </c>
      <c r="D142" s="75" t="s">
        <v>55</v>
      </c>
    </row>
    <row r="143" spans="1:15" x14ac:dyDescent="0.2">
      <c r="A143" s="67">
        <v>12</v>
      </c>
      <c r="B143" s="64"/>
      <c r="C143" s="65"/>
      <c r="D143" s="65">
        <f>DIARIO!G91</f>
        <v>24000</v>
      </c>
    </row>
    <row r="144" spans="1:15" x14ac:dyDescent="0.2">
      <c r="A144" s="67"/>
      <c r="B144" s="64"/>
      <c r="C144" s="65"/>
      <c r="D144" s="65"/>
    </row>
    <row r="145" spans="1:5" x14ac:dyDescent="0.2">
      <c r="A145" s="63"/>
      <c r="B145" s="64"/>
      <c r="C145" s="65"/>
    </row>
    <row r="146" spans="1:5" x14ac:dyDescent="0.2">
      <c r="A146" s="63"/>
      <c r="B146" s="64"/>
      <c r="C146" s="65"/>
    </row>
    <row r="147" spans="1:5" x14ac:dyDescent="0.2">
      <c r="A147" s="63"/>
      <c r="B147" s="64"/>
      <c r="C147" s="65"/>
    </row>
    <row r="148" spans="1:5" x14ac:dyDescent="0.2">
      <c r="A148" s="63"/>
      <c r="B148" s="64"/>
      <c r="C148" s="65"/>
    </row>
    <row r="149" spans="1:5" ht="13.5" thickBot="1" x14ac:dyDescent="0.25">
      <c r="A149" s="68"/>
      <c r="B149" s="69"/>
      <c r="C149" s="70"/>
      <c r="D149" s="71"/>
    </row>
    <row r="150" spans="1:5" x14ac:dyDescent="0.2">
      <c r="A150" s="63"/>
      <c r="B150" s="2" t="s">
        <v>77</v>
      </c>
      <c r="C150" s="5">
        <f>SUM(C143:C149)</f>
        <v>0</v>
      </c>
      <c r="D150" s="5">
        <f>SUM(D143:D149)</f>
        <v>24000</v>
      </c>
      <c r="E150" s="15" t="s">
        <v>133</v>
      </c>
    </row>
    <row r="151" spans="1:5" ht="15" x14ac:dyDescent="0.25">
      <c r="A151" s="63"/>
      <c r="B151" s="2" t="s">
        <v>33</v>
      </c>
      <c r="C151" s="76"/>
      <c r="D151" s="76">
        <f>D150-C150</f>
        <v>24000</v>
      </c>
    </row>
    <row r="154" spans="1:5" x14ac:dyDescent="0.2">
      <c r="A154" s="2" t="s">
        <v>187</v>
      </c>
      <c r="C154" s="65">
        <f>C33+H33+M33+C46+H46+M46+C59+H59+M59+C72+H72+M72+C85+H85+M85+C98+H98+M98+C111+H111+M111+C124+H124+M124+C137+H137+M137+C150</f>
        <v>3934643</v>
      </c>
    </row>
    <row r="155" spans="1:5" x14ac:dyDescent="0.2">
      <c r="A155" s="2" t="s">
        <v>188</v>
      </c>
      <c r="C155" s="65">
        <f>D33+I33+N33+D46+I46+N46+D59+I59+N59+D72+I72+N72+D85+I85+N85+D98+I98+N98+D111+I111+N111+D124+I124+N124+D137+I137+N137+D150</f>
        <v>3934643</v>
      </c>
    </row>
    <row r="157" spans="1:5" x14ac:dyDescent="0.2">
      <c r="C157" s="65">
        <f>C155-C154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workbookViewId="0">
      <pane ySplit="2" topLeftCell="A3" activePane="bottomLeft" state="frozen"/>
      <selection pane="bottomLeft" activeCell="G13" sqref="G13"/>
    </sheetView>
  </sheetViews>
  <sheetFormatPr baseColWidth="10" defaultRowHeight="12.75" x14ac:dyDescent="0.2"/>
  <cols>
    <col min="1" max="1" width="5.140625" customWidth="1"/>
    <col min="2" max="2" width="14.140625" customWidth="1"/>
    <col min="3" max="3" width="14.5703125" customWidth="1"/>
    <col min="4" max="4" width="12.42578125" customWidth="1"/>
    <col min="6" max="6" width="19.85546875" customWidth="1"/>
  </cols>
  <sheetData>
    <row r="1" spans="1:10" ht="15" x14ac:dyDescent="0.25">
      <c r="A1" s="125" t="s">
        <v>67</v>
      </c>
    </row>
    <row r="2" spans="1:10" x14ac:dyDescent="0.2">
      <c r="A2" s="126" t="s">
        <v>98</v>
      </c>
      <c r="B2" s="126" t="s">
        <v>80</v>
      </c>
      <c r="C2" s="127"/>
      <c r="D2" s="126" t="s">
        <v>81</v>
      </c>
      <c r="E2" s="128" t="s">
        <v>54</v>
      </c>
      <c r="F2" s="128" t="s">
        <v>55</v>
      </c>
      <c r="G2" s="128" t="s">
        <v>191</v>
      </c>
      <c r="H2" s="128" t="s">
        <v>192</v>
      </c>
    </row>
    <row r="3" spans="1:10" x14ac:dyDescent="0.2">
      <c r="A3" s="63">
        <v>1</v>
      </c>
      <c r="B3" s="15" t="s">
        <v>181</v>
      </c>
      <c r="D3" s="52" t="s">
        <v>82</v>
      </c>
      <c r="E3" s="65">
        <f>MAYOR!C33</f>
        <v>1280000</v>
      </c>
      <c r="F3" s="65">
        <f>MAYOR!D33</f>
        <v>1020893</v>
      </c>
      <c r="G3" s="65">
        <f>E3-F3</f>
        <v>259107</v>
      </c>
      <c r="I3" s="15" t="s">
        <v>184</v>
      </c>
      <c r="J3" s="15"/>
    </row>
    <row r="4" spans="1:10" x14ac:dyDescent="0.2">
      <c r="A4" s="63">
        <v>2</v>
      </c>
      <c r="B4" s="52" t="s">
        <v>57</v>
      </c>
      <c r="D4" s="52" t="s">
        <v>83</v>
      </c>
      <c r="E4" s="65">
        <f>MAYOR!H33</f>
        <v>0</v>
      </c>
      <c r="F4" s="65">
        <f>MAYOR!I33</f>
        <v>1030000</v>
      </c>
      <c r="G4" s="65"/>
      <c r="H4" s="65">
        <f>F4-E4</f>
        <v>1030000</v>
      </c>
      <c r="I4" s="15" t="s">
        <v>185</v>
      </c>
      <c r="J4" s="15"/>
    </row>
    <row r="5" spans="1:10" x14ac:dyDescent="0.2">
      <c r="A5" s="63">
        <v>3</v>
      </c>
      <c r="B5" s="77" t="s">
        <v>85</v>
      </c>
      <c r="D5" s="52" t="s">
        <v>82</v>
      </c>
      <c r="E5" s="65">
        <f>MAYOR!M33</f>
        <v>385000</v>
      </c>
      <c r="F5" s="65">
        <f>MAYOR!N33</f>
        <v>14000</v>
      </c>
      <c r="G5" s="65">
        <f>E5-F5</f>
        <v>371000</v>
      </c>
      <c r="I5" s="15" t="s">
        <v>184</v>
      </c>
      <c r="J5" s="15"/>
    </row>
    <row r="6" spans="1:10" x14ac:dyDescent="0.2">
      <c r="A6" s="63">
        <v>4</v>
      </c>
      <c r="B6" s="77" t="s">
        <v>15</v>
      </c>
      <c r="D6" s="52" t="s">
        <v>82</v>
      </c>
      <c r="E6" s="65">
        <f>MAYOR!C46</f>
        <v>75000</v>
      </c>
      <c r="F6" s="65">
        <f>MAYOR!D46</f>
        <v>0</v>
      </c>
      <c r="G6" s="65">
        <f>E6-F6</f>
        <v>75000</v>
      </c>
      <c r="I6" s="15" t="s">
        <v>184</v>
      </c>
      <c r="J6" s="15"/>
    </row>
    <row r="7" spans="1:10" x14ac:dyDescent="0.2">
      <c r="A7" s="63">
        <v>5</v>
      </c>
      <c r="B7" s="77" t="s">
        <v>31</v>
      </c>
      <c r="D7" s="52" t="s">
        <v>86</v>
      </c>
      <c r="E7" s="65">
        <f>MAYOR!H46</f>
        <v>0</v>
      </c>
      <c r="F7" s="65">
        <f>MAYOR!I46</f>
        <v>783000</v>
      </c>
      <c r="H7" s="65">
        <f>F7-E7</f>
        <v>783000</v>
      </c>
      <c r="I7" s="15" t="s">
        <v>184</v>
      </c>
      <c r="J7" s="15"/>
    </row>
    <row r="8" spans="1:10" x14ac:dyDescent="0.2">
      <c r="A8" s="63">
        <v>6</v>
      </c>
      <c r="B8" s="77" t="s">
        <v>88</v>
      </c>
      <c r="D8" s="52" t="s">
        <v>89</v>
      </c>
      <c r="E8" s="65">
        <f>MAYOR!M46</f>
        <v>35400</v>
      </c>
      <c r="F8" s="65">
        <f>MAYOR!N46</f>
        <v>0</v>
      </c>
      <c r="G8" s="65">
        <f t="shared" ref="G8:G11" si="0">E8-F8</f>
        <v>35400</v>
      </c>
      <c r="I8" s="2" t="s">
        <v>186</v>
      </c>
      <c r="J8" s="15"/>
    </row>
    <row r="9" spans="1:10" x14ac:dyDescent="0.2">
      <c r="A9" s="63">
        <v>7</v>
      </c>
      <c r="B9" s="77" t="s">
        <v>70</v>
      </c>
      <c r="D9" s="52" t="s">
        <v>82</v>
      </c>
      <c r="E9" s="65">
        <f>MAYOR!C59</f>
        <v>330000</v>
      </c>
      <c r="F9" s="65">
        <f>MAYOR!D59</f>
        <v>0</v>
      </c>
      <c r="G9" s="65">
        <f t="shared" si="0"/>
        <v>330000</v>
      </c>
      <c r="I9" s="15" t="s">
        <v>184</v>
      </c>
      <c r="J9" s="15"/>
    </row>
    <row r="10" spans="1:10" x14ac:dyDescent="0.2">
      <c r="A10" s="63">
        <v>8</v>
      </c>
      <c r="B10" s="77" t="s">
        <v>46</v>
      </c>
      <c r="D10" s="52" t="s">
        <v>82</v>
      </c>
      <c r="E10" s="65">
        <f>MAYOR!H59</f>
        <v>691000</v>
      </c>
      <c r="F10" s="65">
        <f>MAYOR!I59</f>
        <v>390000</v>
      </c>
      <c r="G10" s="65">
        <f t="shared" si="0"/>
        <v>301000</v>
      </c>
      <c r="I10" s="15" t="s">
        <v>184</v>
      </c>
      <c r="J10" s="15"/>
    </row>
    <row r="11" spans="1:10" x14ac:dyDescent="0.2">
      <c r="A11" s="63">
        <v>9</v>
      </c>
      <c r="B11" s="77" t="s">
        <v>8</v>
      </c>
      <c r="D11" s="52" t="s">
        <v>86</v>
      </c>
      <c r="E11" s="65">
        <f>MAYOR!M59</f>
        <v>119543</v>
      </c>
      <c r="F11" s="65">
        <f>MAYOR!N59</f>
        <v>72000</v>
      </c>
      <c r="G11" s="65">
        <f t="shared" si="0"/>
        <v>47543</v>
      </c>
      <c r="I11" s="15" t="s">
        <v>184</v>
      </c>
      <c r="J11" s="15"/>
    </row>
    <row r="12" spans="1:10" x14ac:dyDescent="0.2">
      <c r="A12" s="63">
        <v>10</v>
      </c>
      <c r="B12" s="77" t="s">
        <v>0</v>
      </c>
      <c r="D12" s="52" t="s">
        <v>101</v>
      </c>
      <c r="E12" s="65">
        <f>MAYOR!C72</f>
        <v>0</v>
      </c>
      <c r="F12" s="65">
        <f>MAYOR!D72</f>
        <v>450000</v>
      </c>
      <c r="H12" s="65">
        <f>F12-E12</f>
        <v>450000</v>
      </c>
      <c r="I12" s="2" t="s">
        <v>186</v>
      </c>
      <c r="J12" s="15"/>
    </row>
    <row r="13" spans="1:10" x14ac:dyDescent="0.2">
      <c r="A13" s="63">
        <v>11</v>
      </c>
      <c r="B13" s="77" t="s">
        <v>1</v>
      </c>
      <c r="D13" s="52" t="s">
        <v>82</v>
      </c>
      <c r="E13" s="65">
        <f>MAYOR!H72</f>
        <v>507000</v>
      </c>
      <c r="F13" s="65">
        <f>MAYOR!I72</f>
        <v>7750</v>
      </c>
      <c r="G13" s="65">
        <f>E13-F13</f>
        <v>499250</v>
      </c>
      <c r="I13" s="15" t="s">
        <v>184</v>
      </c>
      <c r="J13" s="15"/>
    </row>
    <row r="14" spans="1:10" x14ac:dyDescent="0.2">
      <c r="A14" s="63">
        <v>12</v>
      </c>
      <c r="B14" s="77" t="s">
        <v>32</v>
      </c>
      <c r="D14" s="52" t="s">
        <v>105</v>
      </c>
      <c r="E14" s="65">
        <f>MAYOR!M72</f>
        <v>390000</v>
      </c>
      <c r="F14" s="65">
        <f>MAYOR!N72</f>
        <v>0</v>
      </c>
      <c r="G14" s="65">
        <f>E14-F14</f>
        <v>390000</v>
      </c>
      <c r="I14" s="2" t="s">
        <v>186</v>
      </c>
      <c r="J14" s="15"/>
    </row>
    <row r="15" spans="1:10" x14ac:dyDescent="0.2">
      <c r="A15" s="63">
        <v>13</v>
      </c>
      <c r="B15" s="77" t="s">
        <v>107</v>
      </c>
      <c r="D15" s="52" t="s">
        <v>108</v>
      </c>
      <c r="E15" s="65">
        <f>MAYOR!C85</f>
        <v>950</v>
      </c>
      <c r="F15" s="65">
        <f>MAYOR!D85</f>
        <v>0</v>
      </c>
      <c r="G15" s="65">
        <f>E15-F15</f>
        <v>950</v>
      </c>
      <c r="I15" s="2" t="s">
        <v>186</v>
      </c>
      <c r="J15" s="15"/>
    </row>
    <row r="16" spans="1:10" x14ac:dyDescent="0.2">
      <c r="A16" s="63">
        <v>14</v>
      </c>
      <c r="B16" s="77" t="s">
        <v>110</v>
      </c>
      <c r="D16" s="52" t="s">
        <v>108</v>
      </c>
      <c r="E16" s="65">
        <f>MAYOR!H85</f>
        <v>12000</v>
      </c>
      <c r="F16" s="65">
        <f>MAYOR!I85</f>
        <v>0</v>
      </c>
      <c r="G16" s="65">
        <f t="shared" ref="G16:G18" si="1">E16-F16</f>
        <v>12000</v>
      </c>
      <c r="I16" s="2" t="s">
        <v>186</v>
      </c>
      <c r="J16" s="15"/>
    </row>
    <row r="17" spans="1:10" x14ac:dyDescent="0.2">
      <c r="A17" s="63">
        <v>15</v>
      </c>
      <c r="B17" s="77" t="s">
        <v>30</v>
      </c>
      <c r="D17" s="52" t="s">
        <v>108</v>
      </c>
      <c r="E17" s="65">
        <f>MAYOR!M85</f>
        <v>1500</v>
      </c>
      <c r="F17" s="65">
        <f>MAYOR!N85</f>
        <v>0</v>
      </c>
      <c r="G17" s="65">
        <f t="shared" si="1"/>
        <v>1500</v>
      </c>
      <c r="I17" s="2" t="s">
        <v>186</v>
      </c>
      <c r="J17" s="15"/>
    </row>
    <row r="18" spans="1:10" x14ac:dyDescent="0.2">
      <c r="A18" s="63">
        <v>16</v>
      </c>
      <c r="B18" s="77" t="s">
        <v>17</v>
      </c>
      <c r="D18" s="52" t="s">
        <v>82</v>
      </c>
      <c r="E18" s="65">
        <f>MAYOR!C98</f>
        <v>4000</v>
      </c>
      <c r="F18" s="65">
        <f>MAYOR!D98</f>
        <v>0</v>
      </c>
      <c r="G18" s="65">
        <f t="shared" si="1"/>
        <v>4000</v>
      </c>
      <c r="I18" s="2" t="s">
        <v>131</v>
      </c>
    </row>
    <row r="19" spans="1:10" x14ac:dyDescent="0.2">
      <c r="A19" s="63">
        <v>17</v>
      </c>
      <c r="B19" s="77" t="s">
        <v>114</v>
      </c>
      <c r="D19" s="52" t="s">
        <v>108</v>
      </c>
      <c r="E19" s="65">
        <f>MAYOR!H98</f>
        <v>0</v>
      </c>
      <c r="F19" s="65">
        <f>MAYOR!I98</f>
        <v>0</v>
      </c>
      <c r="I19" s="2" t="s">
        <v>186</v>
      </c>
    </row>
    <row r="20" spans="1:10" x14ac:dyDescent="0.2">
      <c r="A20" s="63">
        <v>18</v>
      </c>
      <c r="B20" s="77" t="s">
        <v>115</v>
      </c>
      <c r="D20" s="52" t="s">
        <v>108</v>
      </c>
      <c r="E20" s="65">
        <f>MAYOR!M98</f>
        <v>3000</v>
      </c>
      <c r="F20" s="65">
        <f>MAYOR!N98</f>
        <v>0</v>
      </c>
      <c r="G20" s="65">
        <f>E20-F20</f>
        <v>3000</v>
      </c>
      <c r="I20" s="2" t="s">
        <v>186</v>
      </c>
    </row>
    <row r="21" spans="1:10" x14ac:dyDescent="0.2">
      <c r="A21" s="63">
        <v>19</v>
      </c>
      <c r="B21" s="77" t="s">
        <v>41</v>
      </c>
      <c r="D21" s="52" t="s">
        <v>108</v>
      </c>
      <c r="E21" s="65">
        <f>MAYOR!C111</f>
        <v>34500</v>
      </c>
      <c r="F21" s="65">
        <f>MAYOR!D111</f>
        <v>4500</v>
      </c>
      <c r="G21" s="65">
        <f>E21-F21</f>
        <v>30000</v>
      </c>
      <c r="I21" s="2" t="s">
        <v>186</v>
      </c>
    </row>
    <row r="22" spans="1:10" x14ac:dyDescent="0.2">
      <c r="A22" s="63">
        <v>20</v>
      </c>
      <c r="B22" s="77" t="s">
        <v>120</v>
      </c>
      <c r="D22" s="52" t="s">
        <v>121</v>
      </c>
      <c r="E22" s="65">
        <f>MAYOR!H111</f>
        <v>0</v>
      </c>
      <c r="F22" s="65">
        <f>MAYOR!I111</f>
        <v>41000</v>
      </c>
      <c r="H22" s="65">
        <f>F22-E22</f>
        <v>41000</v>
      </c>
      <c r="I22" s="52" t="s">
        <v>132</v>
      </c>
    </row>
    <row r="23" spans="1:10" x14ac:dyDescent="0.2">
      <c r="A23" s="63">
        <v>21</v>
      </c>
      <c r="B23" s="77" t="s">
        <v>9</v>
      </c>
      <c r="D23" s="52" t="s">
        <v>86</v>
      </c>
      <c r="E23" s="65">
        <f>MAYOR!M111</f>
        <v>0</v>
      </c>
      <c r="F23" s="65">
        <f>MAYOR!N111</f>
        <v>17500</v>
      </c>
      <c r="H23" s="65">
        <f>F23-E23</f>
        <v>17500</v>
      </c>
      <c r="I23" s="15" t="s">
        <v>184</v>
      </c>
    </row>
    <row r="24" spans="1:10" x14ac:dyDescent="0.2">
      <c r="A24" s="63">
        <v>22</v>
      </c>
      <c r="B24" s="77" t="s">
        <v>3</v>
      </c>
      <c r="D24" s="52" t="s">
        <v>82</v>
      </c>
      <c r="E24" s="65">
        <f>MAYOR!C124</f>
        <v>55000</v>
      </c>
      <c r="F24" s="65">
        <f>MAYOR!D124</f>
        <v>0</v>
      </c>
      <c r="G24" s="65">
        <f>E24-F24</f>
        <v>55000</v>
      </c>
      <c r="I24" s="15" t="s">
        <v>184</v>
      </c>
    </row>
    <row r="25" spans="1:10" x14ac:dyDescent="0.2">
      <c r="A25" s="63">
        <v>23</v>
      </c>
      <c r="B25" s="77" t="s">
        <v>37</v>
      </c>
      <c r="D25" s="52" t="s">
        <v>125</v>
      </c>
      <c r="E25" s="65">
        <f>MAYOR!H124</f>
        <v>1750</v>
      </c>
      <c r="F25" s="65">
        <f>MAYOR!I124</f>
        <v>5000</v>
      </c>
      <c r="H25" s="65">
        <f>F25-E25</f>
        <v>3250</v>
      </c>
      <c r="I25" s="2" t="s">
        <v>186</v>
      </c>
    </row>
    <row r="26" spans="1:10" x14ac:dyDescent="0.2">
      <c r="A26" s="63">
        <v>24</v>
      </c>
      <c r="B26" s="77" t="s">
        <v>14</v>
      </c>
      <c r="D26" s="52" t="s">
        <v>82</v>
      </c>
      <c r="E26" s="65">
        <f>MAYOR!M124</f>
        <v>9000</v>
      </c>
      <c r="F26" s="65">
        <f>MAYOR!N124</f>
        <v>0</v>
      </c>
      <c r="G26" s="65">
        <f>E26-F26</f>
        <v>9000</v>
      </c>
      <c r="I26" s="15" t="s">
        <v>184</v>
      </c>
    </row>
    <row r="27" spans="1:10" x14ac:dyDescent="0.2">
      <c r="A27" s="63">
        <v>25</v>
      </c>
      <c r="B27" s="77" t="s">
        <v>128</v>
      </c>
      <c r="D27" s="52" t="s">
        <v>82</v>
      </c>
      <c r="E27" s="65">
        <f>MAYOR!C137</f>
        <v>0</v>
      </c>
      <c r="F27" s="65">
        <f>MAYOR!D137</f>
        <v>65000</v>
      </c>
      <c r="H27" s="65">
        <f>F27-E27</f>
        <v>65000</v>
      </c>
      <c r="I27" s="15" t="s">
        <v>184</v>
      </c>
    </row>
    <row r="28" spans="1:10" x14ac:dyDescent="0.2">
      <c r="A28" s="63">
        <v>26</v>
      </c>
      <c r="B28" s="77" t="s">
        <v>72</v>
      </c>
      <c r="D28" s="52" t="s">
        <v>101</v>
      </c>
      <c r="E28" s="65">
        <f>MAYOR!H137</f>
        <v>0</v>
      </c>
      <c r="F28" s="65">
        <f>MAYOR!I137</f>
        <v>5000</v>
      </c>
      <c r="H28" s="65">
        <f>F28-E28</f>
        <v>5000</v>
      </c>
      <c r="I28" s="2" t="s">
        <v>186</v>
      </c>
    </row>
    <row r="29" spans="1:10" x14ac:dyDescent="0.2">
      <c r="A29" s="63">
        <v>27</v>
      </c>
      <c r="B29" s="77" t="s">
        <v>138</v>
      </c>
      <c r="D29" s="52" t="s">
        <v>86</v>
      </c>
      <c r="E29" s="65">
        <f>MAYOR!M137</f>
        <v>0</v>
      </c>
      <c r="F29" s="65">
        <f>MAYOR!N137</f>
        <v>5000</v>
      </c>
      <c r="H29" s="65">
        <f>F29-E29</f>
        <v>5000</v>
      </c>
      <c r="I29" s="15" t="s">
        <v>184</v>
      </c>
    </row>
    <row r="30" spans="1:10" x14ac:dyDescent="0.2">
      <c r="A30" s="63">
        <v>28</v>
      </c>
      <c r="B30" s="77" t="s">
        <v>142</v>
      </c>
      <c r="D30" s="15" t="s">
        <v>200</v>
      </c>
      <c r="E30" s="65">
        <f>MAYOR!C150</f>
        <v>0</v>
      </c>
      <c r="F30" s="65">
        <f>MAYOR!D150</f>
        <v>24000</v>
      </c>
      <c r="H30" s="65">
        <f>F30-E30</f>
        <v>24000</v>
      </c>
      <c r="I30" s="15" t="s">
        <v>184</v>
      </c>
    </row>
    <row r="31" spans="1:10" x14ac:dyDescent="0.2">
      <c r="A31" s="63"/>
      <c r="B31" s="77"/>
      <c r="D31" s="52"/>
      <c r="E31" s="65"/>
      <c r="F31" s="65"/>
    </row>
    <row r="32" spans="1:10" x14ac:dyDescent="0.2">
      <c r="A32" s="63"/>
      <c r="B32" s="77"/>
      <c r="D32" s="52"/>
      <c r="E32" s="65"/>
      <c r="F32" s="65"/>
    </row>
    <row r="33" spans="1:8" x14ac:dyDescent="0.2">
      <c r="A33" s="63"/>
      <c r="B33" s="2" t="s">
        <v>77</v>
      </c>
      <c r="E33" s="5">
        <f>SUM(E3:E30)</f>
        <v>3934643</v>
      </c>
      <c r="F33" s="5">
        <f>SUM(F3:F30)</f>
        <v>3934643</v>
      </c>
      <c r="G33" s="5">
        <f>SUM(G3:G30)</f>
        <v>2423750</v>
      </c>
      <c r="H33" s="5">
        <f>SUM(H3:H30)</f>
        <v>2423750</v>
      </c>
    </row>
    <row r="34" spans="1:8" x14ac:dyDescent="0.2">
      <c r="A34" s="63"/>
    </row>
    <row r="35" spans="1:8" x14ac:dyDescent="0.2">
      <c r="A35" s="63"/>
      <c r="E35" s="65">
        <f>E33-F33</f>
        <v>0</v>
      </c>
      <c r="F35" s="5"/>
      <c r="G35" s="65">
        <f>G33-H33</f>
        <v>0</v>
      </c>
      <c r="H35" s="65"/>
    </row>
    <row r="37" spans="1:8" x14ac:dyDescent="0.2">
      <c r="F37" s="15" t="s">
        <v>78</v>
      </c>
      <c r="G37" s="65">
        <f>G3+G5+G6+G9+G10+G13+G18+G24+G26-H22-H27</f>
        <v>1797357</v>
      </c>
    </row>
    <row r="38" spans="1:8" x14ac:dyDescent="0.2">
      <c r="F38" s="15" t="s">
        <v>84</v>
      </c>
      <c r="G38" s="65">
        <f>H7-G11+H23+H29+H30</f>
        <v>781957</v>
      </c>
    </row>
    <row r="39" spans="1:8" x14ac:dyDescent="0.2">
      <c r="F39" s="15" t="s">
        <v>11</v>
      </c>
      <c r="G39" s="65">
        <f>H4</f>
        <v>1030000</v>
      </c>
    </row>
    <row r="40" spans="1:8" x14ac:dyDescent="0.2">
      <c r="F40" s="15" t="s">
        <v>197</v>
      </c>
      <c r="G40" s="65">
        <f>H12</f>
        <v>450000</v>
      </c>
    </row>
    <row r="41" spans="1:8" x14ac:dyDescent="0.2">
      <c r="F41" s="15" t="s">
        <v>198</v>
      </c>
      <c r="G41" s="65">
        <f>G14</f>
        <v>390000</v>
      </c>
    </row>
    <row r="42" spans="1:8" x14ac:dyDescent="0.2">
      <c r="F42" s="15" t="s">
        <v>199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55"/>
  <sheetViews>
    <sheetView tabSelected="1" topLeftCell="B4" zoomScale="80" zoomScaleNormal="80" workbookViewId="0">
      <selection activeCell="F26" sqref="F26"/>
    </sheetView>
  </sheetViews>
  <sheetFormatPr baseColWidth="10" defaultRowHeight="12.75" x14ac:dyDescent="0.2"/>
  <cols>
    <col min="1" max="1" width="3.5703125" hidden="1" customWidth="1"/>
    <col min="2" max="2" width="50.85546875" customWidth="1"/>
    <col min="3" max="3" width="13.7109375" customWidth="1"/>
    <col min="4" max="4" width="1.42578125" customWidth="1"/>
    <col min="5" max="5" width="42.5703125" customWidth="1"/>
    <col min="6" max="6" width="14" customWidth="1"/>
    <col min="7" max="7" width="6.5703125" customWidth="1"/>
  </cols>
  <sheetData>
    <row r="1" spans="1:12" ht="18" x14ac:dyDescent="0.25">
      <c r="B1" s="140" t="s">
        <v>143</v>
      </c>
      <c r="C1" s="140"/>
      <c r="D1" s="24"/>
      <c r="E1" s="24"/>
      <c r="F1" s="24"/>
      <c r="G1" s="21"/>
      <c r="H1" s="21"/>
      <c r="I1" s="21"/>
      <c r="J1" s="21"/>
      <c r="K1" s="21"/>
      <c r="L1" s="21"/>
    </row>
    <row r="2" spans="1:12" ht="15.75" x14ac:dyDescent="0.25">
      <c r="A2" s="2"/>
      <c r="B2" s="141" t="s">
        <v>50</v>
      </c>
      <c r="C2" s="141"/>
      <c r="D2" s="21"/>
      <c r="E2" s="21"/>
      <c r="F2" s="21"/>
      <c r="G2" s="40"/>
      <c r="H2" s="21"/>
      <c r="I2" s="21"/>
      <c r="J2" s="21"/>
      <c r="K2" s="21"/>
      <c r="L2" s="21"/>
    </row>
    <row r="3" spans="1:12" ht="15.75" x14ac:dyDescent="0.25">
      <c r="A3" s="2"/>
      <c r="B3" s="1"/>
      <c r="C3" s="21"/>
      <c r="D3" s="21"/>
      <c r="E3" s="21"/>
      <c r="F3" s="21"/>
      <c r="G3" s="40"/>
      <c r="H3" s="21"/>
      <c r="I3" s="21"/>
      <c r="J3" s="21"/>
      <c r="K3" s="21"/>
      <c r="L3" s="21"/>
    </row>
    <row r="4" spans="1:12" ht="15.75" x14ac:dyDescent="0.25">
      <c r="A4" s="2"/>
      <c r="B4" s="134" t="s">
        <v>2</v>
      </c>
      <c r="C4" s="26"/>
      <c r="D4" s="21"/>
      <c r="E4" s="134" t="s">
        <v>7</v>
      </c>
      <c r="F4" s="34"/>
      <c r="G4" s="40"/>
      <c r="H4" s="21"/>
      <c r="I4" s="21"/>
      <c r="J4" s="21"/>
      <c r="K4" s="21"/>
      <c r="L4" s="21"/>
    </row>
    <row r="5" spans="1:12" ht="15.75" x14ac:dyDescent="0.25">
      <c r="A5" s="2"/>
      <c r="B5" s="83" t="s">
        <v>18</v>
      </c>
      <c r="C5" s="21"/>
      <c r="D5" s="21"/>
      <c r="E5" s="135" t="s">
        <v>22</v>
      </c>
      <c r="F5" s="34"/>
      <c r="G5" s="40"/>
      <c r="H5" s="21"/>
      <c r="I5" s="21"/>
      <c r="J5" s="21"/>
      <c r="K5" s="21"/>
      <c r="L5" s="21"/>
    </row>
    <row r="6" spans="1:12" ht="15.75" x14ac:dyDescent="0.25">
      <c r="A6" s="13">
        <v>10</v>
      </c>
      <c r="B6" s="41" t="s">
        <v>179</v>
      </c>
      <c r="C6" s="42">
        <f>BC!G3</f>
        <v>259107</v>
      </c>
      <c r="D6" s="25"/>
      <c r="E6" s="38" t="s">
        <v>8</v>
      </c>
      <c r="F6" s="42">
        <f>-BC!G11</f>
        <v>-47543</v>
      </c>
      <c r="G6" s="40"/>
      <c r="H6" s="21"/>
      <c r="I6" s="21"/>
      <c r="J6" s="21"/>
      <c r="K6" s="21"/>
      <c r="L6" s="21"/>
    </row>
    <row r="7" spans="1:12" ht="15.75" x14ac:dyDescent="0.25">
      <c r="A7" s="13">
        <v>12</v>
      </c>
      <c r="B7" s="31" t="s">
        <v>1</v>
      </c>
      <c r="C7" s="42">
        <f>BC!G13</f>
        <v>499250</v>
      </c>
      <c r="D7" s="25"/>
      <c r="E7" s="27" t="s">
        <v>9</v>
      </c>
      <c r="F7" s="42">
        <f>BC!H23</f>
        <v>17500</v>
      </c>
      <c r="G7" s="40"/>
      <c r="H7" s="21"/>
      <c r="I7" s="21"/>
      <c r="J7" s="21"/>
      <c r="K7" s="21"/>
      <c r="L7" s="21"/>
    </row>
    <row r="8" spans="1:12" ht="15.75" x14ac:dyDescent="0.25">
      <c r="A8" s="13">
        <v>16</v>
      </c>
      <c r="B8" s="31" t="s">
        <v>3</v>
      </c>
      <c r="C8" s="42">
        <f>BC!G24</f>
        <v>55000</v>
      </c>
      <c r="D8" s="25"/>
      <c r="E8" s="27" t="s">
        <v>136</v>
      </c>
      <c r="F8" s="42">
        <f>BC!H7</f>
        <v>783000</v>
      </c>
      <c r="G8" s="40"/>
      <c r="H8" s="21"/>
      <c r="I8" s="21"/>
      <c r="J8" s="21"/>
      <c r="K8" s="21"/>
      <c r="L8" s="21"/>
    </row>
    <row r="9" spans="1:12" ht="15.75" x14ac:dyDescent="0.25">
      <c r="A9" s="13">
        <v>20</v>
      </c>
      <c r="B9" s="31" t="s">
        <v>4</v>
      </c>
      <c r="C9" s="42">
        <f>BC!G10</f>
        <v>301000</v>
      </c>
      <c r="D9" s="25"/>
      <c r="E9" s="27" t="s">
        <v>137</v>
      </c>
      <c r="F9" s="42">
        <f>ER!C24</f>
        <v>0</v>
      </c>
      <c r="G9" s="40"/>
      <c r="H9" s="21"/>
      <c r="I9" s="21"/>
      <c r="J9" s="21"/>
      <c r="K9" s="21"/>
      <c r="L9" s="21"/>
    </row>
    <row r="10" spans="1:12" ht="15.75" x14ac:dyDescent="0.25">
      <c r="A10" s="13">
        <v>29</v>
      </c>
      <c r="B10" s="31" t="s">
        <v>17</v>
      </c>
      <c r="C10" s="42">
        <f>BC!G18</f>
        <v>4000</v>
      </c>
      <c r="D10" s="25"/>
      <c r="E10" s="27" t="s">
        <v>142</v>
      </c>
      <c r="F10" s="42">
        <f>BC!H30</f>
        <v>24000</v>
      </c>
      <c r="G10" s="40"/>
      <c r="H10" s="21"/>
      <c r="I10" s="21"/>
      <c r="J10" s="21"/>
      <c r="K10" s="21"/>
      <c r="L10" s="21"/>
    </row>
    <row r="11" spans="1:12" ht="15.75" x14ac:dyDescent="0.25">
      <c r="A11" s="13"/>
      <c r="B11" s="35" t="s">
        <v>20</v>
      </c>
      <c r="C11" s="28">
        <f>SUM(C6:C10)</f>
        <v>1118357</v>
      </c>
      <c r="D11" s="25"/>
      <c r="E11" s="39" t="s">
        <v>24</v>
      </c>
      <c r="F11" s="28">
        <f>SUM(F6:F10)</f>
        <v>776957</v>
      </c>
      <c r="G11" s="40"/>
      <c r="H11" s="21"/>
      <c r="I11" s="21"/>
      <c r="J11" s="21"/>
      <c r="K11" s="21"/>
      <c r="L11" s="21"/>
    </row>
    <row r="12" spans="1:12" ht="15.75" x14ac:dyDescent="0.25">
      <c r="A12" s="13"/>
      <c r="B12" s="83" t="s">
        <v>19</v>
      </c>
      <c r="C12" s="36"/>
      <c r="D12" s="25"/>
      <c r="E12" s="84" t="s">
        <v>23</v>
      </c>
      <c r="F12" s="27"/>
      <c r="G12" s="40"/>
      <c r="H12" s="21"/>
      <c r="I12" s="21"/>
      <c r="J12" s="21"/>
      <c r="K12" s="21"/>
      <c r="L12" s="21"/>
    </row>
    <row r="13" spans="1:12" ht="15.75" x14ac:dyDescent="0.25">
      <c r="A13" s="13">
        <v>31</v>
      </c>
      <c r="B13" s="41" t="s">
        <v>14</v>
      </c>
      <c r="C13" s="42">
        <f>BC!G26</f>
        <v>9000</v>
      </c>
      <c r="D13" s="25"/>
      <c r="E13" s="27" t="s">
        <v>138</v>
      </c>
      <c r="F13" s="42">
        <f>BC!H29</f>
        <v>5000</v>
      </c>
      <c r="G13" s="40"/>
      <c r="H13" s="21"/>
      <c r="I13" s="21"/>
      <c r="J13" s="21"/>
      <c r="K13" s="21"/>
      <c r="L13" s="21"/>
    </row>
    <row r="14" spans="1:12" ht="15.75" x14ac:dyDescent="0.25">
      <c r="A14" s="13">
        <v>33</v>
      </c>
      <c r="B14" s="31" t="s">
        <v>5</v>
      </c>
      <c r="C14" s="42">
        <f>BC!G5</f>
        <v>371000</v>
      </c>
      <c r="D14" s="25"/>
      <c r="E14" s="27"/>
      <c r="F14" s="42"/>
      <c r="G14" s="40"/>
      <c r="H14" s="21"/>
      <c r="I14" s="21"/>
      <c r="J14" s="21"/>
      <c r="K14" s="21"/>
      <c r="L14" s="21"/>
    </row>
    <row r="15" spans="1:12" ht="15.75" x14ac:dyDescent="0.25">
      <c r="A15" s="13">
        <v>34</v>
      </c>
      <c r="B15" s="31" t="s">
        <v>15</v>
      </c>
      <c r="C15" s="42">
        <f>BC!G6</f>
        <v>75000</v>
      </c>
      <c r="D15" s="25"/>
      <c r="E15" s="29"/>
      <c r="F15" s="43"/>
      <c r="G15" s="40"/>
      <c r="H15" s="21"/>
      <c r="I15" s="21"/>
      <c r="J15" s="21"/>
      <c r="K15" s="21"/>
      <c r="L15" s="21"/>
    </row>
    <row r="16" spans="1:12" ht="15.75" x14ac:dyDescent="0.25">
      <c r="A16" s="13">
        <v>35</v>
      </c>
      <c r="B16" s="31" t="s">
        <v>16</v>
      </c>
      <c r="C16" s="42">
        <f>-BC!H27</f>
        <v>-65000</v>
      </c>
      <c r="D16" s="25"/>
      <c r="E16" s="29"/>
      <c r="F16" s="43"/>
      <c r="G16" s="40"/>
      <c r="H16" s="21"/>
      <c r="I16" s="21"/>
      <c r="J16" s="21"/>
      <c r="K16" s="21"/>
      <c r="L16" s="21"/>
    </row>
    <row r="17" spans="1:12" ht="15.75" x14ac:dyDescent="0.25">
      <c r="A17" s="13">
        <v>38</v>
      </c>
      <c r="B17" s="31" t="s">
        <v>49</v>
      </c>
      <c r="C17" s="42">
        <f>-BC!H22</f>
        <v>-41000</v>
      </c>
      <c r="D17" s="25"/>
      <c r="E17" s="29"/>
      <c r="F17" s="43"/>
      <c r="G17" s="40"/>
      <c r="H17" s="21"/>
      <c r="I17" s="21"/>
      <c r="J17" s="21"/>
      <c r="K17" s="21"/>
      <c r="L17" s="21"/>
    </row>
    <row r="18" spans="1:12" ht="15.75" x14ac:dyDescent="0.25">
      <c r="A18" s="13">
        <v>39</v>
      </c>
      <c r="B18" s="32" t="s">
        <v>70</v>
      </c>
      <c r="C18" s="42">
        <f>BC!G9</f>
        <v>330000</v>
      </c>
      <c r="D18" s="25"/>
      <c r="E18" s="29"/>
      <c r="F18" s="43"/>
      <c r="G18" s="40"/>
      <c r="H18" s="21"/>
      <c r="I18" s="21"/>
      <c r="J18" s="21"/>
      <c r="K18" s="21"/>
      <c r="L18" s="21"/>
    </row>
    <row r="19" spans="1:12" ht="15.75" x14ac:dyDescent="0.25">
      <c r="A19" s="13"/>
      <c r="D19" s="25"/>
      <c r="E19" s="35" t="s">
        <v>25</v>
      </c>
      <c r="F19" s="28">
        <f>SUM(F13:F18)</f>
        <v>5000</v>
      </c>
      <c r="G19" s="40"/>
      <c r="H19" s="21"/>
      <c r="I19" s="21"/>
      <c r="J19" s="21"/>
      <c r="K19" s="21"/>
      <c r="L19" s="21"/>
    </row>
    <row r="20" spans="1:12" ht="15.75" x14ac:dyDescent="0.25">
      <c r="A20" s="13"/>
      <c r="B20" s="29"/>
      <c r="C20" s="29"/>
      <c r="D20" s="25"/>
      <c r="E20" s="136" t="s">
        <v>10</v>
      </c>
      <c r="F20" s="137">
        <f>F11+F19</f>
        <v>781957</v>
      </c>
      <c r="G20" s="40"/>
      <c r="H20" s="21"/>
      <c r="I20" s="21"/>
      <c r="J20" s="21"/>
      <c r="K20" s="21"/>
      <c r="L20" s="21"/>
    </row>
    <row r="21" spans="1:12" ht="15.75" x14ac:dyDescent="0.25">
      <c r="A21" s="13"/>
      <c r="B21" s="33"/>
      <c r="C21" s="27"/>
      <c r="D21" s="25"/>
      <c r="E21" s="37"/>
      <c r="F21" s="29"/>
      <c r="G21" s="40"/>
      <c r="H21" s="21"/>
      <c r="I21" s="21"/>
      <c r="J21" s="21"/>
      <c r="K21" s="21"/>
      <c r="L21" s="21"/>
    </row>
    <row r="22" spans="1:12" ht="15.75" x14ac:dyDescent="0.25">
      <c r="A22" s="13"/>
      <c r="B22" s="29"/>
      <c r="C22" s="30"/>
      <c r="D22" s="25"/>
      <c r="E22" s="85" t="s">
        <v>11</v>
      </c>
      <c r="F22" s="36"/>
      <c r="G22" s="40"/>
      <c r="H22" s="21"/>
      <c r="I22" s="21"/>
      <c r="J22" s="21"/>
      <c r="K22" s="21"/>
      <c r="L22" s="21"/>
    </row>
    <row r="23" spans="1:12" ht="15.75" x14ac:dyDescent="0.25">
      <c r="A23" s="13"/>
      <c r="B23" s="29"/>
      <c r="C23" s="30"/>
      <c r="D23" s="25"/>
      <c r="E23" s="38" t="s">
        <v>26</v>
      </c>
      <c r="F23" s="42">
        <f>BC!H4</f>
        <v>1030000</v>
      </c>
      <c r="G23" s="40"/>
      <c r="H23" s="21"/>
      <c r="I23" s="21"/>
      <c r="J23" s="21"/>
      <c r="K23" s="21"/>
      <c r="L23" s="21"/>
    </row>
    <row r="24" spans="1:12" ht="15.75" x14ac:dyDescent="0.25">
      <c r="A24" s="13">
        <v>40</v>
      </c>
      <c r="B24" s="29"/>
      <c r="C24" s="29"/>
      <c r="D24" s="21"/>
      <c r="E24" s="27"/>
      <c r="F24" s="42"/>
      <c r="G24" s="40"/>
      <c r="H24" s="21"/>
      <c r="I24" s="21"/>
      <c r="J24" s="21"/>
      <c r="K24" s="21"/>
      <c r="L24" s="21"/>
    </row>
    <row r="25" spans="1:12" ht="15.75" x14ac:dyDescent="0.25">
      <c r="A25" s="13">
        <v>42</v>
      </c>
      <c r="B25" s="29"/>
      <c r="C25" s="29"/>
      <c r="D25" s="21"/>
      <c r="E25" s="27" t="s">
        <v>27</v>
      </c>
      <c r="F25" s="42">
        <f>-C16</f>
        <v>65000</v>
      </c>
      <c r="G25" s="40"/>
      <c r="H25" s="21"/>
      <c r="I25" s="21"/>
      <c r="J25" s="21"/>
      <c r="K25" s="21"/>
      <c r="L25" s="21"/>
    </row>
    <row r="26" spans="1:12" ht="15.75" x14ac:dyDescent="0.25">
      <c r="A26" s="13">
        <v>46</v>
      </c>
      <c r="B26" s="29"/>
      <c r="C26" s="29"/>
      <c r="D26" s="21"/>
      <c r="E26" s="27" t="s">
        <v>145</v>
      </c>
      <c r="F26" s="42">
        <f>ER!C25</f>
        <v>-79600</v>
      </c>
      <c r="G26" s="40"/>
      <c r="H26" s="21"/>
      <c r="I26" s="21"/>
      <c r="J26" s="21"/>
      <c r="K26" s="21"/>
      <c r="L26" s="21"/>
    </row>
    <row r="27" spans="1:12" ht="15.75" x14ac:dyDescent="0.25">
      <c r="A27" s="13">
        <v>47</v>
      </c>
      <c r="B27" s="32" t="s">
        <v>21</v>
      </c>
      <c r="C27" s="28">
        <f>SUM(C13:C18)</f>
        <v>679000</v>
      </c>
      <c r="D27" s="21"/>
      <c r="E27" s="32" t="s">
        <v>12</v>
      </c>
      <c r="F27" s="79">
        <f>SUM(F23:F26)</f>
        <v>1015400</v>
      </c>
      <c r="G27" s="40"/>
      <c r="H27" s="21"/>
      <c r="I27" s="21"/>
      <c r="J27" s="21"/>
      <c r="K27" s="21"/>
      <c r="L27" s="21"/>
    </row>
    <row r="28" spans="1:12" ht="15.75" x14ac:dyDescent="0.25">
      <c r="A28" s="13"/>
      <c r="B28" s="138" t="s">
        <v>6</v>
      </c>
      <c r="C28" s="139">
        <f>C11+C27</f>
        <v>1797357</v>
      </c>
      <c r="D28" s="21"/>
      <c r="E28" s="138" t="s">
        <v>13</v>
      </c>
      <c r="F28" s="139">
        <f>F20+F27</f>
        <v>1797357</v>
      </c>
      <c r="G28" s="40"/>
      <c r="H28" s="21"/>
      <c r="I28" s="21"/>
      <c r="J28" s="21"/>
      <c r="K28" s="21"/>
      <c r="L28" s="21"/>
    </row>
    <row r="29" spans="1:12" ht="15.75" x14ac:dyDescent="0.25">
      <c r="A29" s="13"/>
      <c r="B29" s="21"/>
      <c r="C29" s="21"/>
      <c r="D29" s="21"/>
      <c r="E29" s="21"/>
      <c r="F29" s="21"/>
      <c r="G29" s="40"/>
      <c r="H29" s="21"/>
      <c r="I29" s="21"/>
      <c r="J29" s="21"/>
      <c r="K29" s="21"/>
      <c r="L29" s="21"/>
    </row>
    <row r="30" spans="1:12" ht="15.75" x14ac:dyDescent="0.25">
      <c r="A30" s="13">
        <v>49</v>
      </c>
      <c r="B30" s="21"/>
      <c r="C30" s="21"/>
      <c r="D30" s="21"/>
      <c r="E30" s="21"/>
      <c r="F30" s="25">
        <f>F28-C28</f>
        <v>0</v>
      </c>
      <c r="G30" s="40"/>
      <c r="H30" s="21"/>
      <c r="I30" s="21"/>
      <c r="J30" s="21"/>
      <c r="K30" s="21"/>
      <c r="L30" s="21"/>
    </row>
    <row r="31" spans="1:12" ht="15.75" x14ac:dyDescent="0.25">
      <c r="A31" s="13"/>
      <c r="B31" s="21"/>
      <c r="C31" s="21"/>
      <c r="D31" s="21"/>
      <c r="E31" s="21"/>
      <c r="F31" s="21"/>
      <c r="G31" s="40"/>
      <c r="H31" s="21"/>
      <c r="I31" s="21"/>
      <c r="J31" s="21"/>
      <c r="K31" s="21"/>
      <c r="L31" s="21"/>
    </row>
    <row r="32" spans="1:12" ht="15.75" x14ac:dyDescent="0.25">
      <c r="A32" s="13"/>
      <c r="B32" s="21"/>
      <c r="C32" s="21"/>
      <c r="D32" s="21"/>
      <c r="E32" s="21"/>
      <c r="F32" s="21"/>
      <c r="G32" s="40"/>
      <c r="H32" s="21"/>
      <c r="I32" s="21"/>
      <c r="J32" s="21"/>
      <c r="K32" s="21"/>
      <c r="L32" s="21"/>
    </row>
    <row r="33" spans="1:12" ht="15.75" x14ac:dyDescent="0.25">
      <c r="A33" s="13"/>
      <c r="B33" s="21"/>
      <c r="C33" s="21"/>
      <c r="D33" s="21"/>
      <c r="E33" s="21"/>
      <c r="F33" s="21"/>
      <c r="G33" s="40"/>
      <c r="H33" s="21"/>
      <c r="I33" s="21"/>
      <c r="J33" s="21"/>
      <c r="K33" s="21"/>
      <c r="L33" s="21"/>
    </row>
    <row r="34" spans="1:12" ht="15.75" x14ac:dyDescent="0.25">
      <c r="A34" s="13">
        <v>50</v>
      </c>
      <c r="B34" s="21"/>
      <c r="C34" s="21"/>
      <c r="D34" s="21"/>
      <c r="E34" s="21"/>
      <c r="F34" s="21"/>
      <c r="G34" s="40"/>
      <c r="H34" s="21"/>
      <c r="I34" s="21"/>
      <c r="J34" s="21"/>
      <c r="K34" s="21"/>
      <c r="L34" s="21"/>
    </row>
    <row r="35" spans="1:12" ht="15.75" x14ac:dyDescent="0.25">
      <c r="A35" s="13">
        <v>56</v>
      </c>
      <c r="B35" s="21"/>
      <c r="C35" s="21"/>
      <c r="D35" s="21"/>
      <c r="E35" s="21"/>
      <c r="F35" s="21"/>
      <c r="G35" s="40"/>
      <c r="H35" s="21"/>
      <c r="I35" s="21"/>
      <c r="J35" s="21"/>
      <c r="K35" s="21"/>
      <c r="L35" s="21"/>
    </row>
    <row r="36" spans="1:12" ht="15.75" x14ac:dyDescent="0.25">
      <c r="A36" s="13">
        <v>57</v>
      </c>
      <c r="B36" s="21"/>
      <c r="C36" s="21"/>
      <c r="D36" s="21"/>
      <c r="E36" s="21"/>
      <c r="F36" s="21"/>
      <c r="G36" s="40"/>
      <c r="H36" s="21"/>
      <c r="I36" s="21"/>
      <c r="J36" s="21"/>
      <c r="K36" s="21"/>
      <c r="L36" s="21"/>
    </row>
    <row r="37" spans="1:12" ht="15.75" x14ac:dyDescent="0.25">
      <c r="A37" s="13">
        <v>59</v>
      </c>
      <c r="B37" s="21"/>
      <c r="C37" s="21"/>
      <c r="D37" s="21"/>
      <c r="E37" s="21"/>
      <c r="F37" s="21"/>
      <c r="G37" s="40"/>
      <c r="H37" s="21"/>
      <c r="I37" s="21"/>
      <c r="J37" s="21"/>
      <c r="K37" s="21"/>
      <c r="L37" s="21"/>
    </row>
    <row r="38" spans="1:12" x14ac:dyDescent="0.2">
      <c r="A38" s="14"/>
      <c r="B38" s="21"/>
      <c r="C38" s="21"/>
      <c r="D38" s="21"/>
      <c r="E38" s="21"/>
      <c r="F38" s="21"/>
      <c r="G38" s="40"/>
      <c r="H38" s="21"/>
      <c r="I38" s="21"/>
      <c r="J38" s="21"/>
      <c r="K38" s="21"/>
      <c r="L38" s="21"/>
    </row>
    <row r="39" spans="1:12" x14ac:dyDescent="0.2">
      <c r="A39" s="14"/>
      <c r="B39" s="21"/>
      <c r="C39" s="21"/>
      <c r="D39" s="21"/>
      <c r="E39" s="21"/>
      <c r="F39" s="21"/>
      <c r="G39" s="40"/>
      <c r="H39" s="21"/>
      <c r="I39" s="21"/>
      <c r="J39" s="21"/>
      <c r="K39" s="21"/>
      <c r="L39" s="21"/>
    </row>
    <row r="40" spans="1:12" ht="15.75" x14ac:dyDescent="0.25">
      <c r="A40" s="2"/>
      <c r="B40" s="26"/>
      <c r="C40" s="26"/>
      <c r="D40" s="26"/>
      <c r="E40" s="26"/>
      <c r="F40" s="44"/>
      <c r="G40" s="40"/>
      <c r="H40" s="21"/>
      <c r="I40" s="21"/>
      <c r="J40" s="21"/>
      <c r="K40" s="21"/>
      <c r="L40" s="21"/>
    </row>
    <row r="41" spans="1:12" ht="15.75" x14ac:dyDescent="0.25">
      <c r="A41" s="2"/>
      <c r="B41" s="26"/>
      <c r="C41" s="45"/>
      <c r="D41" s="26"/>
      <c r="E41" s="26"/>
      <c r="F41" s="44"/>
      <c r="G41" s="40"/>
      <c r="H41" s="21"/>
      <c r="I41" s="21"/>
      <c r="J41" s="21"/>
      <c r="K41" s="21"/>
      <c r="L41" s="21"/>
    </row>
    <row r="42" spans="1:12" x14ac:dyDescent="0.2">
      <c r="A42" s="2"/>
      <c r="B42" s="40"/>
      <c r="C42" s="40"/>
      <c r="D42" s="40"/>
      <c r="E42" s="40"/>
      <c r="F42" s="46"/>
      <c r="G42" s="40"/>
      <c r="H42" s="21"/>
      <c r="I42" s="21"/>
      <c r="J42" s="21"/>
      <c r="K42" s="21"/>
      <c r="L42" s="21"/>
    </row>
    <row r="43" spans="1:12" x14ac:dyDescent="0.2">
      <c r="A43" s="2"/>
      <c r="B43" s="40"/>
      <c r="C43" s="40"/>
      <c r="D43" s="40"/>
      <c r="E43" s="40"/>
      <c r="F43" s="46"/>
      <c r="G43" s="40"/>
      <c r="H43" s="21"/>
      <c r="I43" s="21"/>
      <c r="J43" s="21"/>
      <c r="K43" s="21"/>
      <c r="L43" s="21"/>
    </row>
    <row r="44" spans="1:12" x14ac:dyDescent="0.2">
      <c r="A44" s="2"/>
      <c r="B44" s="2"/>
      <c r="C44" s="2"/>
      <c r="D44" s="2"/>
      <c r="E44" s="2"/>
      <c r="F44" s="3"/>
      <c r="G44" s="2"/>
    </row>
    <row r="45" spans="1:12" x14ac:dyDescent="0.2">
      <c r="A45" s="2"/>
      <c r="B45" s="2"/>
      <c r="C45" s="2"/>
      <c r="D45" s="2"/>
      <c r="E45" s="2"/>
      <c r="F45" s="3"/>
      <c r="G45" s="2"/>
    </row>
    <row r="46" spans="1:12" x14ac:dyDescent="0.2">
      <c r="A46" s="2"/>
      <c r="B46" s="2"/>
      <c r="C46" s="2"/>
      <c r="D46" s="2"/>
      <c r="E46" s="2"/>
      <c r="F46" s="3"/>
      <c r="G46" s="2"/>
    </row>
    <row r="47" spans="1:12" x14ac:dyDescent="0.2">
      <c r="A47" s="2"/>
      <c r="B47" s="2"/>
      <c r="C47" s="2"/>
      <c r="D47" s="2"/>
      <c r="E47" s="2"/>
      <c r="F47" s="3"/>
      <c r="G47" s="2"/>
    </row>
    <row r="48" spans="1:12" x14ac:dyDescent="0.2">
      <c r="A48" s="2"/>
      <c r="B48" s="2"/>
      <c r="C48" s="2"/>
      <c r="D48" s="2"/>
      <c r="E48" s="2"/>
      <c r="F48" s="3"/>
      <c r="G48" s="2"/>
    </row>
    <row r="49" spans="1:7" x14ac:dyDescent="0.2">
      <c r="A49" s="2"/>
      <c r="B49" s="2"/>
      <c r="C49" s="2"/>
      <c r="D49" s="2"/>
      <c r="E49" s="2"/>
      <c r="F49" s="3"/>
      <c r="G49" s="2"/>
    </row>
    <row r="50" spans="1:7" x14ac:dyDescent="0.2">
      <c r="A50" s="2"/>
      <c r="B50" s="2"/>
      <c r="C50" s="2"/>
      <c r="D50" s="2"/>
      <c r="E50" s="2"/>
      <c r="F50" s="3"/>
      <c r="G50" s="2"/>
    </row>
    <row r="51" spans="1:7" x14ac:dyDescent="0.2">
      <c r="A51" s="2"/>
      <c r="B51" s="2"/>
      <c r="C51" s="2"/>
      <c r="D51" s="2"/>
      <c r="E51" s="2"/>
      <c r="F51" s="3"/>
      <c r="G51" s="2"/>
    </row>
    <row r="52" spans="1:7" x14ac:dyDescent="0.2">
      <c r="A52" s="2"/>
      <c r="B52" s="2"/>
      <c r="C52" s="2"/>
      <c r="D52" s="2"/>
      <c r="E52" s="2"/>
      <c r="F52" s="3"/>
      <c r="G52" s="2"/>
    </row>
    <row r="53" spans="1:7" x14ac:dyDescent="0.2">
      <c r="A53" s="2"/>
      <c r="B53" s="2"/>
      <c r="C53" s="2"/>
      <c r="D53" s="2"/>
      <c r="E53" s="2"/>
      <c r="F53" s="3"/>
      <c r="G53" s="2"/>
    </row>
    <row r="54" spans="1:7" x14ac:dyDescent="0.2">
      <c r="A54" s="2"/>
      <c r="B54" s="2"/>
      <c r="C54" s="2"/>
      <c r="D54" s="2"/>
      <c r="E54" s="2"/>
      <c r="F54" s="3"/>
      <c r="G54" s="2"/>
    </row>
    <row r="55" spans="1:7" x14ac:dyDescent="0.2">
      <c r="A55" s="2"/>
      <c r="B55" s="2"/>
      <c r="C55" s="2"/>
      <c r="D55" s="2"/>
      <c r="E55" s="2"/>
      <c r="F55" s="3"/>
      <c r="G55" s="2"/>
    </row>
    <row r="56" spans="1:7" x14ac:dyDescent="0.2">
      <c r="A56" s="2"/>
      <c r="B56" s="2"/>
      <c r="C56" s="2"/>
      <c r="D56" s="2"/>
      <c r="E56" s="2"/>
      <c r="F56" s="3"/>
      <c r="G56" s="2"/>
    </row>
    <row r="57" spans="1:7" x14ac:dyDescent="0.2">
      <c r="A57" s="2"/>
      <c r="B57" s="2"/>
      <c r="C57" s="2"/>
      <c r="D57" s="2"/>
      <c r="E57" s="2"/>
      <c r="F57" s="3"/>
      <c r="G57" s="2"/>
    </row>
    <row r="58" spans="1:7" x14ac:dyDescent="0.2">
      <c r="A58" s="2"/>
      <c r="B58" s="2"/>
      <c r="C58" s="2"/>
      <c r="D58" s="2"/>
      <c r="E58" s="2"/>
      <c r="F58" s="3"/>
      <c r="G58" s="2"/>
    </row>
    <row r="59" spans="1:7" x14ac:dyDescent="0.2">
      <c r="A59" s="2"/>
      <c r="B59" s="2"/>
      <c r="C59" s="2"/>
      <c r="D59" s="2"/>
      <c r="E59" s="2"/>
      <c r="F59" s="3"/>
      <c r="G59" s="2"/>
    </row>
    <row r="60" spans="1:7" x14ac:dyDescent="0.2">
      <c r="A60" s="2"/>
      <c r="B60" s="2"/>
      <c r="C60" s="2"/>
      <c r="D60" s="2"/>
      <c r="E60" s="2"/>
      <c r="F60" s="3"/>
      <c r="G60" s="2"/>
    </row>
    <row r="61" spans="1:7" x14ac:dyDescent="0.2">
      <c r="A61" s="2"/>
      <c r="B61" s="2"/>
      <c r="C61" s="2"/>
      <c r="D61" s="2"/>
      <c r="E61" s="2"/>
      <c r="F61" s="3"/>
      <c r="G61" s="2"/>
    </row>
    <row r="62" spans="1:7" x14ac:dyDescent="0.2">
      <c r="A62" s="2"/>
      <c r="B62" s="2"/>
      <c r="C62" s="2"/>
      <c r="D62" s="2"/>
      <c r="E62" s="2"/>
      <c r="F62" s="3"/>
      <c r="G62" s="2"/>
    </row>
    <row r="63" spans="1:7" x14ac:dyDescent="0.2">
      <c r="A63" s="2"/>
      <c r="B63" s="2"/>
      <c r="C63" s="2"/>
      <c r="D63" s="2"/>
      <c r="E63" s="2"/>
      <c r="F63" s="3"/>
      <c r="G63" s="2"/>
    </row>
    <row r="64" spans="1:7" x14ac:dyDescent="0.2">
      <c r="A64" s="2"/>
      <c r="B64" s="2"/>
      <c r="C64" s="2"/>
      <c r="D64" s="2"/>
      <c r="E64" s="2"/>
      <c r="F64" s="3"/>
      <c r="G64" s="2"/>
    </row>
    <row r="65" spans="1:7" x14ac:dyDescent="0.2">
      <c r="A65" s="2"/>
      <c r="B65" s="2"/>
      <c r="C65" s="2"/>
      <c r="D65" s="2"/>
      <c r="E65" s="2"/>
      <c r="F65" s="3"/>
      <c r="G65" s="2"/>
    </row>
    <row r="66" spans="1:7" x14ac:dyDescent="0.2">
      <c r="A66" s="2"/>
      <c r="B66" s="2"/>
      <c r="C66" s="2"/>
      <c r="D66" s="2"/>
      <c r="E66" s="2"/>
      <c r="F66" s="3"/>
      <c r="G66" s="2"/>
    </row>
    <row r="67" spans="1:7" x14ac:dyDescent="0.2">
      <c r="A67" s="2"/>
      <c r="B67" s="2"/>
      <c r="C67" s="2"/>
      <c r="D67" s="2"/>
      <c r="E67" s="2"/>
      <c r="F67" s="3"/>
      <c r="G67" s="2"/>
    </row>
    <row r="68" spans="1:7" x14ac:dyDescent="0.2">
      <c r="A68" s="2"/>
      <c r="B68" s="2"/>
      <c r="C68" s="2"/>
      <c r="D68" s="2"/>
      <c r="E68" s="2"/>
      <c r="F68" s="3"/>
      <c r="G68" s="2"/>
    </row>
    <row r="69" spans="1:7" x14ac:dyDescent="0.2">
      <c r="A69" s="2"/>
      <c r="B69" s="2"/>
      <c r="C69" s="2"/>
      <c r="D69" s="2"/>
      <c r="E69" s="2"/>
      <c r="F69" s="3"/>
      <c r="G69" s="2"/>
    </row>
    <row r="70" spans="1:7" x14ac:dyDescent="0.2">
      <c r="A70" s="2"/>
      <c r="B70" s="2"/>
      <c r="C70" s="2"/>
      <c r="D70" s="2"/>
      <c r="E70" s="2"/>
      <c r="F70" s="3"/>
      <c r="G70" s="2"/>
    </row>
    <row r="71" spans="1:7" x14ac:dyDescent="0.2">
      <c r="A71" s="2"/>
      <c r="B71" s="2"/>
      <c r="C71" s="2"/>
      <c r="D71" s="2"/>
      <c r="E71" s="2"/>
      <c r="F71" s="3"/>
      <c r="G71" s="2"/>
    </row>
    <row r="72" spans="1:7" x14ac:dyDescent="0.2">
      <c r="A72" s="2"/>
      <c r="B72" s="2"/>
      <c r="C72" s="2"/>
      <c r="D72" s="2"/>
      <c r="E72" s="2"/>
      <c r="F72" s="3"/>
      <c r="G72" s="2"/>
    </row>
    <row r="73" spans="1:7" x14ac:dyDescent="0.2">
      <c r="A73" s="2"/>
      <c r="B73" s="2"/>
      <c r="C73" s="2"/>
      <c r="D73" s="2"/>
      <c r="E73" s="2"/>
      <c r="F73" s="3"/>
      <c r="G73" s="2"/>
    </row>
    <row r="74" spans="1:7" x14ac:dyDescent="0.2">
      <c r="A74" s="2"/>
      <c r="B74" s="2"/>
      <c r="C74" s="2"/>
      <c r="D74" s="2"/>
      <c r="E74" s="2"/>
      <c r="F74" s="3"/>
      <c r="G74" s="2"/>
    </row>
    <row r="75" spans="1:7" x14ac:dyDescent="0.2">
      <c r="A75" s="2"/>
      <c r="B75" s="2"/>
      <c r="C75" s="2"/>
      <c r="D75" s="2"/>
      <c r="E75" s="2"/>
      <c r="F75" s="3"/>
      <c r="G75" s="2"/>
    </row>
    <row r="76" spans="1:7" x14ac:dyDescent="0.2">
      <c r="A76" s="2"/>
      <c r="B76" s="2"/>
      <c r="C76" s="2"/>
      <c r="D76" s="2"/>
      <c r="E76" s="2"/>
      <c r="F76" s="3"/>
      <c r="G76" s="2"/>
    </row>
    <row r="77" spans="1:7" x14ac:dyDescent="0.2">
      <c r="A77" s="2"/>
      <c r="B77" s="2"/>
      <c r="C77" s="2"/>
      <c r="D77" s="2"/>
      <c r="E77" s="2"/>
      <c r="F77" s="3"/>
      <c r="G77" s="2"/>
    </row>
    <row r="78" spans="1:7" x14ac:dyDescent="0.2">
      <c r="A78" s="2"/>
      <c r="B78" s="2"/>
      <c r="C78" s="2"/>
      <c r="D78" s="2"/>
      <c r="E78" s="2"/>
      <c r="F78" s="3"/>
      <c r="G78" s="2"/>
    </row>
    <row r="79" spans="1:7" x14ac:dyDescent="0.2">
      <c r="A79" s="2"/>
      <c r="B79" s="2"/>
      <c r="C79" s="2"/>
      <c r="D79" s="2"/>
      <c r="E79" s="2"/>
      <c r="F79" s="3"/>
      <c r="G79" s="2"/>
    </row>
    <row r="80" spans="1:7" x14ac:dyDescent="0.2">
      <c r="A80" s="2"/>
      <c r="B80" s="2"/>
      <c r="C80" s="2"/>
      <c r="D80" s="2"/>
      <c r="E80" s="2"/>
      <c r="F80" s="3"/>
      <c r="G80" s="2"/>
    </row>
    <row r="81" spans="1:7" x14ac:dyDescent="0.2">
      <c r="A81" s="2"/>
      <c r="B81" s="2"/>
      <c r="C81" s="2"/>
      <c r="D81" s="2"/>
      <c r="E81" s="2"/>
      <c r="F81" s="3"/>
      <c r="G81" s="2"/>
    </row>
    <row r="82" spans="1:7" x14ac:dyDescent="0.2">
      <c r="A82" s="2"/>
      <c r="B82" s="2"/>
      <c r="C82" s="2"/>
      <c r="D82" s="2"/>
      <c r="E82" s="2"/>
      <c r="F82" s="3"/>
      <c r="G82" s="2"/>
    </row>
    <row r="83" spans="1:7" x14ac:dyDescent="0.2">
      <c r="A83" s="2"/>
      <c r="B83" s="2"/>
      <c r="C83" s="2"/>
      <c r="D83" s="2"/>
      <c r="E83" s="2"/>
      <c r="F83" s="3"/>
      <c r="G83" s="2"/>
    </row>
    <row r="84" spans="1:7" x14ac:dyDescent="0.2">
      <c r="A84" s="2"/>
      <c r="B84" s="2"/>
      <c r="C84" s="2"/>
      <c r="D84" s="2"/>
      <c r="E84" s="2"/>
      <c r="F84" s="3"/>
      <c r="G84" s="2"/>
    </row>
    <row r="85" spans="1:7" x14ac:dyDescent="0.2">
      <c r="A85" s="2"/>
      <c r="B85" s="2"/>
      <c r="C85" s="2"/>
      <c r="D85" s="2"/>
      <c r="E85" s="2"/>
      <c r="F85" s="3"/>
      <c r="G85" s="2"/>
    </row>
    <row r="86" spans="1:7" x14ac:dyDescent="0.2">
      <c r="A86" s="2"/>
      <c r="B86" s="2"/>
      <c r="C86" s="2"/>
      <c r="D86" s="2"/>
      <c r="E86" s="2"/>
      <c r="F86" s="3"/>
      <c r="G86" s="2"/>
    </row>
    <row r="87" spans="1:7" x14ac:dyDescent="0.2">
      <c r="A87" s="2"/>
      <c r="B87" s="2"/>
      <c r="C87" s="2"/>
      <c r="D87" s="2"/>
      <c r="E87" s="2"/>
      <c r="F87" s="3"/>
      <c r="G87" s="2"/>
    </row>
    <row r="88" spans="1:7" x14ac:dyDescent="0.2">
      <c r="A88" s="2"/>
      <c r="B88" s="2"/>
      <c r="C88" s="2"/>
      <c r="D88" s="2"/>
      <c r="E88" s="2"/>
      <c r="F88" s="3"/>
      <c r="G88" s="2"/>
    </row>
    <row r="89" spans="1:7" x14ac:dyDescent="0.2">
      <c r="A89" s="2"/>
      <c r="B89" s="2"/>
      <c r="C89" s="2"/>
      <c r="D89" s="2"/>
      <c r="E89" s="2"/>
      <c r="F89" s="3"/>
      <c r="G89" s="2"/>
    </row>
    <row r="90" spans="1:7" x14ac:dyDescent="0.2">
      <c r="A90" s="2"/>
      <c r="B90" s="2"/>
      <c r="C90" s="2"/>
      <c r="D90" s="2"/>
      <c r="E90" s="2"/>
      <c r="F90" s="3"/>
      <c r="G90" s="2"/>
    </row>
    <row r="91" spans="1:7" x14ac:dyDescent="0.2">
      <c r="A91" s="2"/>
      <c r="B91" s="2"/>
      <c r="C91" s="2"/>
      <c r="D91" s="2"/>
      <c r="E91" s="2"/>
      <c r="F91" s="3"/>
      <c r="G91" s="2"/>
    </row>
    <row r="92" spans="1:7" x14ac:dyDescent="0.2">
      <c r="A92" s="2"/>
      <c r="B92" s="2"/>
      <c r="C92" s="2"/>
      <c r="D92" s="2"/>
      <c r="E92" s="2"/>
      <c r="F92" s="3"/>
      <c r="G92" s="2"/>
    </row>
    <row r="93" spans="1:7" x14ac:dyDescent="0.2">
      <c r="A93" s="2"/>
      <c r="B93" s="2"/>
      <c r="C93" s="2"/>
      <c r="D93" s="2"/>
      <c r="E93" s="2"/>
      <c r="F93" s="3"/>
      <c r="G93" s="2"/>
    </row>
    <row r="94" spans="1:7" x14ac:dyDescent="0.2">
      <c r="A94" s="2"/>
      <c r="B94" s="2"/>
      <c r="C94" s="2"/>
      <c r="D94" s="2"/>
      <c r="E94" s="2"/>
      <c r="F94" s="3"/>
      <c r="G94" s="2"/>
    </row>
    <row r="95" spans="1:7" x14ac:dyDescent="0.2">
      <c r="A95" s="2"/>
      <c r="B95" s="2"/>
      <c r="C95" s="2"/>
      <c r="D95" s="2"/>
      <c r="E95" s="2"/>
      <c r="F95" s="3"/>
      <c r="G95" s="2"/>
    </row>
    <row r="96" spans="1:7" x14ac:dyDescent="0.2">
      <c r="A96" s="2"/>
      <c r="B96" s="2"/>
      <c r="C96" s="2"/>
      <c r="D96" s="2"/>
      <c r="E96" s="2"/>
      <c r="F96" s="3"/>
      <c r="G96" s="2"/>
    </row>
    <row r="97" spans="1:7" x14ac:dyDescent="0.2">
      <c r="A97" s="2"/>
      <c r="B97" s="2"/>
      <c r="C97" s="2"/>
      <c r="D97" s="2"/>
      <c r="E97" s="2"/>
      <c r="F97" s="3"/>
      <c r="G97" s="2"/>
    </row>
    <row r="98" spans="1:7" x14ac:dyDescent="0.2">
      <c r="A98" s="2"/>
      <c r="B98" s="2"/>
      <c r="C98" s="2"/>
      <c r="D98" s="2"/>
      <c r="E98" s="2"/>
      <c r="F98" s="3"/>
      <c r="G98" s="2"/>
    </row>
    <row r="99" spans="1:7" x14ac:dyDescent="0.2">
      <c r="A99" s="2"/>
      <c r="B99" s="2"/>
      <c r="C99" s="2"/>
      <c r="D99" s="2"/>
      <c r="E99" s="2"/>
      <c r="F99" s="3"/>
      <c r="G99" s="2"/>
    </row>
    <row r="100" spans="1:7" x14ac:dyDescent="0.2">
      <c r="A100" s="2"/>
      <c r="B100" s="2"/>
      <c r="C100" s="2"/>
      <c r="D100" s="2"/>
      <c r="E100" s="2"/>
      <c r="F100" s="3"/>
      <c r="G100" s="2"/>
    </row>
    <row r="101" spans="1:7" x14ac:dyDescent="0.2">
      <c r="A101" s="2"/>
      <c r="B101" s="2"/>
      <c r="C101" s="2"/>
      <c r="D101" s="2"/>
      <c r="E101" s="2"/>
      <c r="F101" s="3"/>
      <c r="G101" s="2"/>
    </row>
    <row r="102" spans="1:7" x14ac:dyDescent="0.2">
      <c r="A102" s="2"/>
      <c r="B102" s="2"/>
      <c r="C102" s="2"/>
      <c r="D102" s="2"/>
      <c r="E102" s="2"/>
      <c r="F102" s="3"/>
      <c r="G102" s="2"/>
    </row>
    <row r="103" spans="1:7" x14ac:dyDescent="0.2">
      <c r="A103" s="2"/>
      <c r="B103" s="2"/>
      <c r="C103" s="2"/>
      <c r="D103" s="2"/>
      <c r="E103" s="2"/>
      <c r="F103" s="3"/>
      <c r="G103" s="2"/>
    </row>
    <row r="104" spans="1:7" x14ac:dyDescent="0.2">
      <c r="A104" s="2"/>
      <c r="B104" s="2"/>
      <c r="C104" s="2"/>
      <c r="D104" s="2"/>
      <c r="E104" s="2"/>
      <c r="F104" s="3"/>
      <c r="G104" s="2"/>
    </row>
    <row r="105" spans="1:7" x14ac:dyDescent="0.2">
      <c r="A105" s="2"/>
      <c r="B105" s="2"/>
      <c r="C105" s="2"/>
      <c r="D105" s="2"/>
      <c r="E105" s="2"/>
      <c r="F105" s="3"/>
      <c r="G105" s="2"/>
    </row>
    <row r="106" spans="1:7" x14ac:dyDescent="0.2">
      <c r="A106" s="2"/>
      <c r="B106" s="2"/>
      <c r="C106" s="2"/>
      <c r="D106" s="2"/>
      <c r="E106" s="2"/>
      <c r="F106" s="3"/>
      <c r="G106" s="2"/>
    </row>
    <row r="107" spans="1:7" x14ac:dyDescent="0.2">
      <c r="A107" s="2"/>
      <c r="B107" s="2"/>
      <c r="C107" s="2"/>
      <c r="D107" s="2"/>
      <c r="E107" s="2"/>
      <c r="F107" s="3"/>
      <c r="G107" s="2"/>
    </row>
    <row r="108" spans="1:7" x14ac:dyDescent="0.2">
      <c r="A108" s="2"/>
      <c r="B108" s="2"/>
      <c r="C108" s="2"/>
      <c r="D108" s="2"/>
      <c r="E108" s="2"/>
      <c r="F108" s="3"/>
      <c r="G108" s="2"/>
    </row>
    <row r="109" spans="1:7" x14ac:dyDescent="0.2">
      <c r="A109" s="2"/>
      <c r="B109" s="2"/>
      <c r="C109" s="2"/>
      <c r="D109" s="2"/>
      <c r="E109" s="2"/>
      <c r="F109" s="3"/>
      <c r="G109" s="2"/>
    </row>
    <row r="110" spans="1:7" x14ac:dyDescent="0.2">
      <c r="A110" s="2"/>
      <c r="B110" s="2"/>
      <c r="C110" s="2"/>
      <c r="D110" s="2"/>
      <c r="E110" s="2"/>
      <c r="F110" s="3"/>
      <c r="G110" s="2"/>
    </row>
    <row r="111" spans="1:7" x14ac:dyDescent="0.2">
      <c r="A111" s="2"/>
      <c r="B111" s="2"/>
      <c r="C111" s="2"/>
      <c r="D111" s="2"/>
      <c r="E111" s="2"/>
      <c r="F111" s="3"/>
      <c r="G111" s="2"/>
    </row>
    <row r="112" spans="1:7" x14ac:dyDescent="0.2">
      <c r="A112" s="2"/>
      <c r="B112" s="2"/>
      <c r="C112" s="2"/>
      <c r="D112" s="2"/>
      <c r="E112" s="2"/>
      <c r="F112" s="3"/>
      <c r="G112" s="2"/>
    </row>
    <row r="113" spans="1:7" x14ac:dyDescent="0.2">
      <c r="A113" s="2"/>
      <c r="B113" s="2"/>
      <c r="C113" s="2"/>
      <c r="D113" s="2"/>
      <c r="E113" s="2"/>
      <c r="F113" s="3"/>
      <c r="G113" s="2"/>
    </row>
    <row r="114" spans="1:7" x14ac:dyDescent="0.2">
      <c r="A114" s="2"/>
      <c r="B114" s="2"/>
      <c r="C114" s="2"/>
      <c r="D114" s="2"/>
      <c r="E114" s="2"/>
      <c r="F114" s="3"/>
      <c r="G114" s="2"/>
    </row>
    <row r="115" spans="1:7" x14ac:dyDescent="0.2">
      <c r="A115" s="2"/>
      <c r="B115" s="2"/>
      <c r="C115" s="2"/>
      <c r="D115" s="2"/>
      <c r="E115" s="2"/>
      <c r="F115" s="3"/>
      <c r="G115" s="2"/>
    </row>
    <row r="116" spans="1:7" x14ac:dyDescent="0.2">
      <c r="A116" s="2"/>
      <c r="B116" s="2"/>
      <c r="C116" s="2"/>
      <c r="D116" s="2"/>
      <c r="E116" s="2"/>
      <c r="F116" s="3"/>
      <c r="G116" s="2"/>
    </row>
    <row r="117" spans="1:7" x14ac:dyDescent="0.2">
      <c r="A117" s="2"/>
      <c r="B117" s="2"/>
      <c r="C117" s="2"/>
      <c r="D117" s="2"/>
      <c r="E117" s="2"/>
      <c r="F117" s="3"/>
      <c r="G117" s="2"/>
    </row>
    <row r="118" spans="1:7" x14ac:dyDescent="0.2">
      <c r="A118" s="2"/>
      <c r="B118" s="2"/>
      <c r="C118" s="2"/>
      <c r="D118" s="2"/>
      <c r="E118" s="2"/>
      <c r="F118" s="3"/>
      <c r="G118" s="2"/>
    </row>
    <row r="119" spans="1:7" x14ac:dyDescent="0.2">
      <c r="A119" s="2"/>
      <c r="B119" s="2"/>
      <c r="C119" s="2"/>
      <c r="D119" s="2"/>
      <c r="E119" s="2"/>
      <c r="F119" s="3"/>
      <c r="G119" s="2"/>
    </row>
    <row r="120" spans="1:7" x14ac:dyDescent="0.2">
      <c r="A120" s="2"/>
      <c r="B120" s="2"/>
      <c r="C120" s="2"/>
      <c r="D120" s="2"/>
      <c r="E120" s="2"/>
      <c r="F120" s="3"/>
      <c r="G120" s="2"/>
    </row>
    <row r="121" spans="1:7" x14ac:dyDescent="0.2">
      <c r="A121" s="2"/>
      <c r="B121" s="2"/>
      <c r="C121" s="2"/>
      <c r="D121" s="2"/>
      <c r="E121" s="2"/>
      <c r="F121" s="3"/>
      <c r="G121" s="2"/>
    </row>
    <row r="122" spans="1:7" x14ac:dyDescent="0.2">
      <c r="A122" s="2"/>
      <c r="B122" s="2"/>
      <c r="C122" s="2"/>
      <c r="D122" s="2"/>
      <c r="E122" s="2"/>
      <c r="F122" s="3"/>
      <c r="G122" s="2"/>
    </row>
    <row r="123" spans="1:7" x14ac:dyDescent="0.2">
      <c r="A123" s="2"/>
      <c r="B123" s="2"/>
      <c r="C123" s="2"/>
      <c r="D123" s="2"/>
      <c r="E123" s="2"/>
      <c r="F123" s="3"/>
      <c r="G123" s="2"/>
    </row>
    <row r="124" spans="1:7" x14ac:dyDescent="0.2">
      <c r="A124" s="2"/>
      <c r="B124" s="2"/>
      <c r="C124" s="2"/>
      <c r="D124" s="2"/>
      <c r="E124" s="2"/>
      <c r="F124" s="3"/>
      <c r="G124" s="2"/>
    </row>
    <row r="125" spans="1:7" x14ac:dyDescent="0.2">
      <c r="A125" s="2"/>
      <c r="B125" s="2"/>
      <c r="C125" s="2"/>
      <c r="D125" s="2"/>
      <c r="E125" s="2"/>
      <c r="F125" s="3"/>
      <c r="G125" s="2"/>
    </row>
    <row r="126" spans="1:7" x14ac:dyDescent="0.2">
      <c r="A126" s="2"/>
      <c r="B126" s="2"/>
      <c r="C126" s="2"/>
      <c r="D126" s="2"/>
      <c r="E126" s="2"/>
      <c r="F126" s="3"/>
      <c r="G126" s="2"/>
    </row>
    <row r="127" spans="1:7" x14ac:dyDescent="0.2">
      <c r="A127" s="2"/>
      <c r="B127" s="2"/>
      <c r="C127" s="2"/>
      <c r="D127" s="2"/>
      <c r="E127" s="2"/>
      <c r="F127" s="3"/>
      <c r="G127" s="2"/>
    </row>
    <row r="128" spans="1:7" x14ac:dyDescent="0.2">
      <c r="A128" s="2"/>
      <c r="B128" s="2"/>
      <c r="C128" s="2"/>
      <c r="D128" s="2"/>
      <c r="E128" s="2"/>
      <c r="F128" s="3" t="e">
        <f>+E128/D128</f>
        <v>#DIV/0!</v>
      </c>
      <c r="G128" s="2"/>
    </row>
    <row r="129" spans="1:7" x14ac:dyDescent="0.2">
      <c r="A129" s="2"/>
      <c r="B129" s="2"/>
      <c r="C129" s="2"/>
      <c r="D129" s="2"/>
      <c r="E129" s="2"/>
      <c r="F129" s="3" t="e">
        <f>+E129/D129</f>
        <v>#DIV/0!</v>
      </c>
      <c r="G129" s="2"/>
    </row>
    <row r="130" spans="1:7" x14ac:dyDescent="0.2">
      <c r="A130" s="2"/>
      <c r="B130" s="2"/>
      <c r="C130" s="2"/>
      <c r="D130" s="2"/>
      <c r="E130" s="2"/>
      <c r="F130" s="3" t="e">
        <f>+E130/D130</f>
        <v>#DIV/0!</v>
      </c>
      <c r="G130" s="2"/>
    </row>
    <row r="131" spans="1:7" x14ac:dyDescent="0.2">
      <c r="A131" s="2"/>
      <c r="B131" s="2"/>
      <c r="C131" s="2"/>
      <c r="D131" s="2"/>
      <c r="E131" s="2"/>
      <c r="F131" s="2"/>
      <c r="G131" s="2"/>
    </row>
    <row r="132" spans="1:7" x14ac:dyDescent="0.2">
      <c r="A132" s="2"/>
      <c r="B132" s="2"/>
      <c r="C132" s="2"/>
      <c r="D132" s="2"/>
      <c r="E132" s="2"/>
      <c r="F132" s="2"/>
      <c r="G132" s="2"/>
    </row>
    <row r="133" spans="1:7" x14ac:dyDescent="0.2">
      <c r="A133" s="2"/>
      <c r="B133" s="2"/>
      <c r="C133" s="2"/>
      <c r="D133" s="2"/>
      <c r="E133" s="2"/>
      <c r="F133" s="2"/>
      <c r="G133" s="2"/>
    </row>
    <row r="134" spans="1:7" x14ac:dyDescent="0.2">
      <c r="A134" s="2"/>
      <c r="B134" s="2"/>
      <c r="C134" s="2"/>
      <c r="D134" s="2"/>
      <c r="E134" s="2"/>
      <c r="F134" s="2"/>
      <c r="G134" s="2"/>
    </row>
    <row r="135" spans="1:7" x14ac:dyDescent="0.2">
      <c r="A135" s="2"/>
      <c r="B135" s="2"/>
      <c r="C135" s="2"/>
      <c r="D135" s="2"/>
      <c r="E135" s="2"/>
      <c r="F135" s="2"/>
      <c r="G135" s="2"/>
    </row>
    <row r="136" spans="1:7" x14ac:dyDescent="0.2">
      <c r="A136" s="2"/>
      <c r="B136" s="2"/>
      <c r="C136" s="2"/>
      <c r="D136" s="2"/>
      <c r="E136" s="2"/>
      <c r="F136" s="2"/>
      <c r="G136" s="2"/>
    </row>
    <row r="137" spans="1:7" x14ac:dyDescent="0.2">
      <c r="A137" s="2"/>
      <c r="B137" s="2"/>
      <c r="C137" s="2"/>
      <c r="D137" s="2"/>
      <c r="E137" s="2"/>
      <c r="F137" s="2"/>
      <c r="G137" s="2"/>
    </row>
    <row r="138" spans="1:7" x14ac:dyDescent="0.2">
      <c r="A138" s="2"/>
      <c r="B138" s="2"/>
      <c r="C138" s="2"/>
      <c r="D138" s="2"/>
      <c r="E138" s="2"/>
      <c r="F138" s="2"/>
      <c r="G138" s="2"/>
    </row>
    <row r="139" spans="1:7" x14ac:dyDescent="0.2">
      <c r="A139" s="2"/>
      <c r="B139" s="2"/>
      <c r="C139" s="2"/>
      <c r="D139" s="2"/>
      <c r="E139" s="2"/>
      <c r="F139" s="2"/>
      <c r="G139" s="2"/>
    </row>
    <row r="140" spans="1:7" x14ac:dyDescent="0.2">
      <c r="A140" s="2"/>
      <c r="B140" s="2"/>
      <c r="C140" s="2"/>
      <c r="D140" s="2"/>
      <c r="E140" s="2"/>
      <c r="F140" s="2"/>
      <c r="G140" s="2"/>
    </row>
    <row r="141" spans="1:7" x14ac:dyDescent="0.2">
      <c r="A141" s="2"/>
      <c r="B141" s="2"/>
      <c r="C141" s="2"/>
      <c r="D141" s="2"/>
      <c r="E141" s="2"/>
      <c r="F141" s="2"/>
      <c r="G141" s="2"/>
    </row>
    <row r="142" spans="1:7" x14ac:dyDescent="0.2">
      <c r="A142" s="2"/>
      <c r="B142" s="2"/>
      <c r="C142" s="2"/>
      <c r="D142" s="2"/>
      <c r="E142" s="2"/>
      <c r="F142" s="2"/>
      <c r="G142" s="2"/>
    </row>
    <row r="143" spans="1:7" x14ac:dyDescent="0.2">
      <c r="A143" s="2"/>
      <c r="B143" s="2"/>
      <c r="C143" s="2"/>
      <c r="D143" s="2"/>
      <c r="E143" s="2"/>
      <c r="F143" s="2"/>
      <c r="G143" s="2"/>
    </row>
    <row r="144" spans="1:7" x14ac:dyDescent="0.2">
      <c r="A144" s="2"/>
      <c r="B144" s="2"/>
      <c r="C144" s="2"/>
      <c r="D144" s="2"/>
      <c r="E144" s="2"/>
      <c r="F144" s="2"/>
      <c r="G144" s="2"/>
    </row>
    <row r="145" spans="1:7" x14ac:dyDescent="0.2">
      <c r="A145" s="2"/>
      <c r="B145" s="2"/>
      <c r="C145" s="2"/>
      <c r="D145" s="2"/>
      <c r="E145" s="2"/>
      <c r="F145" s="2"/>
      <c r="G145" s="2"/>
    </row>
    <row r="146" spans="1:7" x14ac:dyDescent="0.2">
      <c r="A146" s="2"/>
      <c r="B146" s="2"/>
      <c r="C146" s="2"/>
      <c r="D146" s="2"/>
      <c r="E146" s="2"/>
      <c r="F146" s="2"/>
      <c r="G146" s="2"/>
    </row>
    <row r="147" spans="1:7" x14ac:dyDescent="0.2">
      <c r="A147" s="2"/>
      <c r="B147" s="2"/>
      <c r="C147" s="2"/>
      <c r="D147" s="2"/>
      <c r="E147" s="2"/>
      <c r="F147" s="2"/>
      <c r="G147" s="2"/>
    </row>
    <row r="148" spans="1:7" x14ac:dyDescent="0.2">
      <c r="A148" s="2"/>
      <c r="B148" s="2"/>
      <c r="C148" s="2"/>
      <c r="D148" s="2"/>
      <c r="E148" s="2"/>
      <c r="F148" s="2"/>
      <c r="G148" s="2"/>
    </row>
    <row r="149" spans="1:7" x14ac:dyDescent="0.2">
      <c r="A149" s="2"/>
      <c r="B149" s="2"/>
      <c r="C149" s="2"/>
      <c r="D149" s="2"/>
      <c r="E149" s="2"/>
      <c r="F149" s="2"/>
      <c r="G149" s="2"/>
    </row>
    <row r="150" spans="1:7" x14ac:dyDescent="0.2">
      <c r="A150" s="2"/>
      <c r="B150" s="2"/>
      <c r="C150" s="2"/>
      <c r="D150" s="2"/>
      <c r="E150" s="2"/>
      <c r="F150" s="2"/>
      <c r="G150" s="2"/>
    </row>
    <row r="151" spans="1:7" x14ac:dyDescent="0.2">
      <c r="A151" s="2"/>
      <c r="B151" s="2"/>
      <c r="C151" s="2"/>
      <c r="D151" s="2"/>
      <c r="E151" s="2"/>
      <c r="F151" s="2"/>
      <c r="G151" s="2"/>
    </row>
    <row r="152" spans="1:7" x14ac:dyDescent="0.2">
      <c r="A152" s="2"/>
      <c r="B152" s="2"/>
      <c r="C152" s="2"/>
      <c r="D152" s="2"/>
      <c r="E152" s="2"/>
      <c r="F152" s="2"/>
      <c r="G152" s="2"/>
    </row>
    <row r="153" spans="1:7" x14ac:dyDescent="0.2">
      <c r="A153" s="2"/>
      <c r="B153" s="2"/>
      <c r="C153" s="2"/>
      <c r="D153" s="2"/>
      <c r="E153" s="2"/>
      <c r="F153" s="2"/>
      <c r="G153" s="2"/>
    </row>
    <row r="154" spans="1:7" x14ac:dyDescent="0.2">
      <c r="A154" s="2"/>
      <c r="B154" s="2"/>
      <c r="C154" s="2"/>
      <c r="D154" s="2"/>
      <c r="E154" s="2"/>
      <c r="F154" s="2"/>
      <c r="G154" s="2"/>
    </row>
    <row r="155" spans="1:7" x14ac:dyDescent="0.2">
      <c r="A155" s="2"/>
      <c r="B155" s="2"/>
      <c r="C155" s="2"/>
      <c r="D155" s="2"/>
      <c r="E155" s="2"/>
      <c r="F155" s="2"/>
      <c r="G155" s="2"/>
    </row>
    <row r="156" spans="1:7" x14ac:dyDescent="0.2">
      <c r="A156" s="2"/>
      <c r="B156" s="2"/>
      <c r="C156" s="2"/>
      <c r="D156" s="2"/>
      <c r="E156" s="2"/>
      <c r="F156" s="2"/>
      <c r="G156" s="2"/>
    </row>
    <row r="157" spans="1:7" x14ac:dyDescent="0.2">
      <c r="A157" s="2"/>
      <c r="B157" s="2"/>
      <c r="C157" s="2"/>
      <c r="D157" s="2"/>
      <c r="E157" s="2"/>
      <c r="F157" s="2"/>
      <c r="G157" s="2"/>
    </row>
    <row r="158" spans="1:7" x14ac:dyDescent="0.2">
      <c r="A158" s="2"/>
      <c r="B158" s="2"/>
      <c r="C158" s="2"/>
      <c r="D158" s="2"/>
      <c r="E158" s="2"/>
      <c r="F158" s="2"/>
      <c r="G158" s="2"/>
    </row>
    <row r="159" spans="1:7" x14ac:dyDescent="0.2">
      <c r="A159" s="2"/>
      <c r="B159" s="2"/>
      <c r="C159" s="2"/>
      <c r="D159" s="2"/>
      <c r="E159" s="2"/>
      <c r="F159" s="2"/>
      <c r="G159" s="2"/>
    </row>
    <row r="160" spans="1:7" x14ac:dyDescent="0.2">
      <c r="A160" s="2"/>
      <c r="B160" s="2"/>
      <c r="C160" s="2"/>
      <c r="D160" s="2"/>
      <c r="E160" s="2"/>
      <c r="F160" s="2"/>
      <c r="G160" s="2"/>
    </row>
    <row r="161" spans="1:7" x14ac:dyDescent="0.2">
      <c r="A161" s="2"/>
      <c r="B161" s="2"/>
      <c r="C161" s="2"/>
      <c r="D161" s="2"/>
      <c r="E161" s="2"/>
      <c r="F161" s="2"/>
      <c r="G161" s="2"/>
    </row>
    <row r="162" spans="1:7" x14ac:dyDescent="0.2">
      <c r="A162" s="2"/>
      <c r="B162" s="2"/>
      <c r="C162" s="2"/>
      <c r="D162" s="2"/>
      <c r="E162" s="2"/>
      <c r="F162" s="2"/>
      <c r="G162" s="2"/>
    </row>
    <row r="163" spans="1:7" x14ac:dyDescent="0.2">
      <c r="A163" s="2"/>
      <c r="B163" s="2"/>
      <c r="C163" s="2"/>
      <c r="D163" s="2"/>
      <c r="E163" s="2"/>
      <c r="F163" s="2"/>
      <c r="G163" s="2"/>
    </row>
    <row r="164" spans="1:7" x14ac:dyDescent="0.2">
      <c r="A164" s="2"/>
      <c r="B164" s="2"/>
      <c r="C164" s="2"/>
      <c r="D164" s="2"/>
      <c r="E164" s="2"/>
      <c r="F164" s="2"/>
      <c r="G164" s="2"/>
    </row>
    <row r="165" spans="1:7" x14ac:dyDescent="0.2">
      <c r="A165" s="2"/>
      <c r="B165" s="2"/>
      <c r="C165" s="2"/>
      <c r="D165" s="2"/>
      <c r="E165" s="2"/>
      <c r="F165" s="2"/>
      <c r="G165" s="2"/>
    </row>
    <row r="166" spans="1:7" x14ac:dyDescent="0.2">
      <c r="A166" s="2"/>
      <c r="B166" s="2"/>
      <c r="C166" s="2"/>
      <c r="D166" s="2"/>
      <c r="E166" s="2"/>
      <c r="F166" s="2"/>
      <c r="G166" s="2"/>
    </row>
    <row r="167" spans="1:7" x14ac:dyDescent="0.2">
      <c r="A167" s="2"/>
      <c r="B167" s="2"/>
      <c r="C167" s="2"/>
      <c r="D167" s="2"/>
      <c r="E167" s="2"/>
      <c r="F167" s="2"/>
      <c r="G167" s="2"/>
    </row>
    <row r="168" spans="1:7" x14ac:dyDescent="0.2">
      <c r="A168" s="2"/>
      <c r="B168" s="2"/>
      <c r="C168" s="2"/>
      <c r="D168" s="2"/>
      <c r="E168" s="2"/>
      <c r="F168" s="2"/>
      <c r="G168" s="2"/>
    </row>
    <row r="169" spans="1:7" x14ac:dyDescent="0.2">
      <c r="A169" s="2"/>
      <c r="B169" s="2"/>
      <c r="C169" s="2"/>
      <c r="D169" s="2"/>
      <c r="E169" s="2"/>
      <c r="F169" s="2"/>
      <c r="G169" s="2"/>
    </row>
    <row r="170" spans="1:7" x14ac:dyDescent="0.2">
      <c r="A170" s="2"/>
      <c r="B170" s="2"/>
      <c r="C170" s="2"/>
      <c r="D170" s="2"/>
      <c r="E170" s="2"/>
      <c r="F170" s="2"/>
      <c r="G170" s="2"/>
    </row>
    <row r="171" spans="1:7" x14ac:dyDescent="0.2">
      <c r="A171" s="2"/>
      <c r="B171" s="2"/>
      <c r="C171" s="2"/>
      <c r="D171" s="2"/>
      <c r="E171" s="2"/>
      <c r="F171" s="2"/>
      <c r="G171" s="2"/>
    </row>
    <row r="172" spans="1:7" x14ac:dyDescent="0.2">
      <c r="A172" s="2"/>
      <c r="B172" s="2"/>
      <c r="C172" s="2"/>
      <c r="D172" s="2"/>
      <c r="E172" s="2"/>
      <c r="F172" s="2"/>
      <c r="G172" s="2"/>
    </row>
    <row r="173" spans="1:7" x14ac:dyDescent="0.2">
      <c r="A173" s="2"/>
      <c r="B173" s="2"/>
      <c r="C173" s="2"/>
      <c r="D173" s="2"/>
      <c r="E173" s="2"/>
      <c r="F173" s="2"/>
      <c r="G173" s="2"/>
    </row>
    <row r="174" spans="1:7" x14ac:dyDescent="0.2">
      <c r="A174" s="2"/>
      <c r="B174" s="2"/>
      <c r="C174" s="2"/>
      <c r="D174" s="2"/>
      <c r="E174" s="2"/>
      <c r="F174" s="2"/>
      <c r="G174" s="2"/>
    </row>
    <row r="175" spans="1:7" x14ac:dyDescent="0.2">
      <c r="A175" s="2"/>
      <c r="B175" s="2"/>
      <c r="C175" s="2"/>
      <c r="D175" s="2"/>
      <c r="E175" s="2"/>
      <c r="F175" s="2"/>
      <c r="G175" s="2"/>
    </row>
    <row r="176" spans="1:7" x14ac:dyDescent="0.2">
      <c r="A176" s="2"/>
      <c r="B176" s="2"/>
      <c r="C176" s="2"/>
      <c r="D176" s="2"/>
      <c r="E176" s="2"/>
      <c r="F176" s="2"/>
      <c r="G176" s="2"/>
    </row>
    <row r="177" spans="1:7" x14ac:dyDescent="0.2">
      <c r="A177" s="2"/>
      <c r="B177" s="2"/>
      <c r="C177" s="2"/>
      <c r="D177" s="2"/>
      <c r="E177" s="2"/>
      <c r="F177" s="2"/>
      <c r="G177" s="2"/>
    </row>
    <row r="178" spans="1:7" x14ac:dyDescent="0.2">
      <c r="A178" s="2"/>
      <c r="B178" s="2"/>
      <c r="C178" s="2"/>
      <c r="D178" s="2"/>
      <c r="E178" s="2"/>
      <c r="F178" s="2"/>
      <c r="G178" s="2"/>
    </row>
    <row r="179" spans="1:7" x14ac:dyDescent="0.2">
      <c r="A179" s="2"/>
      <c r="B179" s="2"/>
      <c r="C179" s="2"/>
      <c r="D179" s="2"/>
      <c r="E179" s="2"/>
      <c r="F179" s="2"/>
      <c r="G179" s="2"/>
    </row>
    <row r="180" spans="1:7" x14ac:dyDescent="0.2">
      <c r="A180" s="2"/>
      <c r="B180" s="2"/>
      <c r="C180" s="2"/>
      <c r="D180" s="2"/>
      <c r="E180" s="2"/>
      <c r="F180" s="2"/>
      <c r="G180" s="2"/>
    </row>
    <row r="181" spans="1:7" x14ac:dyDescent="0.2">
      <c r="A181" s="2"/>
      <c r="B181" s="2"/>
      <c r="C181" s="2"/>
      <c r="D181" s="2"/>
      <c r="E181" s="2"/>
      <c r="F181" s="2"/>
      <c r="G181" s="2"/>
    </row>
    <row r="182" spans="1:7" x14ac:dyDescent="0.2">
      <c r="A182" s="2"/>
      <c r="B182" s="2"/>
      <c r="C182" s="2"/>
      <c r="D182" s="2"/>
      <c r="E182" s="2"/>
      <c r="F182" s="2"/>
      <c r="G182" s="2"/>
    </row>
    <row r="183" spans="1:7" x14ac:dyDescent="0.2">
      <c r="A183" s="2"/>
      <c r="B183" s="2"/>
      <c r="C183" s="2"/>
      <c r="D183" s="2"/>
      <c r="E183" s="2"/>
      <c r="F183" s="2"/>
      <c r="G183" s="2"/>
    </row>
    <row r="184" spans="1:7" x14ac:dyDescent="0.2">
      <c r="A184" s="2"/>
      <c r="B184" s="2"/>
      <c r="C184" s="2"/>
      <c r="D184" s="2"/>
      <c r="E184" s="2"/>
      <c r="F184" s="2"/>
      <c r="G184" s="2"/>
    </row>
    <row r="185" spans="1:7" x14ac:dyDescent="0.2">
      <c r="A185" s="2"/>
      <c r="B185" s="2"/>
      <c r="C185" s="2"/>
      <c r="D185" s="2"/>
      <c r="E185" s="2"/>
      <c r="F185" s="2"/>
      <c r="G185" s="2"/>
    </row>
    <row r="186" spans="1:7" x14ac:dyDescent="0.2">
      <c r="A186" s="2"/>
      <c r="B186" s="2"/>
      <c r="C186" s="2"/>
      <c r="D186" s="2"/>
      <c r="E186" s="2"/>
      <c r="F186" s="2"/>
      <c r="G186" s="2"/>
    </row>
    <row r="187" spans="1:7" x14ac:dyDescent="0.2">
      <c r="A187" s="2"/>
      <c r="B187" s="2"/>
      <c r="C187" s="2"/>
      <c r="D187" s="2"/>
      <c r="E187" s="2"/>
      <c r="F187" s="2"/>
      <c r="G187" s="2"/>
    </row>
    <row r="188" spans="1:7" x14ac:dyDescent="0.2">
      <c r="A188" s="2"/>
      <c r="B188" s="2"/>
      <c r="C188" s="2"/>
      <c r="D188" s="2"/>
      <c r="E188" s="2"/>
      <c r="F188" s="2"/>
      <c r="G188" s="2"/>
    </row>
    <row r="189" spans="1:7" x14ac:dyDescent="0.2">
      <c r="A189" s="2"/>
      <c r="B189" s="2"/>
      <c r="C189" s="2"/>
      <c r="D189" s="2"/>
      <c r="E189" s="2"/>
      <c r="F189" s="2"/>
      <c r="G189" s="2"/>
    </row>
    <row r="190" spans="1:7" x14ac:dyDescent="0.2">
      <c r="A190" s="2"/>
      <c r="B190" s="2"/>
      <c r="C190" s="2"/>
      <c r="D190" s="2"/>
      <c r="E190" s="2"/>
      <c r="F190" s="2"/>
      <c r="G190" s="2"/>
    </row>
    <row r="191" spans="1:7" x14ac:dyDescent="0.2">
      <c r="A191" s="2"/>
      <c r="B191" s="2"/>
      <c r="C191" s="2"/>
      <c r="D191" s="2"/>
      <c r="E191" s="2"/>
      <c r="F191" s="2"/>
      <c r="G191" s="2"/>
    </row>
    <row r="192" spans="1:7" x14ac:dyDescent="0.2">
      <c r="A192" s="2"/>
      <c r="B192" s="2"/>
      <c r="C192" s="2"/>
      <c r="D192" s="2"/>
      <c r="E192" s="2"/>
      <c r="F192" s="2"/>
      <c r="G192" s="2"/>
    </row>
    <row r="193" spans="1:7" x14ac:dyDescent="0.2">
      <c r="A193" s="2"/>
      <c r="B193" s="2"/>
      <c r="C193" s="2"/>
      <c r="D193" s="2"/>
      <c r="E193" s="2"/>
      <c r="F193" s="2"/>
      <c r="G193" s="2"/>
    </row>
    <row r="194" spans="1:7" x14ac:dyDescent="0.2">
      <c r="A194" s="2"/>
      <c r="B194" s="2"/>
      <c r="C194" s="2"/>
      <c r="D194" s="2"/>
      <c r="E194" s="2"/>
      <c r="F194" s="2"/>
      <c r="G194" s="2"/>
    </row>
    <row r="195" spans="1:7" x14ac:dyDescent="0.2">
      <c r="A195" s="2"/>
      <c r="B195" s="2"/>
      <c r="C195" s="2"/>
      <c r="D195" s="2"/>
      <c r="E195" s="2"/>
      <c r="F195" s="2"/>
      <c r="G195" s="2"/>
    </row>
    <row r="196" spans="1:7" x14ac:dyDescent="0.2">
      <c r="A196" s="2"/>
      <c r="B196" s="2"/>
      <c r="C196" s="2"/>
      <c r="D196" s="2"/>
      <c r="E196" s="2"/>
      <c r="F196" s="2"/>
      <c r="G196" s="2"/>
    </row>
    <row r="197" spans="1:7" x14ac:dyDescent="0.2">
      <c r="A197" s="2"/>
      <c r="B197" s="2"/>
      <c r="C197" s="2"/>
      <c r="D197" s="2"/>
      <c r="E197" s="2"/>
      <c r="F197" s="2"/>
      <c r="G197" s="2"/>
    </row>
    <row r="198" spans="1:7" x14ac:dyDescent="0.2">
      <c r="A198" s="2"/>
      <c r="B198" s="2"/>
      <c r="C198" s="2"/>
      <c r="D198" s="2"/>
      <c r="E198" s="2"/>
      <c r="F198" s="2"/>
      <c r="G198" s="2"/>
    </row>
    <row r="199" spans="1:7" x14ac:dyDescent="0.2">
      <c r="A199" s="2"/>
      <c r="B199" s="2"/>
      <c r="C199" s="2"/>
      <c r="D199" s="2"/>
      <c r="E199" s="2"/>
      <c r="F199" s="2"/>
      <c r="G199" s="2"/>
    </row>
    <row r="200" spans="1:7" x14ac:dyDescent="0.2">
      <c r="A200" s="2"/>
      <c r="B200" s="2"/>
      <c r="C200" s="2"/>
      <c r="D200" s="2"/>
      <c r="E200" s="2"/>
      <c r="F200" s="2"/>
      <c r="G200" s="2"/>
    </row>
    <row r="201" spans="1:7" x14ac:dyDescent="0.2">
      <c r="A201" s="2"/>
      <c r="B201" s="2"/>
      <c r="C201" s="2"/>
      <c r="D201" s="2"/>
      <c r="E201" s="2"/>
      <c r="F201" s="2"/>
      <c r="G201" s="2"/>
    </row>
    <row r="202" spans="1:7" x14ac:dyDescent="0.2">
      <c r="A202" s="2"/>
      <c r="B202" s="2"/>
      <c r="C202" s="2"/>
      <c r="D202" s="2"/>
      <c r="E202" s="2"/>
      <c r="F202" s="2"/>
      <c r="G202" s="2"/>
    </row>
    <row r="203" spans="1:7" x14ac:dyDescent="0.2">
      <c r="A203" s="2"/>
      <c r="B203" s="2"/>
      <c r="C203" s="2"/>
      <c r="D203" s="2"/>
      <c r="E203" s="2"/>
      <c r="F203" s="2"/>
      <c r="G203" s="2"/>
    </row>
    <row r="204" spans="1:7" x14ac:dyDescent="0.2">
      <c r="A204" s="2"/>
      <c r="B204" s="2"/>
      <c r="C204" s="2"/>
      <c r="D204" s="2"/>
      <c r="E204" s="2"/>
      <c r="F204" s="2"/>
      <c r="G204" s="2"/>
    </row>
    <row r="205" spans="1:7" x14ac:dyDescent="0.2">
      <c r="A205" s="2"/>
      <c r="B205" s="2"/>
      <c r="C205" s="2"/>
      <c r="D205" s="2"/>
      <c r="E205" s="2"/>
      <c r="F205" s="2"/>
      <c r="G205" s="2"/>
    </row>
    <row r="206" spans="1:7" x14ac:dyDescent="0.2">
      <c r="A206" s="2"/>
      <c r="B206" s="2"/>
      <c r="C206" s="2"/>
      <c r="D206" s="2"/>
      <c r="E206" s="2"/>
      <c r="F206" s="2"/>
      <c r="G206" s="2"/>
    </row>
    <row r="207" spans="1:7" x14ac:dyDescent="0.2">
      <c r="A207" s="2"/>
      <c r="B207" s="2"/>
      <c r="C207" s="2"/>
      <c r="D207" s="2"/>
      <c r="E207" s="2"/>
      <c r="F207" s="2"/>
      <c r="G207" s="2"/>
    </row>
    <row r="208" spans="1:7" x14ac:dyDescent="0.2">
      <c r="A208" s="2"/>
      <c r="B208" s="2"/>
      <c r="C208" s="2"/>
      <c r="D208" s="2"/>
      <c r="E208" s="2"/>
      <c r="F208" s="2"/>
      <c r="G208" s="2"/>
    </row>
    <row r="209" spans="1:7" x14ac:dyDescent="0.2">
      <c r="A209" s="2"/>
      <c r="B209" s="2"/>
      <c r="C209" s="2"/>
      <c r="D209" s="2"/>
      <c r="E209" s="2"/>
      <c r="F209" s="2"/>
      <c r="G209" s="2"/>
    </row>
    <row r="210" spans="1:7" x14ac:dyDescent="0.2">
      <c r="A210" s="2"/>
      <c r="B210" s="2"/>
      <c r="C210" s="2"/>
      <c r="D210" s="2"/>
      <c r="E210" s="2"/>
      <c r="F210" s="2"/>
      <c r="G210" s="2"/>
    </row>
    <row r="211" spans="1:7" x14ac:dyDescent="0.2">
      <c r="A211" s="2"/>
      <c r="B211" s="2"/>
      <c r="C211" s="2"/>
      <c r="D211" s="2"/>
      <c r="E211" s="2"/>
      <c r="F211" s="2"/>
      <c r="G211" s="2"/>
    </row>
    <row r="212" spans="1:7" x14ac:dyDescent="0.2">
      <c r="A212" s="2"/>
      <c r="B212" s="2"/>
      <c r="C212" s="2"/>
      <c r="D212" s="2"/>
      <c r="E212" s="2"/>
      <c r="F212" s="2"/>
      <c r="G212" s="2"/>
    </row>
    <row r="213" spans="1:7" x14ac:dyDescent="0.2">
      <c r="A213" s="2"/>
      <c r="B213" s="2"/>
      <c r="C213" s="2"/>
      <c r="D213" s="2"/>
      <c r="E213" s="2"/>
      <c r="F213" s="2"/>
      <c r="G213" s="2"/>
    </row>
    <row r="214" spans="1:7" x14ac:dyDescent="0.2">
      <c r="A214" s="2"/>
      <c r="B214" s="2"/>
      <c r="C214" s="2"/>
      <c r="D214" s="2"/>
      <c r="E214" s="2"/>
      <c r="F214" s="2"/>
      <c r="G214" s="2"/>
    </row>
    <row r="215" spans="1:7" x14ac:dyDescent="0.2">
      <c r="A215" s="2"/>
      <c r="B215" s="2"/>
      <c r="C215" s="2"/>
      <c r="D215" s="2"/>
      <c r="E215" s="2"/>
      <c r="F215" s="2"/>
      <c r="G215" s="2"/>
    </row>
    <row r="216" spans="1:7" x14ac:dyDescent="0.2">
      <c r="A216" s="2"/>
      <c r="B216" s="2"/>
      <c r="C216" s="2"/>
      <c r="D216" s="2"/>
      <c r="E216" s="2"/>
      <c r="F216" s="2"/>
      <c r="G216" s="2"/>
    </row>
    <row r="217" spans="1:7" x14ac:dyDescent="0.2">
      <c r="A217" s="2"/>
      <c r="B217" s="2"/>
      <c r="C217" s="2"/>
      <c r="D217" s="2"/>
      <c r="E217" s="2"/>
      <c r="F217" s="2"/>
      <c r="G217" s="2"/>
    </row>
    <row r="218" spans="1:7" x14ac:dyDescent="0.2">
      <c r="A218" s="2"/>
      <c r="B218" s="2"/>
      <c r="C218" s="2"/>
      <c r="D218" s="2"/>
      <c r="E218" s="2"/>
      <c r="F218" s="2"/>
      <c r="G218" s="2"/>
    </row>
    <row r="219" spans="1:7" x14ac:dyDescent="0.2">
      <c r="A219" s="2"/>
      <c r="B219" s="2"/>
      <c r="C219" s="2"/>
      <c r="D219" s="2"/>
      <c r="E219" s="2"/>
      <c r="F219" s="2"/>
      <c r="G219" s="2"/>
    </row>
    <row r="220" spans="1:7" x14ac:dyDescent="0.2">
      <c r="A220" s="2"/>
      <c r="B220" s="2"/>
      <c r="C220" s="2"/>
      <c r="D220" s="2"/>
      <c r="E220" s="2"/>
      <c r="F220" s="2"/>
      <c r="G220" s="2"/>
    </row>
    <row r="221" spans="1:7" x14ac:dyDescent="0.2">
      <c r="A221" s="2"/>
      <c r="B221" s="2"/>
      <c r="C221" s="2"/>
      <c r="D221" s="2"/>
      <c r="E221" s="2"/>
      <c r="F221" s="2"/>
      <c r="G221" s="2"/>
    </row>
    <row r="222" spans="1:7" x14ac:dyDescent="0.2">
      <c r="A222" s="2"/>
      <c r="B222" s="2"/>
      <c r="C222" s="2"/>
      <c r="D222" s="2"/>
      <c r="E222" s="2"/>
      <c r="F222" s="2"/>
      <c r="G222" s="2"/>
    </row>
    <row r="223" spans="1:7" x14ac:dyDescent="0.2">
      <c r="A223" s="2"/>
      <c r="B223" s="2"/>
      <c r="C223" s="2"/>
      <c r="D223" s="2"/>
      <c r="E223" s="2"/>
      <c r="F223" s="2"/>
      <c r="G223" s="2"/>
    </row>
    <row r="224" spans="1:7" x14ac:dyDescent="0.2">
      <c r="A224" s="2"/>
      <c r="B224" s="2"/>
      <c r="C224" s="2"/>
      <c r="D224" s="2"/>
      <c r="E224" s="2"/>
      <c r="F224" s="2"/>
      <c r="G224" s="2"/>
    </row>
    <row r="225" spans="1:7" x14ac:dyDescent="0.2">
      <c r="A225" s="2"/>
      <c r="B225" s="2"/>
      <c r="C225" s="2"/>
      <c r="D225" s="2"/>
      <c r="E225" s="2"/>
      <c r="F225" s="2"/>
      <c r="G225" s="2"/>
    </row>
    <row r="226" spans="1:7" x14ac:dyDescent="0.2">
      <c r="A226" s="2"/>
      <c r="B226" s="2"/>
      <c r="C226" s="2"/>
      <c r="D226" s="2"/>
      <c r="E226" s="2"/>
      <c r="F226" s="2"/>
      <c r="G226" s="2"/>
    </row>
    <row r="227" spans="1:7" x14ac:dyDescent="0.2">
      <c r="A227" s="2"/>
      <c r="B227" s="2"/>
      <c r="C227" s="2"/>
      <c r="D227" s="2"/>
      <c r="E227" s="2"/>
      <c r="F227" s="2"/>
      <c r="G227" s="2"/>
    </row>
    <row r="228" spans="1:7" x14ac:dyDescent="0.2">
      <c r="A228" s="2"/>
      <c r="B228" s="2"/>
      <c r="C228" s="2"/>
      <c r="D228" s="2"/>
      <c r="E228" s="2"/>
      <c r="F228" s="2"/>
      <c r="G228" s="2"/>
    </row>
    <row r="229" spans="1:7" x14ac:dyDescent="0.2">
      <c r="A229" s="2"/>
      <c r="B229" s="2"/>
      <c r="C229" s="2"/>
      <c r="D229" s="2"/>
      <c r="E229" s="2"/>
      <c r="F229" s="2"/>
      <c r="G229" s="2"/>
    </row>
    <row r="230" spans="1:7" x14ac:dyDescent="0.2">
      <c r="A230" s="2"/>
      <c r="B230" s="2"/>
      <c r="C230" s="2"/>
      <c r="D230" s="2"/>
      <c r="E230" s="2"/>
      <c r="F230" s="2"/>
      <c r="G230" s="2"/>
    </row>
    <row r="231" spans="1:7" x14ac:dyDescent="0.2">
      <c r="A231" s="2"/>
      <c r="B231" s="2"/>
      <c r="C231" s="2"/>
      <c r="D231" s="2"/>
      <c r="E231" s="2"/>
      <c r="F231" s="2"/>
      <c r="G231" s="2"/>
    </row>
    <row r="232" spans="1:7" x14ac:dyDescent="0.2">
      <c r="A232" s="2"/>
      <c r="B232" s="2"/>
      <c r="C232" s="2"/>
      <c r="D232" s="2"/>
      <c r="E232" s="2"/>
      <c r="F232" s="2"/>
      <c r="G232" s="2"/>
    </row>
    <row r="233" spans="1:7" x14ac:dyDescent="0.2">
      <c r="A233" s="2"/>
      <c r="B233" s="2"/>
      <c r="C233" s="2"/>
      <c r="D233" s="2"/>
      <c r="E233" s="2"/>
      <c r="F233" s="2"/>
      <c r="G233" s="2"/>
    </row>
    <row r="234" spans="1:7" x14ac:dyDescent="0.2">
      <c r="A234" s="2"/>
      <c r="B234" s="2"/>
      <c r="C234" s="2"/>
      <c r="D234" s="2"/>
      <c r="E234" s="2"/>
      <c r="F234" s="2"/>
      <c r="G234" s="2"/>
    </row>
    <row r="235" spans="1:7" x14ac:dyDescent="0.2">
      <c r="A235" s="2"/>
      <c r="B235" s="2"/>
      <c r="C235" s="2"/>
      <c r="D235" s="2"/>
      <c r="E235" s="2"/>
      <c r="F235" s="2"/>
      <c r="G235" s="2"/>
    </row>
    <row r="236" spans="1:7" x14ac:dyDescent="0.2">
      <c r="A236" s="2"/>
      <c r="B236" s="2"/>
      <c r="C236" s="2"/>
      <c r="D236" s="2"/>
      <c r="E236" s="2"/>
      <c r="F236" s="2"/>
      <c r="G236" s="2"/>
    </row>
    <row r="237" spans="1:7" x14ac:dyDescent="0.2">
      <c r="A237" s="2"/>
      <c r="B237" s="2"/>
      <c r="C237" s="2"/>
      <c r="D237" s="2"/>
      <c r="E237" s="2"/>
      <c r="F237" s="2"/>
      <c r="G237" s="2"/>
    </row>
    <row r="238" spans="1:7" x14ac:dyDescent="0.2">
      <c r="A238" s="2"/>
      <c r="B238" s="2"/>
      <c r="C238" s="2"/>
      <c r="D238" s="2"/>
      <c r="E238" s="2"/>
      <c r="F238" s="2"/>
      <c r="G238" s="2"/>
    </row>
    <row r="239" spans="1:7" x14ac:dyDescent="0.2">
      <c r="A239" s="2"/>
      <c r="B239" s="2"/>
      <c r="C239" s="2"/>
      <c r="D239" s="2"/>
      <c r="E239" s="2"/>
      <c r="F239" s="2"/>
      <c r="G239" s="2"/>
    </row>
    <row r="240" spans="1:7" x14ac:dyDescent="0.2">
      <c r="A240" s="2"/>
      <c r="B240" s="2"/>
      <c r="C240" s="2"/>
      <c r="D240" s="2"/>
      <c r="E240" s="2"/>
      <c r="F240" s="2"/>
      <c r="G240" s="2"/>
    </row>
    <row r="241" spans="1:7" x14ac:dyDescent="0.2">
      <c r="A241" s="2"/>
      <c r="B241" s="2"/>
      <c r="C241" s="2"/>
      <c r="D241" s="2"/>
      <c r="E241" s="2"/>
      <c r="F241" s="2"/>
      <c r="G241" s="2"/>
    </row>
    <row r="242" spans="1:7" x14ac:dyDescent="0.2">
      <c r="A242" s="2"/>
      <c r="B242" s="2"/>
      <c r="C242" s="2"/>
      <c r="D242" s="2"/>
      <c r="E242" s="2"/>
      <c r="F242" s="2"/>
      <c r="G242" s="2"/>
    </row>
    <row r="243" spans="1:7" x14ac:dyDescent="0.2">
      <c r="A243" s="2"/>
      <c r="B243" s="2"/>
      <c r="C243" s="2"/>
      <c r="D243" s="2"/>
      <c r="E243" s="2"/>
      <c r="F243" s="2"/>
      <c r="G243" s="2"/>
    </row>
    <row r="244" spans="1:7" x14ac:dyDescent="0.2">
      <c r="A244" s="2"/>
      <c r="B244" s="2"/>
      <c r="C244" s="2"/>
      <c r="D244" s="2"/>
      <c r="E244" s="2"/>
      <c r="F244" s="2"/>
      <c r="G244" s="2"/>
    </row>
    <row r="245" spans="1:7" x14ac:dyDescent="0.2">
      <c r="A245" s="2"/>
      <c r="B245" s="2"/>
      <c r="C245" s="2"/>
      <c r="D245" s="2"/>
      <c r="E245" s="2"/>
      <c r="F245" s="2"/>
      <c r="G245" s="2"/>
    </row>
    <row r="246" spans="1:7" x14ac:dyDescent="0.2">
      <c r="A246" s="2"/>
      <c r="B246" s="2"/>
      <c r="C246" s="2"/>
      <c r="D246" s="2"/>
      <c r="E246" s="2"/>
      <c r="F246" s="2"/>
      <c r="G246" s="2"/>
    </row>
    <row r="247" spans="1:7" x14ac:dyDescent="0.2">
      <c r="A247" s="2"/>
      <c r="B247" s="2"/>
      <c r="C247" s="2"/>
      <c r="D247" s="2"/>
      <c r="E247" s="2"/>
      <c r="F247" s="2"/>
      <c r="G247" s="2"/>
    </row>
    <row r="248" spans="1:7" x14ac:dyDescent="0.2">
      <c r="A248" s="2"/>
      <c r="B248" s="2"/>
      <c r="C248" s="2"/>
      <c r="D248" s="2"/>
      <c r="E248" s="2"/>
      <c r="F248" s="2"/>
      <c r="G248" s="2"/>
    </row>
    <row r="249" spans="1:7" x14ac:dyDescent="0.2">
      <c r="A249" s="2"/>
      <c r="B249" s="2"/>
      <c r="C249" s="2"/>
      <c r="D249" s="2"/>
      <c r="E249" s="2"/>
      <c r="F249" s="2"/>
      <c r="G249" s="2"/>
    </row>
    <row r="250" spans="1:7" x14ac:dyDescent="0.2">
      <c r="A250" s="2"/>
      <c r="B250" s="2"/>
      <c r="C250" s="2"/>
      <c r="D250" s="2"/>
      <c r="E250" s="2"/>
      <c r="F250" s="2"/>
      <c r="G250" s="2"/>
    </row>
    <row r="251" spans="1:7" x14ac:dyDescent="0.2">
      <c r="A251" s="2"/>
      <c r="B251" s="2"/>
      <c r="C251" s="2"/>
      <c r="D251" s="2"/>
      <c r="E251" s="2"/>
      <c r="F251" s="2"/>
      <c r="G251" s="2"/>
    </row>
    <row r="252" spans="1:7" x14ac:dyDescent="0.2">
      <c r="A252" s="2"/>
      <c r="B252" s="2"/>
      <c r="C252" s="2"/>
      <c r="D252" s="2"/>
      <c r="E252" s="2"/>
      <c r="F252" s="2"/>
      <c r="G252" s="2"/>
    </row>
    <row r="253" spans="1:7" x14ac:dyDescent="0.2">
      <c r="A253" s="2"/>
      <c r="B253" s="2"/>
      <c r="C253" s="2"/>
      <c r="D253" s="2"/>
      <c r="E253" s="2"/>
      <c r="F253" s="2"/>
      <c r="G253" s="2"/>
    </row>
    <row r="254" spans="1:7" x14ac:dyDescent="0.2">
      <c r="A254" s="2"/>
      <c r="B254" s="2"/>
      <c r="C254" s="2"/>
      <c r="D254" s="2"/>
      <c r="E254" s="2"/>
      <c r="F254" s="2"/>
      <c r="G254" s="2"/>
    </row>
    <row r="255" spans="1:7" x14ac:dyDescent="0.2">
      <c r="A255" s="2"/>
      <c r="B255" s="2"/>
      <c r="C255" s="2"/>
      <c r="D255" s="2"/>
      <c r="E255" s="2"/>
      <c r="F255" s="2"/>
      <c r="G255" s="2"/>
    </row>
    <row r="256" spans="1:7" x14ac:dyDescent="0.2">
      <c r="A256" s="2"/>
      <c r="B256" s="2"/>
      <c r="C256" s="2"/>
      <c r="D256" s="2"/>
      <c r="E256" s="2"/>
      <c r="F256" s="2"/>
      <c r="G256" s="2"/>
    </row>
    <row r="257" spans="1:7" x14ac:dyDescent="0.2">
      <c r="A257" s="2"/>
      <c r="B257" s="2"/>
      <c r="C257" s="2"/>
      <c r="D257" s="2"/>
      <c r="E257" s="2"/>
      <c r="F257" s="2"/>
      <c r="G257" s="2"/>
    </row>
    <row r="258" spans="1:7" x14ac:dyDescent="0.2">
      <c r="A258" s="2"/>
      <c r="B258" s="2"/>
      <c r="C258" s="2"/>
      <c r="D258" s="2"/>
      <c r="E258" s="2"/>
      <c r="F258" s="2"/>
      <c r="G258" s="2"/>
    </row>
    <row r="259" spans="1:7" x14ac:dyDescent="0.2">
      <c r="A259" s="2"/>
      <c r="B259" s="2"/>
      <c r="C259" s="2"/>
      <c r="D259" s="2"/>
      <c r="E259" s="2"/>
      <c r="F259" s="2"/>
      <c r="G259" s="2"/>
    </row>
    <row r="260" spans="1:7" x14ac:dyDescent="0.2">
      <c r="A260" s="2"/>
      <c r="B260" s="2"/>
      <c r="C260" s="2"/>
      <c r="D260" s="2"/>
      <c r="E260" s="2"/>
      <c r="F260" s="2"/>
      <c r="G260" s="2"/>
    </row>
    <row r="261" spans="1:7" x14ac:dyDescent="0.2">
      <c r="A261" s="2"/>
      <c r="B261" s="2"/>
      <c r="C261" s="2"/>
      <c r="D261" s="2"/>
      <c r="E261" s="2"/>
      <c r="F261" s="2"/>
      <c r="G261" s="2"/>
    </row>
    <row r="262" spans="1:7" x14ac:dyDescent="0.2">
      <c r="A262" s="2"/>
      <c r="B262" s="2"/>
      <c r="C262" s="2"/>
      <c r="D262" s="2"/>
      <c r="E262" s="2"/>
      <c r="F262" s="2"/>
      <c r="G262" s="2"/>
    </row>
    <row r="263" spans="1:7" x14ac:dyDescent="0.2">
      <c r="A263" s="2"/>
      <c r="B263" s="2"/>
      <c r="C263" s="2"/>
      <c r="D263" s="2"/>
      <c r="E263" s="2"/>
      <c r="F263" s="2"/>
      <c r="G263" s="2"/>
    </row>
    <row r="264" spans="1:7" x14ac:dyDescent="0.2">
      <c r="A264" s="2"/>
      <c r="B264" s="2"/>
      <c r="C264" s="2"/>
      <c r="D264" s="2"/>
      <c r="E264" s="2"/>
      <c r="F264" s="2"/>
      <c r="G264" s="2"/>
    </row>
    <row r="265" spans="1:7" x14ac:dyDescent="0.2">
      <c r="A265" s="2"/>
      <c r="B265" s="2"/>
      <c r="C265" s="2"/>
      <c r="D265" s="2"/>
      <c r="E265" s="2"/>
      <c r="F265" s="2"/>
      <c r="G265" s="2"/>
    </row>
    <row r="266" spans="1:7" x14ac:dyDescent="0.2">
      <c r="A266" s="2"/>
      <c r="B266" s="2"/>
      <c r="C266" s="2"/>
      <c r="D266" s="2"/>
      <c r="E266" s="2"/>
      <c r="F266" s="2"/>
      <c r="G266" s="2"/>
    </row>
    <row r="267" spans="1:7" x14ac:dyDescent="0.2">
      <c r="A267" s="2"/>
      <c r="B267" s="2"/>
      <c r="C267" s="2"/>
      <c r="D267" s="2"/>
      <c r="E267" s="2"/>
      <c r="F267" s="2"/>
      <c r="G267" s="2"/>
    </row>
    <row r="268" spans="1:7" x14ac:dyDescent="0.2">
      <c r="A268" s="2"/>
      <c r="B268" s="2"/>
      <c r="C268" s="2"/>
      <c r="D268" s="2"/>
      <c r="E268" s="2"/>
      <c r="F268" s="2"/>
      <c r="G268" s="2"/>
    </row>
    <row r="269" spans="1:7" x14ac:dyDescent="0.2">
      <c r="A269" s="2"/>
      <c r="B269" s="2"/>
      <c r="C269" s="2"/>
      <c r="D269" s="2"/>
      <c r="E269" s="2"/>
      <c r="F269" s="2"/>
      <c r="G269" s="2"/>
    </row>
    <row r="270" spans="1:7" x14ac:dyDescent="0.2">
      <c r="A270" s="2"/>
      <c r="B270" s="2"/>
      <c r="C270" s="2"/>
      <c r="D270" s="2"/>
      <c r="E270" s="2"/>
      <c r="F270" s="2"/>
      <c r="G270" s="2"/>
    </row>
    <row r="271" spans="1:7" x14ac:dyDescent="0.2">
      <c r="A271" s="2"/>
      <c r="B271" s="2"/>
      <c r="C271" s="2"/>
      <c r="D271" s="2"/>
      <c r="E271" s="2"/>
      <c r="F271" s="2"/>
      <c r="G271" s="2"/>
    </row>
    <row r="272" spans="1:7" x14ac:dyDescent="0.2">
      <c r="A272" s="2"/>
      <c r="B272" s="2"/>
      <c r="C272" s="2"/>
      <c r="D272" s="2"/>
      <c r="E272" s="2"/>
      <c r="F272" s="2"/>
      <c r="G272" s="2"/>
    </row>
    <row r="273" spans="1:7" x14ac:dyDescent="0.2">
      <c r="A273" s="2"/>
      <c r="B273" s="2"/>
      <c r="C273" s="2"/>
      <c r="D273" s="2"/>
      <c r="E273" s="2"/>
      <c r="F273" s="2"/>
      <c r="G273" s="2"/>
    </row>
    <row r="274" spans="1:7" x14ac:dyDescent="0.2">
      <c r="A274" s="2"/>
      <c r="B274" s="2"/>
      <c r="C274" s="2"/>
      <c r="D274" s="2"/>
      <c r="E274" s="2"/>
      <c r="F274" s="2"/>
      <c r="G274" s="2"/>
    </row>
    <row r="275" spans="1:7" x14ac:dyDescent="0.2">
      <c r="A275" s="2"/>
      <c r="B275" s="2"/>
      <c r="C275" s="2"/>
      <c r="D275" s="2"/>
      <c r="E275" s="2"/>
      <c r="F275" s="2"/>
      <c r="G275" s="2"/>
    </row>
    <row r="276" spans="1:7" x14ac:dyDescent="0.2">
      <c r="A276" s="2"/>
      <c r="B276" s="2"/>
      <c r="C276" s="2"/>
      <c r="D276" s="2"/>
      <c r="E276" s="2"/>
      <c r="F276" s="2"/>
      <c r="G276" s="2"/>
    </row>
    <row r="277" spans="1:7" x14ac:dyDescent="0.2">
      <c r="A277" s="2"/>
      <c r="B277" s="2"/>
      <c r="C277" s="2"/>
      <c r="D277" s="2"/>
      <c r="E277" s="2"/>
      <c r="F277" s="2"/>
      <c r="G277" s="2"/>
    </row>
    <row r="278" spans="1:7" x14ac:dyDescent="0.2">
      <c r="A278" s="2"/>
      <c r="B278" s="2"/>
      <c r="C278" s="2"/>
      <c r="D278" s="2"/>
      <c r="E278" s="2"/>
      <c r="F278" s="2"/>
      <c r="G278" s="2"/>
    </row>
    <row r="279" spans="1:7" x14ac:dyDescent="0.2">
      <c r="A279" s="2"/>
      <c r="B279" s="2"/>
      <c r="C279" s="2"/>
      <c r="D279" s="2"/>
      <c r="E279" s="2"/>
      <c r="F279" s="2"/>
      <c r="G279" s="2"/>
    </row>
    <row r="280" spans="1:7" x14ac:dyDescent="0.2">
      <c r="A280" s="2"/>
      <c r="B280" s="2"/>
      <c r="C280" s="2"/>
      <c r="D280" s="2"/>
      <c r="E280" s="2"/>
      <c r="F280" s="2"/>
      <c r="G280" s="2"/>
    </row>
    <row r="281" spans="1:7" x14ac:dyDescent="0.2">
      <c r="A281" s="2"/>
      <c r="B281" s="2"/>
      <c r="C281" s="2"/>
      <c r="D281" s="2"/>
      <c r="E281" s="2"/>
      <c r="F281" s="2"/>
      <c r="G281" s="2"/>
    </row>
    <row r="282" spans="1:7" x14ac:dyDescent="0.2">
      <c r="A282" s="2"/>
      <c r="B282" s="2"/>
      <c r="C282" s="2"/>
      <c r="D282" s="2"/>
      <c r="E282" s="2"/>
      <c r="F282" s="2"/>
      <c r="G282" s="2"/>
    </row>
    <row r="283" spans="1:7" x14ac:dyDescent="0.2">
      <c r="A283" s="2"/>
      <c r="B283" s="2"/>
      <c r="C283" s="2"/>
      <c r="D283" s="2"/>
      <c r="E283" s="2"/>
      <c r="F283" s="2"/>
      <c r="G283" s="2"/>
    </row>
    <row r="284" spans="1:7" x14ac:dyDescent="0.2">
      <c r="A284" s="2"/>
      <c r="B284" s="2"/>
      <c r="C284" s="2"/>
      <c r="D284" s="2"/>
      <c r="E284" s="2"/>
      <c r="F284" s="2"/>
      <c r="G284" s="2"/>
    </row>
    <row r="285" spans="1:7" x14ac:dyDescent="0.2">
      <c r="A285" s="2"/>
      <c r="B285" s="2"/>
      <c r="C285" s="2"/>
      <c r="D285" s="2"/>
      <c r="E285" s="2"/>
      <c r="F285" s="2"/>
      <c r="G285" s="2"/>
    </row>
    <row r="286" spans="1:7" x14ac:dyDescent="0.2">
      <c r="A286" s="2"/>
      <c r="B286" s="2"/>
      <c r="C286" s="2"/>
      <c r="D286" s="2"/>
      <c r="E286" s="2"/>
      <c r="F286" s="2"/>
      <c r="G286" s="2"/>
    </row>
    <row r="287" spans="1:7" x14ac:dyDescent="0.2">
      <c r="A287" s="2"/>
      <c r="B287" s="2"/>
      <c r="C287" s="2"/>
      <c r="D287" s="2"/>
      <c r="E287" s="2"/>
      <c r="F287" s="2"/>
      <c r="G287" s="2"/>
    </row>
    <row r="288" spans="1:7" x14ac:dyDescent="0.2">
      <c r="A288" s="2"/>
      <c r="B288" s="2"/>
      <c r="C288" s="2"/>
      <c r="D288" s="2"/>
      <c r="E288" s="2"/>
      <c r="F288" s="2"/>
      <c r="G288" s="2"/>
    </row>
    <row r="289" spans="1:7" x14ac:dyDescent="0.2">
      <c r="A289" s="2"/>
      <c r="B289" s="2"/>
      <c r="C289" s="2"/>
      <c r="D289" s="2"/>
      <c r="E289" s="2"/>
      <c r="F289" s="2"/>
      <c r="G289" s="2"/>
    </row>
    <row r="290" spans="1:7" x14ac:dyDescent="0.2">
      <c r="A290" s="2"/>
      <c r="B290" s="2"/>
      <c r="C290" s="2"/>
      <c r="D290" s="2"/>
      <c r="E290" s="2"/>
      <c r="F290" s="2"/>
      <c r="G290" s="2"/>
    </row>
    <row r="291" spans="1:7" x14ac:dyDescent="0.2">
      <c r="A291" s="2"/>
      <c r="B291" s="2"/>
      <c r="C291" s="2"/>
      <c r="D291" s="2"/>
      <c r="E291" s="2"/>
      <c r="F291" s="2"/>
      <c r="G291" s="2"/>
    </row>
    <row r="292" spans="1:7" x14ac:dyDescent="0.2">
      <c r="A292" s="2"/>
      <c r="B292" s="2"/>
      <c r="C292" s="2"/>
      <c r="D292" s="2"/>
      <c r="E292" s="2"/>
      <c r="F292" s="2"/>
      <c r="G292" s="2"/>
    </row>
    <row r="293" spans="1:7" x14ac:dyDescent="0.2">
      <c r="A293" s="2"/>
      <c r="B293" s="2"/>
      <c r="C293" s="2"/>
      <c r="D293" s="2"/>
      <c r="E293" s="2"/>
      <c r="F293" s="2"/>
      <c r="G293" s="2"/>
    </row>
    <row r="294" spans="1:7" x14ac:dyDescent="0.2">
      <c r="A294" s="2"/>
      <c r="B294" s="2"/>
      <c r="C294" s="2"/>
      <c r="D294" s="2"/>
      <c r="E294" s="2"/>
      <c r="F294" s="2"/>
      <c r="G294" s="2"/>
    </row>
    <row r="295" spans="1:7" x14ac:dyDescent="0.2">
      <c r="A295" s="2"/>
      <c r="B295" s="2"/>
      <c r="C295" s="2"/>
      <c r="D295" s="2"/>
      <c r="E295" s="2"/>
      <c r="F295" s="2"/>
      <c r="G295" s="2"/>
    </row>
    <row r="296" spans="1:7" x14ac:dyDescent="0.2">
      <c r="A296" s="2"/>
      <c r="B296" s="2"/>
      <c r="C296" s="2"/>
      <c r="D296" s="2"/>
      <c r="E296" s="2"/>
      <c r="F296" s="2"/>
      <c r="G296" s="2"/>
    </row>
    <row r="297" spans="1:7" x14ac:dyDescent="0.2">
      <c r="A297" s="2"/>
      <c r="B297" s="2"/>
      <c r="C297" s="2"/>
      <c r="D297" s="2"/>
      <c r="E297" s="2"/>
      <c r="F297" s="2"/>
      <c r="G297" s="2"/>
    </row>
    <row r="298" spans="1:7" x14ac:dyDescent="0.2">
      <c r="A298" s="2"/>
      <c r="B298" s="2"/>
      <c r="C298" s="2"/>
      <c r="D298" s="2"/>
      <c r="E298" s="2"/>
      <c r="F298" s="2"/>
      <c r="G298" s="2"/>
    </row>
    <row r="299" spans="1:7" x14ac:dyDescent="0.2">
      <c r="A299" s="2"/>
      <c r="B299" s="2"/>
      <c r="C299" s="2"/>
      <c r="D299" s="2"/>
      <c r="E299" s="2"/>
      <c r="F299" s="2"/>
      <c r="G299" s="2"/>
    </row>
    <row r="300" spans="1:7" x14ac:dyDescent="0.2">
      <c r="A300" s="2"/>
      <c r="B300" s="2"/>
      <c r="C300" s="2"/>
      <c r="D300" s="2"/>
      <c r="E300" s="2"/>
      <c r="F300" s="2"/>
      <c r="G300" s="2"/>
    </row>
    <row r="301" spans="1:7" x14ac:dyDescent="0.2">
      <c r="A301" s="2"/>
      <c r="B301" s="2"/>
      <c r="C301" s="2"/>
      <c r="D301" s="2"/>
      <c r="E301" s="2"/>
      <c r="F301" s="2"/>
      <c r="G301" s="2"/>
    </row>
    <row r="302" spans="1:7" x14ac:dyDescent="0.2">
      <c r="A302" s="2"/>
      <c r="B302" s="2"/>
      <c r="C302" s="2"/>
      <c r="D302" s="2"/>
      <c r="E302" s="2"/>
      <c r="F302" s="2"/>
      <c r="G302" s="2"/>
    </row>
    <row r="303" spans="1:7" x14ac:dyDescent="0.2">
      <c r="A303" s="2"/>
      <c r="B303" s="2"/>
      <c r="C303" s="2"/>
      <c r="D303" s="2"/>
      <c r="E303" s="2"/>
      <c r="F303" s="2"/>
      <c r="G303" s="2"/>
    </row>
    <row r="304" spans="1:7" x14ac:dyDescent="0.2">
      <c r="A304" s="2"/>
      <c r="B304" s="2"/>
      <c r="C304" s="2"/>
      <c r="D304" s="2"/>
      <c r="E304" s="2"/>
      <c r="F304" s="2"/>
      <c r="G304" s="2"/>
    </row>
    <row r="305" spans="1:7" x14ac:dyDescent="0.2">
      <c r="A305" s="2"/>
      <c r="B305" s="2"/>
      <c r="C305" s="2"/>
      <c r="D305" s="2"/>
      <c r="E305" s="2"/>
      <c r="F305" s="2"/>
      <c r="G305" s="2"/>
    </row>
    <row r="306" spans="1:7" x14ac:dyDescent="0.2">
      <c r="A306" s="2"/>
      <c r="B306" s="2"/>
      <c r="C306" s="2"/>
      <c r="D306" s="2"/>
      <c r="E306" s="2"/>
      <c r="F306" s="2"/>
      <c r="G306" s="2"/>
    </row>
    <row r="307" spans="1:7" x14ac:dyDescent="0.2">
      <c r="A307" s="2"/>
      <c r="B307" s="2"/>
      <c r="C307" s="2"/>
      <c r="D307" s="2"/>
      <c r="E307" s="2"/>
      <c r="F307" s="2"/>
      <c r="G307" s="2"/>
    </row>
    <row r="308" spans="1:7" x14ac:dyDescent="0.2">
      <c r="A308" s="2"/>
      <c r="B308" s="2"/>
      <c r="C308" s="2"/>
      <c r="D308" s="2"/>
      <c r="E308" s="2"/>
      <c r="F308" s="2"/>
      <c r="G308" s="2"/>
    </row>
    <row r="309" spans="1:7" x14ac:dyDescent="0.2">
      <c r="A309" s="2"/>
      <c r="B309" s="2"/>
      <c r="C309" s="2"/>
      <c r="D309" s="2"/>
      <c r="E309" s="2"/>
      <c r="F309" s="2"/>
      <c r="G309" s="2"/>
    </row>
    <row r="310" spans="1:7" x14ac:dyDescent="0.2">
      <c r="A310" s="2"/>
      <c r="B310" s="2"/>
      <c r="C310" s="2"/>
      <c r="D310" s="2"/>
      <c r="E310" s="2"/>
      <c r="F310" s="2"/>
      <c r="G310" s="2"/>
    </row>
    <row r="311" spans="1:7" x14ac:dyDescent="0.2">
      <c r="A311" s="2"/>
      <c r="B311" s="2"/>
      <c r="C311" s="2"/>
      <c r="D311" s="2"/>
      <c r="E311" s="2"/>
      <c r="F311" s="2"/>
      <c r="G311" s="2"/>
    </row>
    <row r="312" spans="1:7" x14ac:dyDescent="0.2">
      <c r="A312" s="2"/>
      <c r="B312" s="2"/>
      <c r="C312" s="2"/>
      <c r="D312" s="2"/>
      <c r="E312" s="2"/>
      <c r="F312" s="2"/>
      <c r="G312" s="2"/>
    </row>
    <row r="313" spans="1:7" x14ac:dyDescent="0.2">
      <c r="A313" s="2"/>
      <c r="B313" s="2"/>
      <c r="C313" s="2"/>
      <c r="D313" s="2"/>
      <c r="E313" s="2"/>
      <c r="F313" s="2"/>
      <c r="G313" s="2"/>
    </row>
    <row r="314" spans="1:7" x14ac:dyDescent="0.2">
      <c r="A314" s="2"/>
      <c r="B314" s="2"/>
      <c r="C314" s="2"/>
      <c r="D314" s="2"/>
      <c r="E314" s="2"/>
      <c r="F314" s="2"/>
      <c r="G314" s="2"/>
    </row>
    <row r="315" spans="1:7" x14ac:dyDescent="0.2">
      <c r="A315" s="2"/>
      <c r="B315" s="2"/>
      <c r="C315" s="2"/>
      <c r="D315" s="2"/>
      <c r="E315" s="2"/>
      <c r="F315" s="2"/>
      <c r="G315" s="2"/>
    </row>
    <row r="316" spans="1:7" x14ac:dyDescent="0.2">
      <c r="A316" s="2"/>
      <c r="B316" s="2"/>
      <c r="C316" s="2"/>
      <c r="D316" s="2"/>
      <c r="E316" s="2"/>
      <c r="F316" s="2"/>
      <c r="G316" s="2"/>
    </row>
    <row r="317" spans="1:7" x14ac:dyDescent="0.2">
      <c r="A317" s="2"/>
      <c r="B317" s="2"/>
      <c r="C317" s="2"/>
      <c r="D317" s="2"/>
      <c r="E317" s="2"/>
      <c r="F317" s="2"/>
      <c r="G317" s="2"/>
    </row>
    <row r="318" spans="1:7" x14ac:dyDescent="0.2">
      <c r="A318" s="2"/>
      <c r="B318" s="2"/>
      <c r="C318" s="2"/>
      <c r="D318" s="2"/>
      <c r="E318" s="2"/>
      <c r="F318" s="2"/>
      <c r="G318" s="2"/>
    </row>
    <row r="319" spans="1:7" x14ac:dyDescent="0.2">
      <c r="A319" s="2"/>
      <c r="B319" s="2"/>
      <c r="C319" s="2"/>
      <c r="D319" s="2"/>
      <c r="E319" s="2"/>
      <c r="F319" s="2"/>
      <c r="G319" s="2"/>
    </row>
    <row r="320" spans="1:7" x14ac:dyDescent="0.2">
      <c r="A320" s="2"/>
      <c r="B320" s="2"/>
      <c r="C320" s="2"/>
      <c r="D320" s="2"/>
      <c r="E320" s="2"/>
      <c r="F320" s="2"/>
      <c r="G320" s="2"/>
    </row>
    <row r="321" spans="1:7" x14ac:dyDescent="0.2">
      <c r="A321" s="2"/>
      <c r="B321" s="2"/>
      <c r="C321" s="2"/>
      <c r="D321" s="2"/>
      <c r="E321" s="2"/>
      <c r="F321" s="2"/>
      <c r="G321" s="2"/>
    </row>
    <row r="322" spans="1:7" x14ac:dyDescent="0.2">
      <c r="A322" s="2"/>
      <c r="B322" s="2"/>
      <c r="C322" s="2"/>
      <c r="D322" s="2"/>
      <c r="E322" s="2"/>
      <c r="F322" s="2"/>
      <c r="G322" s="2"/>
    </row>
    <row r="323" spans="1:7" x14ac:dyDescent="0.2">
      <c r="A323" s="2"/>
      <c r="B323" s="2"/>
      <c r="C323" s="2"/>
      <c r="D323" s="2"/>
      <c r="E323" s="2"/>
      <c r="F323" s="2"/>
      <c r="G323" s="2"/>
    </row>
    <row r="324" spans="1:7" x14ac:dyDescent="0.2">
      <c r="A324" s="2"/>
      <c r="B324" s="2"/>
      <c r="C324" s="2"/>
      <c r="D324" s="2"/>
      <c r="E324" s="2"/>
      <c r="F324" s="2"/>
      <c r="G324" s="2"/>
    </row>
    <row r="325" spans="1:7" x14ac:dyDescent="0.2">
      <c r="A325" s="2"/>
      <c r="B325" s="2"/>
      <c r="C325" s="2"/>
      <c r="D325" s="2"/>
      <c r="E325" s="2"/>
      <c r="F325" s="2"/>
      <c r="G325" s="2"/>
    </row>
    <row r="326" spans="1:7" x14ac:dyDescent="0.2">
      <c r="A326" s="2"/>
      <c r="B326" s="2"/>
      <c r="C326" s="2"/>
      <c r="D326" s="2"/>
      <c r="E326" s="2"/>
      <c r="F326" s="2"/>
      <c r="G326" s="2"/>
    </row>
    <row r="327" spans="1:7" x14ac:dyDescent="0.2">
      <c r="A327" s="2"/>
      <c r="B327" s="2"/>
      <c r="C327" s="2"/>
      <c r="D327" s="2"/>
      <c r="E327" s="2"/>
      <c r="F327" s="2"/>
      <c r="G327" s="2"/>
    </row>
    <row r="328" spans="1:7" x14ac:dyDescent="0.2">
      <c r="A328" s="2"/>
      <c r="B328" s="2"/>
      <c r="C328" s="2"/>
      <c r="D328" s="2"/>
      <c r="E328" s="2"/>
      <c r="F328" s="2"/>
      <c r="G328" s="2"/>
    </row>
    <row r="329" spans="1:7" x14ac:dyDescent="0.2">
      <c r="A329" s="2"/>
      <c r="B329" s="2"/>
      <c r="C329" s="2"/>
      <c r="D329" s="2"/>
      <c r="E329" s="2"/>
      <c r="F329" s="2"/>
      <c r="G329" s="2"/>
    </row>
    <row r="330" spans="1:7" x14ac:dyDescent="0.2">
      <c r="A330" s="2"/>
      <c r="B330" s="2"/>
      <c r="C330" s="2"/>
      <c r="D330" s="2"/>
      <c r="E330" s="2"/>
      <c r="F330" s="2"/>
      <c r="G330" s="2"/>
    </row>
    <row r="331" spans="1:7" x14ac:dyDescent="0.2">
      <c r="A331" s="2"/>
      <c r="B331" s="2"/>
      <c r="C331" s="2"/>
      <c r="D331" s="2"/>
      <c r="E331" s="2"/>
      <c r="F331" s="2"/>
      <c r="G331" s="2"/>
    </row>
    <row r="332" spans="1:7" x14ac:dyDescent="0.2">
      <c r="A332" s="2"/>
      <c r="B332" s="2"/>
      <c r="C332" s="2"/>
      <c r="D332" s="2"/>
      <c r="E332" s="2"/>
      <c r="F332" s="2"/>
      <c r="G332" s="2"/>
    </row>
    <row r="333" spans="1:7" x14ac:dyDescent="0.2">
      <c r="A333" s="2"/>
      <c r="B333" s="2"/>
      <c r="C333" s="2"/>
      <c r="D333" s="2"/>
      <c r="E333" s="2"/>
      <c r="F333" s="2"/>
      <c r="G333" s="2"/>
    </row>
    <row r="334" spans="1:7" x14ac:dyDescent="0.2">
      <c r="A334" s="2"/>
      <c r="B334" s="2"/>
      <c r="C334" s="2"/>
      <c r="D334" s="2"/>
      <c r="E334" s="2"/>
      <c r="F334" s="2"/>
      <c r="G334" s="2"/>
    </row>
    <row r="335" spans="1:7" x14ac:dyDescent="0.2">
      <c r="A335" s="2"/>
      <c r="B335" s="2"/>
      <c r="C335" s="2"/>
      <c r="D335" s="2"/>
      <c r="E335" s="2"/>
      <c r="F335" s="2"/>
      <c r="G335" s="2"/>
    </row>
    <row r="336" spans="1:7" x14ac:dyDescent="0.2">
      <c r="A336" s="2"/>
      <c r="B336" s="2"/>
      <c r="C336" s="2"/>
      <c r="D336" s="2"/>
      <c r="E336" s="2"/>
      <c r="F336" s="2"/>
      <c r="G336" s="2"/>
    </row>
    <row r="337" spans="1:7" x14ac:dyDescent="0.2">
      <c r="A337" s="2"/>
      <c r="B337" s="2"/>
      <c r="C337" s="2"/>
      <c r="D337" s="2"/>
      <c r="E337" s="2"/>
      <c r="F337" s="2"/>
      <c r="G337" s="2"/>
    </row>
    <row r="338" spans="1:7" x14ac:dyDescent="0.2">
      <c r="A338" s="2"/>
      <c r="B338" s="2"/>
      <c r="C338" s="2"/>
      <c r="D338" s="2"/>
      <c r="E338" s="2"/>
      <c r="F338" s="2"/>
      <c r="G338" s="2"/>
    </row>
    <row r="339" spans="1:7" x14ac:dyDescent="0.2">
      <c r="A339" s="2"/>
      <c r="B339" s="2"/>
      <c r="C339" s="2"/>
      <c r="D339" s="2"/>
      <c r="E339" s="2"/>
      <c r="F339" s="2"/>
      <c r="G339" s="2"/>
    </row>
    <row r="340" spans="1:7" x14ac:dyDescent="0.2">
      <c r="A340" s="2"/>
      <c r="B340" s="2"/>
      <c r="C340" s="2"/>
      <c r="D340" s="2"/>
      <c r="E340" s="2"/>
      <c r="F340" s="2"/>
      <c r="G340" s="2"/>
    </row>
    <row r="341" spans="1:7" x14ac:dyDescent="0.2">
      <c r="A341" s="2"/>
      <c r="B341" s="2"/>
      <c r="C341" s="2"/>
      <c r="D341" s="2"/>
      <c r="E341" s="2"/>
      <c r="F341" s="2"/>
      <c r="G341" s="2"/>
    </row>
    <row r="342" spans="1:7" x14ac:dyDescent="0.2">
      <c r="A342" s="2"/>
      <c r="B342" s="2"/>
      <c r="C342" s="2"/>
      <c r="D342" s="2"/>
      <c r="E342" s="2"/>
      <c r="F342" s="2"/>
      <c r="G342" s="2"/>
    </row>
    <row r="343" spans="1:7" x14ac:dyDescent="0.2">
      <c r="A343" s="2"/>
      <c r="B343" s="2"/>
      <c r="C343" s="2"/>
      <c r="D343" s="2"/>
      <c r="E343" s="2"/>
      <c r="F343" s="2"/>
      <c r="G343" s="2"/>
    </row>
    <row r="344" spans="1:7" x14ac:dyDescent="0.2">
      <c r="A344" s="2"/>
      <c r="B344" s="2"/>
      <c r="C344" s="2"/>
      <c r="D344" s="2"/>
      <c r="E344" s="2"/>
      <c r="F344" s="2"/>
      <c r="G344" s="2"/>
    </row>
    <row r="345" spans="1:7" x14ac:dyDescent="0.2">
      <c r="A345" s="2"/>
      <c r="B345" s="2"/>
      <c r="C345" s="2"/>
      <c r="D345" s="2"/>
      <c r="E345" s="2"/>
      <c r="F345" s="2"/>
      <c r="G345" s="2"/>
    </row>
    <row r="346" spans="1:7" x14ac:dyDescent="0.2">
      <c r="A346" s="2"/>
      <c r="B346" s="2"/>
      <c r="C346" s="2"/>
      <c r="D346" s="2"/>
      <c r="E346" s="2"/>
      <c r="F346" s="2"/>
      <c r="G346" s="2"/>
    </row>
    <row r="347" spans="1:7" x14ac:dyDescent="0.2">
      <c r="A347" s="2"/>
      <c r="B347" s="2"/>
      <c r="C347" s="2"/>
      <c r="D347" s="2"/>
      <c r="E347" s="2"/>
      <c r="F347" s="2"/>
      <c r="G347" s="2"/>
    </row>
    <row r="348" spans="1:7" x14ac:dyDescent="0.2">
      <c r="A348" s="2"/>
      <c r="B348" s="2"/>
      <c r="C348" s="2"/>
      <c r="D348" s="2"/>
      <c r="E348" s="2"/>
      <c r="F348" s="2"/>
      <c r="G348" s="2"/>
    </row>
    <row r="349" spans="1:7" x14ac:dyDescent="0.2">
      <c r="A349" s="2"/>
      <c r="B349" s="2"/>
      <c r="C349" s="2"/>
      <c r="D349" s="2"/>
      <c r="E349" s="2"/>
      <c r="F349" s="2"/>
      <c r="G349" s="2"/>
    </row>
    <row r="350" spans="1:7" x14ac:dyDescent="0.2">
      <c r="A350" s="2"/>
      <c r="B350" s="2"/>
      <c r="C350" s="2"/>
      <c r="D350" s="2"/>
      <c r="E350" s="2"/>
      <c r="F350" s="2"/>
      <c r="G350" s="2"/>
    </row>
    <row r="351" spans="1:7" x14ac:dyDescent="0.2">
      <c r="A351" s="2"/>
      <c r="B351" s="2"/>
      <c r="C351" s="2"/>
      <c r="D351" s="2"/>
      <c r="E351" s="2"/>
      <c r="F351" s="2"/>
      <c r="G351" s="2"/>
    </row>
    <row r="352" spans="1:7" x14ac:dyDescent="0.2">
      <c r="A352" s="2"/>
      <c r="B352" s="2"/>
      <c r="C352" s="2"/>
      <c r="D352" s="2"/>
      <c r="E352" s="2"/>
      <c r="F352" s="2"/>
      <c r="G352" s="2"/>
    </row>
    <row r="353" spans="1:7" x14ac:dyDescent="0.2">
      <c r="A353" s="2"/>
      <c r="B353" s="2"/>
      <c r="C353" s="2"/>
      <c r="D353" s="2"/>
      <c r="E353" s="2"/>
      <c r="F353" s="2"/>
      <c r="G353" s="2"/>
    </row>
    <row r="354" spans="1:7" x14ac:dyDescent="0.2">
      <c r="A354" s="2"/>
      <c r="B354" s="2"/>
      <c r="C354" s="2"/>
      <c r="D354" s="2"/>
      <c r="E354" s="2"/>
      <c r="F354" s="2"/>
      <c r="G354" s="2"/>
    </row>
    <row r="355" spans="1:7" x14ac:dyDescent="0.2">
      <c r="A355" s="2"/>
      <c r="B355" s="2"/>
      <c r="C355" s="2"/>
      <c r="D355" s="2"/>
      <c r="E355" s="2"/>
      <c r="F355" s="2"/>
      <c r="G355" s="2"/>
    </row>
    <row r="356" spans="1:7" x14ac:dyDescent="0.2">
      <c r="A356" s="2"/>
      <c r="B356" s="2"/>
      <c r="C356" s="2"/>
      <c r="D356" s="2"/>
      <c r="E356" s="2"/>
      <c r="F356" s="2"/>
      <c r="G356" s="2"/>
    </row>
    <row r="357" spans="1:7" x14ac:dyDescent="0.2">
      <c r="A357" s="2"/>
      <c r="B357" s="2"/>
      <c r="C357" s="2"/>
      <c r="D357" s="2"/>
      <c r="E357" s="2"/>
      <c r="F357" s="2"/>
      <c r="G357" s="2"/>
    </row>
    <row r="358" spans="1:7" x14ac:dyDescent="0.2">
      <c r="A358" s="2"/>
      <c r="B358" s="2"/>
      <c r="C358" s="2"/>
      <c r="D358" s="2"/>
      <c r="E358" s="2"/>
      <c r="F358" s="2"/>
      <c r="G358" s="2"/>
    </row>
    <row r="359" spans="1:7" x14ac:dyDescent="0.2">
      <c r="A359" s="2"/>
      <c r="B359" s="2"/>
      <c r="C359" s="2"/>
      <c r="D359" s="2"/>
      <c r="E359" s="2"/>
      <c r="F359" s="2"/>
      <c r="G359" s="2"/>
    </row>
    <row r="360" spans="1:7" x14ac:dyDescent="0.2">
      <c r="A360" s="2"/>
      <c r="B360" s="2"/>
      <c r="C360" s="2"/>
      <c r="D360" s="2"/>
      <c r="E360" s="2"/>
      <c r="F360" s="2"/>
      <c r="G360" s="2"/>
    </row>
    <row r="361" spans="1:7" x14ac:dyDescent="0.2">
      <c r="A361" s="2"/>
      <c r="B361" s="2"/>
      <c r="C361" s="2"/>
      <c r="D361" s="2"/>
      <c r="E361" s="2"/>
      <c r="F361" s="2"/>
      <c r="G361" s="2"/>
    </row>
    <row r="362" spans="1:7" x14ac:dyDescent="0.2">
      <c r="A362" s="2"/>
      <c r="B362" s="2"/>
      <c r="C362" s="2"/>
      <c r="D362" s="2"/>
      <c r="E362" s="2"/>
      <c r="F362" s="2"/>
      <c r="G362" s="2"/>
    </row>
    <row r="363" spans="1:7" x14ac:dyDescent="0.2">
      <c r="A363" s="2"/>
      <c r="B363" s="2"/>
      <c r="C363" s="2"/>
      <c r="D363" s="2"/>
      <c r="E363" s="2"/>
      <c r="F363" s="2"/>
      <c r="G363" s="2"/>
    </row>
    <row r="364" spans="1:7" x14ac:dyDescent="0.2">
      <c r="A364" s="2"/>
      <c r="B364" s="2"/>
      <c r="C364" s="2"/>
      <c r="D364" s="2"/>
      <c r="E364" s="2"/>
      <c r="F364" s="2"/>
      <c r="G364" s="2"/>
    </row>
    <row r="365" spans="1:7" x14ac:dyDescent="0.2">
      <c r="A365" s="2"/>
      <c r="B365" s="2"/>
      <c r="C365" s="2"/>
      <c r="D365" s="2"/>
      <c r="E365" s="2"/>
      <c r="F365" s="2"/>
      <c r="G365" s="2"/>
    </row>
    <row r="366" spans="1:7" x14ac:dyDescent="0.2">
      <c r="A366" s="2"/>
      <c r="B366" s="2"/>
      <c r="C366" s="2"/>
      <c r="D366" s="2"/>
      <c r="E366" s="2"/>
      <c r="F366" s="2"/>
      <c r="G366" s="2"/>
    </row>
    <row r="367" spans="1:7" x14ac:dyDescent="0.2">
      <c r="A367" s="2"/>
      <c r="B367" s="2"/>
      <c r="C367" s="2"/>
      <c r="D367" s="2"/>
      <c r="E367" s="2"/>
      <c r="F367" s="2"/>
      <c r="G367" s="2"/>
    </row>
    <row r="368" spans="1:7" x14ac:dyDescent="0.2">
      <c r="A368" s="2"/>
      <c r="B368" s="2"/>
      <c r="C368" s="2"/>
      <c r="D368" s="2"/>
      <c r="E368" s="2"/>
      <c r="F368" s="2"/>
      <c r="G368" s="2"/>
    </row>
    <row r="369" spans="1:7" x14ac:dyDescent="0.2">
      <c r="A369" s="2"/>
      <c r="B369" s="2"/>
      <c r="C369" s="2"/>
      <c r="D369" s="2"/>
      <c r="E369" s="2"/>
      <c r="F369" s="2"/>
      <c r="G369" s="2"/>
    </row>
    <row r="370" spans="1:7" x14ac:dyDescent="0.2">
      <c r="A370" s="2"/>
      <c r="B370" s="2"/>
      <c r="C370" s="2"/>
      <c r="D370" s="2"/>
      <c r="E370" s="2"/>
      <c r="F370" s="2"/>
      <c r="G370" s="2"/>
    </row>
    <row r="371" spans="1:7" x14ac:dyDescent="0.2">
      <c r="A371" s="2"/>
      <c r="B371" s="2"/>
      <c r="C371" s="2"/>
      <c r="D371" s="2"/>
      <c r="E371" s="2"/>
      <c r="F371" s="2"/>
      <c r="G371" s="2"/>
    </row>
    <row r="372" spans="1:7" x14ac:dyDescent="0.2">
      <c r="A372" s="2"/>
      <c r="B372" s="2"/>
      <c r="C372" s="2"/>
      <c r="D372" s="2"/>
      <c r="E372" s="2"/>
      <c r="F372" s="2"/>
      <c r="G372" s="2"/>
    </row>
    <row r="373" spans="1:7" x14ac:dyDescent="0.2">
      <c r="A373" s="2"/>
      <c r="B373" s="2"/>
      <c r="C373" s="2"/>
      <c r="D373" s="2"/>
      <c r="E373" s="2"/>
      <c r="F373" s="2"/>
      <c r="G373" s="2"/>
    </row>
    <row r="374" spans="1:7" x14ac:dyDescent="0.2">
      <c r="A374" s="2"/>
      <c r="B374" s="2"/>
      <c r="C374" s="2"/>
      <c r="D374" s="2"/>
      <c r="E374" s="2"/>
      <c r="F374" s="2"/>
      <c r="G374" s="2"/>
    </row>
    <row r="375" spans="1:7" x14ac:dyDescent="0.2">
      <c r="A375" s="2"/>
      <c r="B375" s="2"/>
      <c r="C375" s="2"/>
      <c r="D375" s="2"/>
      <c r="E375" s="2"/>
      <c r="F375" s="2"/>
      <c r="G375" s="2"/>
    </row>
    <row r="376" spans="1:7" x14ac:dyDescent="0.2">
      <c r="A376" s="2"/>
      <c r="B376" s="2"/>
      <c r="C376" s="2"/>
      <c r="D376" s="2"/>
      <c r="E376" s="2"/>
      <c r="F376" s="2"/>
      <c r="G376" s="2"/>
    </row>
    <row r="377" spans="1:7" x14ac:dyDescent="0.2">
      <c r="A377" s="2"/>
      <c r="B377" s="2"/>
      <c r="C377" s="2"/>
      <c r="D377" s="2"/>
      <c r="E377" s="2"/>
      <c r="F377" s="2"/>
      <c r="G377" s="2"/>
    </row>
    <row r="378" spans="1:7" x14ac:dyDescent="0.2">
      <c r="A378" s="2"/>
      <c r="B378" s="2"/>
      <c r="C378" s="2"/>
      <c r="D378" s="2"/>
      <c r="E378" s="2"/>
      <c r="F378" s="2"/>
      <c r="G378" s="2"/>
    </row>
    <row r="379" spans="1:7" x14ac:dyDescent="0.2">
      <c r="A379" s="2"/>
      <c r="B379" s="2"/>
      <c r="C379" s="2"/>
      <c r="D379" s="2"/>
      <c r="E379" s="2"/>
      <c r="F379" s="2"/>
      <c r="G379" s="2"/>
    </row>
    <row r="380" spans="1:7" x14ac:dyDescent="0.2">
      <c r="A380" s="2"/>
      <c r="B380" s="2"/>
      <c r="C380" s="2"/>
      <c r="D380" s="2"/>
      <c r="E380" s="2"/>
      <c r="F380" s="2"/>
      <c r="G380" s="2"/>
    </row>
    <row r="381" spans="1:7" x14ac:dyDescent="0.2">
      <c r="A381" s="2"/>
      <c r="B381" s="2"/>
      <c r="C381" s="2"/>
      <c r="D381" s="2"/>
      <c r="E381" s="2"/>
      <c r="F381" s="2"/>
      <c r="G381" s="2"/>
    </row>
    <row r="382" spans="1:7" x14ac:dyDescent="0.2">
      <c r="A382" s="2"/>
      <c r="B382" s="2"/>
      <c r="C382" s="2"/>
      <c r="D382" s="2"/>
      <c r="E382" s="2"/>
      <c r="F382" s="2"/>
      <c r="G382" s="2"/>
    </row>
    <row r="383" spans="1:7" x14ac:dyDescent="0.2">
      <c r="A383" s="2"/>
      <c r="B383" s="2"/>
      <c r="C383" s="2"/>
      <c r="D383" s="2"/>
      <c r="E383" s="2"/>
      <c r="F383" s="2"/>
      <c r="G383" s="2"/>
    </row>
    <row r="384" spans="1:7" x14ac:dyDescent="0.2">
      <c r="A384" s="2"/>
      <c r="B384" s="2"/>
      <c r="C384" s="2"/>
      <c r="D384" s="2"/>
      <c r="E384" s="2"/>
      <c r="F384" s="2"/>
      <c r="G384" s="2"/>
    </row>
    <row r="385" spans="1:7" x14ac:dyDescent="0.2">
      <c r="A385" s="2"/>
      <c r="B385" s="2"/>
      <c r="C385" s="2"/>
      <c r="D385" s="2"/>
      <c r="E385" s="2"/>
      <c r="F385" s="2"/>
      <c r="G385" s="2"/>
    </row>
    <row r="386" spans="1:7" x14ac:dyDescent="0.2">
      <c r="A386" s="2"/>
      <c r="B386" s="2"/>
      <c r="C386" s="2"/>
      <c r="D386" s="2"/>
      <c r="E386" s="2"/>
      <c r="F386" s="2"/>
      <c r="G386" s="2"/>
    </row>
    <row r="387" spans="1:7" x14ac:dyDescent="0.2">
      <c r="A387" s="2"/>
      <c r="B387" s="2"/>
      <c r="C387" s="2"/>
      <c r="D387" s="2"/>
      <c r="E387" s="2"/>
      <c r="F387" s="2"/>
      <c r="G387" s="2"/>
    </row>
    <row r="388" spans="1:7" x14ac:dyDescent="0.2">
      <c r="A388" s="2"/>
      <c r="B388" s="2"/>
      <c r="C388" s="2"/>
      <c r="D388" s="2"/>
      <c r="E388" s="2"/>
      <c r="F388" s="2"/>
      <c r="G388" s="2"/>
    </row>
    <row r="389" spans="1:7" x14ac:dyDescent="0.2">
      <c r="A389" s="2"/>
      <c r="B389" s="2"/>
      <c r="C389" s="2"/>
      <c r="D389" s="2"/>
      <c r="E389" s="2"/>
      <c r="F389" s="2"/>
      <c r="G389" s="2"/>
    </row>
    <row r="390" spans="1:7" x14ac:dyDescent="0.2">
      <c r="A390" s="2"/>
      <c r="B390" s="2"/>
      <c r="C390" s="2"/>
      <c r="D390" s="2"/>
      <c r="E390" s="2"/>
      <c r="F390" s="2"/>
      <c r="G390" s="2"/>
    </row>
    <row r="391" spans="1:7" x14ac:dyDescent="0.2">
      <c r="A391" s="2"/>
      <c r="B391" s="2"/>
      <c r="C391" s="2"/>
      <c r="D391" s="2"/>
      <c r="E391" s="2"/>
      <c r="F391" s="2"/>
      <c r="G391" s="2"/>
    </row>
    <row r="392" spans="1:7" x14ac:dyDescent="0.2">
      <c r="A392" s="2"/>
      <c r="B392" s="2"/>
      <c r="C392" s="2"/>
      <c r="D392" s="2"/>
      <c r="E392" s="2"/>
      <c r="F392" s="2"/>
      <c r="G392" s="2"/>
    </row>
    <row r="393" spans="1:7" x14ac:dyDescent="0.2">
      <c r="A393" s="2"/>
      <c r="B393" s="2"/>
      <c r="C393" s="2"/>
      <c r="D393" s="2"/>
      <c r="E393" s="2"/>
      <c r="F393" s="2"/>
      <c r="G393" s="2"/>
    </row>
    <row r="394" spans="1:7" x14ac:dyDescent="0.2">
      <c r="A394" s="2"/>
      <c r="B394" s="2"/>
      <c r="C394" s="2"/>
      <c r="D394" s="2"/>
      <c r="E394" s="2"/>
      <c r="F394" s="2"/>
      <c r="G394" s="2"/>
    </row>
    <row r="395" spans="1:7" x14ac:dyDescent="0.2">
      <c r="A395" s="2"/>
      <c r="B395" s="2"/>
      <c r="C395" s="2"/>
      <c r="D395" s="2"/>
      <c r="E395" s="2"/>
      <c r="F395" s="2"/>
      <c r="G395" s="2"/>
    </row>
    <row r="396" spans="1:7" x14ac:dyDescent="0.2">
      <c r="A396" s="2"/>
      <c r="B396" s="2"/>
      <c r="C396" s="2"/>
      <c r="D396" s="2"/>
      <c r="E396" s="2"/>
      <c r="F396" s="2"/>
      <c r="G396" s="2"/>
    </row>
    <row r="397" spans="1:7" x14ac:dyDescent="0.2">
      <c r="A397" s="2"/>
      <c r="B397" s="2"/>
      <c r="C397" s="2"/>
      <c r="D397" s="2"/>
      <c r="E397" s="2"/>
      <c r="F397" s="2"/>
      <c r="G397" s="2"/>
    </row>
    <row r="398" spans="1:7" x14ac:dyDescent="0.2">
      <c r="A398" s="2"/>
      <c r="B398" s="2"/>
      <c r="C398" s="2"/>
      <c r="D398" s="2"/>
      <c r="E398" s="2"/>
      <c r="F398" s="2"/>
      <c r="G398" s="2"/>
    </row>
    <row r="399" spans="1:7" x14ac:dyDescent="0.2">
      <c r="A399" s="2"/>
      <c r="B399" s="2"/>
      <c r="C399" s="2"/>
      <c r="D399" s="2"/>
      <c r="E399" s="2"/>
      <c r="F399" s="2"/>
      <c r="G399" s="2"/>
    </row>
    <row r="400" spans="1:7" x14ac:dyDescent="0.2">
      <c r="A400" s="2"/>
      <c r="B400" s="2"/>
      <c r="C400" s="2"/>
      <c r="D400" s="2"/>
      <c r="E400" s="2"/>
      <c r="F400" s="2"/>
      <c r="G400" s="2"/>
    </row>
    <row r="401" spans="1:7" x14ac:dyDescent="0.2">
      <c r="A401" s="2"/>
      <c r="B401" s="2"/>
      <c r="C401" s="2"/>
      <c r="D401" s="2"/>
      <c r="E401" s="2"/>
      <c r="F401" s="2"/>
      <c r="G401" s="2"/>
    </row>
    <row r="402" spans="1:7" x14ac:dyDescent="0.2">
      <c r="A402" s="2"/>
      <c r="B402" s="2"/>
      <c r="C402" s="2"/>
      <c r="D402" s="2"/>
      <c r="E402" s="2"/>
      <c r="F402" s="2"/>
      <c r="G402" s="2"/>
    </row>
    <row r="403" spans="1:7" x14ac:dyDescent="0.2">
      <c r="A403" s="2"/>
      <c r="B403" s="2"/>
      <c r="C403" s="2"/>
      <c r="D403" s="2"/>
      <c r="E403" s="2"/>
      <c r="F403" s="2"/>
      <c r="G403" s="2"/>
    </row>
    <row r="404" spans="1:7" x14ac:dyDescent="0.2">
      <c r="A404" s="2"/>
      <c r="B404" s="2"/>
      <c r="C404" s="2"/>
      <c r="D404" s="2"/>
      <c r="E404" s="2"/>
      <c r="F404" s="2"/>
      <c r="G404" s="2"/>
    </row>
    <row r="405" spans="1:7" x14ac:dyDescent="0.2">
      <c r="A405" s="2"/>
      <c r="B405" s="2"/>
      <c r="C405" s="2"/>
      <c r="D405" s="2"/>
      <c r="E405" s="2"/>
      <c r="F405" s="2"/>
      <c r="G405" s="2"/>
    </row>
    <row r="406" spans="1:7" x14ac:dyDescent="0.2">
      <c r="A406" s="2"/>
      <c r="B406" s="2"/>
      <c r="C406" s="2"/>
      <c r="D406" s="2"/>
      <c r="E406" s="2"/>
      <c r="F406" s="2"/>
      <c r="G406" s="2"/>
    </row>
    <row r="407" spans="1:7" x14ac:dyDescent="0.2">
      <c r="A407" s="2"/>
      <c r="B407" s="2"/>
      <c r="C407" s="2"/>
      <c r="D407" s="2"/>
      <c r="E407" s="2"/>
      <c r="F407" s="2"/>
      <c r="G407" s="2"/>
    </row>
    <row r="408" spans="1:7" x14ac:dyDescent="0.2">
      <c r="A408" s="2"/>
      <c r="B408" s="2"/>
      <c r="C408" s="2"/>
      <c r="D408" s="2"/>
      <c r="E408" s="2"/>
      <c r="F408" s="2"/>
      <c r="G408" s="2"/>
    </row>
    <row r="409" spans="1:7" x14ac:dyDescent="0.2">
      <c r="A409" s="2"/>
      <c r="B409" s="2"/>
      <c r="C409" s="2"/>
      <c r="D409" s="2"/>
      <c r="E409" s="2"/>
      <c r="F409" s="2"/>
      <c r="G409" s="2"/>
    </row>
    <row r="410" spans="1:7" x14ac:dyDescent="0.2">
      <c r="A410" s="2"/>
      <c r="B410" s="2"/>
      <c r="C410" s="2"/>
      <c r="D410" s="2"/>
      <c r="E410" s="2"/>
      <c r="F410" s="2"/>
      <c r="G410" s="2"/>
    </row>
    <row r="411" spans="1:7" x14ac:dyDescent="0.2">
      <c r="A411" s="2"/>
      <c r="B411" s="2"/>
      <c r="C411" s="2"/>
      <c r="D411" s="2"/>
      <c r="E411" s="2"/>
      <c r="F411" s="2"/>
      <c r="G411" s="2"/>
    </row>
    <row r="412" spans="1:7" x14ac:dyDescent="0.2">
      <c r="A412" s="2"/>
      <c r="B412" s="2"/>
      <c r="C412" s="2"/>
      <c r="D412" s="2"/>
      <c r="E412" s="2"/>
      <c r="F412" s="2"/>
      <c r="G412" s="2"/>
    </row>
    <row r="413" spans="1:7" x14ac:dyDescent="0.2">
      <c r="A413" s="2"/>
      <c r="B413" s="2"/>
      <c r="C413" s="2"/>
      <c r="D413" s="2"/>
      <c r="E413" s="2"/>
      <c r="F413" s="2"/>
      <c r="G413" s="2"/>
    </row>
    <row r="414" spans="1:7" x14ac:dyDescent="0.2">
      <c r="A414" s="2"/>
      <c r="B414" s="2"/>
      <c r="C414" s="2"/>
      <c r="D414" s="2"/>
      <c r="E414" s="2"/>
      <c r="F414" s="2"/>
      <c r="G414" s="2"/>
    </row>
    <row r="415" spans="1:7" x14ac:dyDescent="0.2">
      <c r="A415" s="2"/>
      <c r="B415" s="2"/>
      <c r="C415" s="2"/>
      <c r="D415" s="2"/>
      <c r="E415" s="2"/>
      <c r="F415" s="2"/>
      <c r="G415" s="2"/>
    </row>
    <row r="416" spans="1:7" x14ac:dyDescent="0.2">
      <c r="A416" s="2"/>
      <c r="B416" s="2"/>
      <c r="C416" s="2"/>
      <c r="D416" s="2"/>
      <c r="E416" s="2"/>
      <c r="F416" s="2"/>
      <c r="G416" s="2"/>
    </row>
    <row r="417" spans="1:7" x14ac:dyDescent="0.2">
      <c r="A417" s="2"/>
      <c r="B417" s="2"/>
      <c r="C417" s="2"/>
      <c r="D417" s="2"/>
      <c r="E417" s="2"/>
      <c r="F417" s="2"/>
      <c r="G417" s="2"/>
    </row>
    <row r="418" spans="1:7" x14ac:dyDescent="0.2">
      <c r="A418" s="2"/>
      <c r="B418" s="2"/>
      <c r="C418" s="2"/>
      <c r="D418" s="2"/>
      <c r="E418" s="2"/>
      <c r="F418" s="2"/>
      <c r="G418" s="2"/>
    </row>
    <row r="419" spans="1:7" x14ac:dyDescent="0.2">
      <c r="A419" s="2"/>
      <c r="B419" s="2"/>
      <c r="C419" s="2"/>
      <c r="D419" s="2"/>
      <c r="E419" s="2"/>
      <c r="F419" s="2"/>
      <c r="G419" s="2"/>
    </row>
    <row r="420" spans="1:7" x14ac:dyDescent="0.2">
      <c r="A420" s="2"/>
      <c r="B420" s="2"/>
      <c r="C420" s="2"/>
      <c r="D420" s="2"/>
      <c r="E420" s="2"/>
      <c r="F420" s="2"/>
      <c r="G420" s="2"/>
    </row>
    <row r="421" spans="1:7" x14ac:dyDescent="0.2">
      <c r="A421" s="2"/>
      <c r="B421" s="2"/>
      <c r="C421" s="2"/>
      <c r="D421" s="2"/>
      <c r="E421" s="2"/>
      <c r="F421" s="2"/>
      <c r="G421" s="2"/>
    </row>
    <row r="422" spans="1:7" x14ac:dyDescent="0.2">
      <c r="A422" s="2"/>
      <c r="B422" s="2"/>
      <c r="C422" s="2"/>
      <c r="D422" s="2"/>
      <c r="E422" s="2"/>
      <c r="F422" s="2"/>
      <c r="G422" s="2"/>
    </row>
    <row r="423" spans="1:7" x14ac:dyDescent="0.2">
      <c r="A423" s="2"/>
      <c r="B423" s="2"/>
      <c r="C423" s="2"/>
      <c r="D423" s="2"/>
      <c r="E423" s="2"/>
      <c r="F423" s="2"/>
      <c r="G423" s="2"/>
    </row>
    <row r="424" spans="1:7" x14ac:dyDescent="0.2">
      <c r="A424" s="2"/>
      <c r="B424" s="2"/>
      <c r="C424" s="2"/>
      <c r="D424" s="2"/>
      <c r="E424" s="2"/>
      <c r="F424" s="2"/>
      <c r="G424" s="2"/>
    </row>
    <row r="425" spans="1:7" x14ac:dyDescent="0.2">
      <c r="A425" s="2"/>
      <c r="B425" s="2"/>
      <c r="C425" s="2"/>
      <c r="D425" s="2"/>
      <c r="E425" s="2"/>
      <c r="F425" s="2"/>
      <c r="G425" s="2"/>
    </row>
    <row r="426" spans="1:7" x14ac:dyDescent="0.2">
      <c r="A426" s="2"/>
      <c r="B426" s="2"/>
      <c r="C426" s="2"/>
      <c r="D426" s="2"/>
      <c r="E426" s="2"/>
      <c r="F426" s="2"/>
      <c r="G426" s="2"/>
    </row>
    <row r="427" spans="1:7" x14ac:dyDescent="0.2">
      <c r="A427" s="2"/>
      <c r="B427" s="2"/>
      <c r="C427" s="2"/>
      <c r="D427" s="2"/>
      <c r="E427" s="2"/>
      <c r="F427" s="2"/>
      <c r="G427" s="2"/>
    </row>
    <row r="428" spans="1:7" x14ac:dyDescent="0.2">
      <c r="A428" s="2"/>
      <c r="B428" s="2"/>
      <c r="C428" s="2"/>
      <c r="D428" s="2"/>
      <c r="E428" s="2"/>
      <c r="F428" s="2"/>
      <c r="G428" s="2"/>
    </row>
    <row r="429" spans="1:7" x14ac:dyDescent="0.2">
      <c r="A429" s="2"/>
      <c r="B429" s="2"/>
      <c r="C429" s="2"/>
      <c r="D429" s="2"/>
      <c r="E429" s="2"/>
      <c r="F429" s="2"/>
      <c r="G429" s="2"/>
    </row>
    <row r="430" spans="1:7" x14ac:dyDescent="0.2">
      <c r="A430" s="2"/>
      <c r="B430" s="2"/>
      <c r="C430" s="2"/>
      <c r="D430" s="2"/>
      <c r="E430" s="2"/>
      <c r="F430" s="2"/>
      <c r="G430" s="2"/>
    </row>
    <row r="431" spans="1:7" x14ac:dyDescent="0.2">
      <c r="A431" s="2"/>
      <c r="B431" s="2"/>
      <c r="C431" s="2"/>
      <c r="D431" s="2"/>
      <c r="E431" s="2"/>
      <c r="F431" s="2"/>
      <c r="G431" s="2"/>
    </row>
    <row r="432" spans="1:7" x14ac:dyDescent="0.2">
      <c r="A432" s="2"/>
      <c r="B432" s="2"/>
      <c r="C432" s="2"/>
      <c r="D432" s="2"/>
      <c r="E432" s="2"/>
      <c r="F432" s="2"/>
      <c r="G432" s="2"/>
    </row>
    <row r="433" spans="1:7" x14ac:dyDescent="0.2">
      <c r="A433" s="2"/>
      <c r="B433" s="2"/>
      <c r="C433" s="2"/>
      <c r="D433" s="2"/>
      <c r="E433" s="2"/>
      <c r="F433" s="2"/>
      <c r="G433" s="2"/>
    </row>
    <row r="434" spans="1:7" x14ac:dyDescent="0.2">
      <c r="A434" s="2"/>
      <c r="B434" s="2"/>
      <c r="C434" s="2"/>
      <c r="D434" s="2"/>
      <c r="E434" s="2"/>
      <c r="F434" s="2"/>
      <c r="G434" s="2"/>
    </row>
    <row r="435" spans="1:7" x14ac:dyDescent="0.2">
      <c r="A435" s="2"/>
      <c r="B435" s="2"/>
      <c r="C435" s="2"/>
      <c r="D435" s="2"/>
      <c r="E435" s="2"/>
      <c r="F435" s="2"/>
      <c r="G435" s="2"/>
    </row>
    <row r="436" spans="1:7" x14ac:dyDescent="0.2">
      <c r="A436" s="2"/>
      <c r="B436" s="2"/>
      <c r="C436" s="2"/>
      <c r="D436" s="2"/>
      <c r="E436" s="2"/>
      <c r="F436" s="2"/>
      <c r="G436" s="2"/>
    </row>
    <row r="437" spans="1:7" x14ac:dyDescent="0.2">
      <c r="A437" s="2"/>
      <c r="B437" s="2"/>
      <c r="C437" s="2"/>
      <c r="D437" s="2"/>
      <c r="E437" s="2"/>
      <c r="F437" s="2"/>
      <c r="G437" s="2"/>
    </row>
    <row r="438" spans="1:7" x14ac:dyDescent="0.2">
      <c r="A438" s="2"/>
      <c r="B438" s="2"/>
      <c r="C438" s="2"/>
      <c r="D438" s="2"/>
      <c r="E438" s="2"/>
      <c r="F438" s="2"/>
      <c r="G438" s="2"/>
    </row>
    <row r="439" spans="1:7" x14ac:dyDescent="0.2">
      <c r="A439" s="2"/>
      <c r="B439" s="2"/>
      <c r="C439" s="2"/>
      <c r="D439" s="2"/>
      <c r="E439" s="2"/>
      <c r="F439" s="2"/>
      <c r="G439" s="2"/>
    </row>
    <row r="440" spans="1:7" x14ac:dyDescent="0.2">
      <c r="A440" s="2"/>
      <c r="B440" s="2"/>
      <c r="C440" s="2"/>
      <c r="D440" s="2"/>
      <c r="E440" s="2"/>
      <c r="F440" s="2"/>
      <c r="G440" s="2"/>
    </row>
    <row r="441" spans="1:7" x14ac:dyDescent="0.2">
      <c r="A441" s="2"/>
      <c r="B441" s="2"/>
      <c r="C441" s="2"/>
      <c r="D441" s="2"/>
      <c r="E441" s="2"/>
      <c r="F441" s="2"/>
      <c r="G441" s="2"/>
    </row>
    <row r="442" spans="1:7" x14ac:dyDescent="0.2">
      <c r="A442" s="2"/>
      <c r="B442" s="2"/>
      <c r="C442" s="2"/>
      <c r="D442" s="2"/>
      <c r="E442" s="2"/>
      <c r="F442" s="2"/>
      <c r="G442" s="2"/>
    </row>
    <row r="443" spans="1:7" x14ac:dyDescent="0.2">
      <c r="A443" s="2"/>
      <c r="B443" s="2"/>
      <c r="C443" s="2"/>
      <c r="D443" s="2"/>
      <c r="E443" s="2"/>
      <c r="F443" s="2"/>
      <c r="G443" s="2"/>
    </row>
    <row r="444" spans="1:7" x14ac:dyDescent="0.2">
      <c r="A444" s="2"/>
      <c r="B444" s="2"/>
      <c r="C444" s="2"/>
      <c r="D444" s="2"/>
      <c r="E444" s="2"/>
      <c r="F444" s="2"/>
      <c r="G444" s="2"/>
    </row>
    <row r="445" spans="1:7" x14ac:dyDescent="0.2">
      <c r="A445" s="2"/>
      <c r="B445" s="2"/>
      <c r="C445" s="2"/>
      <c r="D445" s="2"/>
      <c r="E445" s="2"/>
      <c r="F445" s="2"/>
      <c r="G445" s="2"/>
    </row>
    <row r="446" spans="1:7" x14ac:dyDescent="0.2">
      <c r="A446" s="2"/>
      <c r="B446" s="2"/>
      <c r="C446" s="2"/>
      <c r="D446" s="2"/>
      <c r="E446" s="2"/>
      <c r="F446" s="2"/>
      <c r="G446" s="2"/>
    </row>
    <row r="447" spans="1:7" x14ac:dyDescent="0.2">
      <c r="A447" s="2"/>
      <c r="B447" s="2"/>
      <c r="C447" s="2"/>
      <c r="D447" s="2"/>
      <c r="E447" s="2"/>
      <c r="F447" s="2"/>
      <c r="G447" s="2"/>
    </row>
    <row r="448" spans="1:7" x14ac:dyDescent="0.2">
      <c r="A448" s="2"/>
      <c r="B448" s="2"/>
      <c r="C448" s="2"/>
      <c r="D448" s="2"/>
      <c r="E448" s="2"/>
      <c r="F448" s="2"/>
      <c r="G448" s="2"/>
    </row>
    <row r="449" spans="1:7" x14ac:dyDescent="0.2">
      <c r="A449" s="2"/>
      <c r="B449" s="2"/>
      <c r="C449" s="2"/>
      <c r="D449" s="2"/>
      <c r="E449" s="2"/>
      <c r="F449" s="2"/>
      <c r="G449" s="2"/>
    </row>
    <row r="450" spans="1:7" x14ac:dyDescent="0.2">
      <c r="A450" s="2"/>
      <c r="B450" s="2"/>
      <c r="C450" s="2"/>
      <c r="D450" s="2"/>
      <c r="E450" s="2"/>
      <c r="F450" s="2"/>
      <c r="G450" s="2"/>
    </row>
    <row r="451" spans="1:7" x14ac:dyDescent="0.2">
      <c r="A451" s="2"/>
      <c r="B451" s="2"/>
      <c r="C451" s="2"/>
      <c r="D451" s="2"/>
      <c r="E451" s="2"/>
      <c r="F451" s="2"/>
      <c r="G451" s="2"/>
    </row>
    <row r="452" spans="1:7" x14ac:dyDescent="0.2">
      <c r="A452" s="2"/>
      <c r="B452" s="2"/>
      <c r="C452" s="2"/>
      <c r="D452" s="2"/>
      <c r="E452" s="2"/>
      <c r="F452" s="2"/>
      <c r="G452" s="2"/>
    </row>
    <row r="453" spans="1:7" x14ac:dyDescent="0.2">
      <c r="A453" s="2"/>
      <c r="B453" s="2"/>
      <c r="C453" s="2"/>
      <c r="D453" s="2"/>
      <c r="E453" s="2"/>
      <c r="F453" s="2"/>
      <c r="G453" s="2"/>
    </row>
    <row r="454" spans="1:7" x14ac:dyDescent="0.2">
      <c r="A454" s="2"/>
      <c r="B454" s="2"/>
      <c r="C454" s="2"/>
      <c r="D454" s="2"/>
      <c r="E454" s="2"/>
      <c r="F454" s="2"/>
      <c r="G454" s="2"/>
    </row>
    <row r="455" spans="1:7" x14ac:dyDescent="0.2">
      <c r="A455" s="2"/>
      <c r="B455" s="2"/>
      <c r="C455" s="2"/>
      <c r="D455" s="2"/>
      <c r="E455" s="2"/>
      <c r="F455" s="2"/>
      <c r="G455" s="2"/>
    </row>
    <row r="456" spans="1:7" x14ac:dyDescent="0.2">
      <c r="A456" s="2"/>
      <c r="B456" s="2"/>
      <c r="C456" s="2"/>
      <c r="D456" s="2"/>
      <c r="E456" s="2"/>
      <c r="F456" s="2"/>
      <c r="G456" s="2"/>
    </row>
    <row r="457" spans="1:7" x14ac:dyDescent="0.2">
      <c r="A457" s="2"/>
      <c r="B457" s="2"/>
      <c r="C457" s="2"/>
      <c r="D457" s="2"/>
      <c r="E457" s="2"/>
      <c r="F457" s="2"/>
      <c r="G457" s="2"/>
    </row>
    <row r="458" spans="1:7" x14ac:dyDescent="0.2">
      <c r="A458" s="2"/>
      <c r="B458" s="2"/>
      <c r="C458" s="2"/>
      <c r="D458" s="2"/>
      <c r="E458" s="2"/>
      <c r="F458" s="2"/>
      <c r="G458" s="2"/>
    </row>
    <row r="459" spans="1:7" x14ac:dyDescent="0.2">
      <c r="A459" s="2"/>
      <c r="B459" s="2"/>
      <c r="C459" s="2"/>
      <c r="D459" s="2"/>
      <c r="E459" s="2"/>
      <c r="F459" s="2"/>
      <c r="G459" s="2"/>
    </row>
    <row r="460" spans="1:7" x14ac:dyDescent="0.2">
      <c r="A460" s="2"/>
      <c r="B460" s="2"/>
      <c r="C460" s="2"/>
      <c r="D460" s="2"/>
      <c r="E460" s="2"/>
      <c r="F460" s="2"/>
      <c r="G460" s="2"/>
    </row>
    <row r="461" spans="1:7" x14ac:dyDescent="0.2">
      <c r="A461" s="2"/>
      <c r="B461" s="2"/>
      <c r="C461" s="2"/>
      <c r="D461" s="2"/>
      <c r="E461" s="2"/>
      <c r="F461" s="2"/>
      <c r="G461" s="2"/>
    </row>
    <row r="462" spans="1:7" x14ac:dyDescent="0.2">
      <c r="A462" s="2"/>
      <c r="B462" s="2"/>
      <c r="C462" s="2"/>
      <c r="D462" s="2"/>
      <c r="E462" s="2"/>
      <c r="F462" s="2"/>
      <c r="G462" s="2"/>
    </row>
    <row r="463" spans="1:7" x14ac:dyDescent="0.2">
      <c r="A463" s="2"/>
      <c r="B463" s="2"/>
      <c r="C463" s="2"/>
      <c r="D463" s="2"/>
      <c r="E463" s="2"/>
      <c r="F463" s="2"/>
      <c r="G463" s="2"/>
    </row>
    <row r="464" spans="1:7" x14ac:dyDescent="0.2">
      <c r="A464" s="2"/>
      <c r="B464" s="2"/>
      <c r="C464" s="2"/>
      <c r="D464" s="2"/>
      <c r="E464" s="2"/>
      <c r="F464" s="2"/>
      <c r="G464" s="2"/>
    </row>
    <row r="465" spans="1:7" x14ac:dyDescent="0.2">
      <c r="A465" s="2"/>
      <c r="B465" s="2"/>
      <c r="C465" s="2"/>
      <c r="D465" s="2"/>
      <c r="E465" s="2"/>
      <c r="F465" s="2"/>
      <c r="G465" s="2"/>
    </row>
    <row r="466" spans="1:7" x14ac:dyDescent="0.2">
      <c r="A466" s="2"/>
      <c r="B466" s="2"/>
      <c r="C466" s="2"/>
      <c r="D466" s="2"/>
      <c r="E466" s="2"/>
      <c r="F466" s="2"/>
      <c r="G466" s="2"/>
    </row>
    <row r="467" spans="1:7" x14ac:dyDescent="0.2">
      <c r="A467" s="2"/>
      <c r="B467" s="2"/>
      <c r="C467" s="2"/>
      <c r="D467" s="2"/>
      <c r="E467" s="2"/>
      <c r="F467" s="2"/>
      <c r="G467" s="2"/>
    </row>
    <row r="468" spans="1:7" x14ac:dyDescent="0.2">
      <c r="A468" s="2"/>
      <c r="B468" s="2"/>
      <c r="C468" s="2"/>
      <c r="D468" s="2"/>
      <c r="E468" s="2"/>
      <c r="F468" s="2"/>
      <c r="G468" s="2"/>
    </row>
    <row r="469" spans="1:7" x14ac:dyDescent="0.2">
      <c r="A469" s="2"/>
      <c r="B469" s="2"/>
      <c r="C469" s="2"/>
      <c r="D469" s="2"/>
      <c r="E469" s="2"/>
      <c r="F469" s="2"/>
      <c r="G469" s="2"/>
    </row>
    <row r="470" spans="1:7" x14ac:dyDescent="0.2">
      <c r="A470" s="2"/>
      <c r="B470" s="2"/>
      <c r="C470" s="2"/>
      <c r="D470" s="2"/>
      <c r="E470" s="2"/>
      <c r="F470" s="2"/>
      <c r="G470" s="2"/>
    </row>
    <row r="471" spans="1:7" x14ac:dyDescent="0.2">
      <c r="A471" s="2"/>
      <c r="B471" s="2"/>
      <c r="C471" s="2"/>
      <c r="D471" s="2"/>
      <c r="E471" s="2"/>
      <c r="F471" s="2"/>
      <c r="G471" s="2"/>
    </row>
    <row r="472" spans="1:7" x14ac:dyDescent="0.2">
      <c r="A472" s="2"/>
      <c r="B472" s="2"/>
      <c r="C472" s="2"/>
      <c r="D472" s="2"/>
      <c r="E472" s="2"/>
      <c r="F472" s="2"/>
      <c r="G472" s="2"/>
    </row>
    <row r="473" spans="1:7" x14ac:dyDescent="0.2">
      <c r="A473" s="2"/>
      <c r="B473" s="2"/>
      <c r="C473" s="2"/>
      <c r="D473" s="2"/>
      <c r="E473" s="2"/>
      <c r="F473" s="2"/>
      <c r="G473" s="2"/>
    </row>
    <row r="474" spans="1:7" x14ac:dyDescent="0.2">
      <c r="A474" s="2"/>
      <c r="B474" s="2"/>
      <c r="C474" s="2"/>
      <c r="D474" s="2"/>
      <c r="E474" s="2"/>
      <c r="F474" s="2"/>
      <c r="G474" s="2"/>
    </row>
    <row r="475" spans="1:7" x14ac:dyDescent="0.2">
      <c r="A475" s="2"/>
      <c r="B475" s="2"/>
      <c r="C475" s="2"/>
      <c r="D475" s="2"/>
      <c r="E475" s="2"/>
      <c r="F475" s="2"/>
      <c r="G475" s="2"/>
    </row>
    <row r="476" spans="1:7" x14ac:dyDescent="0.2">
      <c r="A476" s="2"/>
      <c r="B476" s="2"/>
      <c r="C476" s="2"/>
      <c r="D476" s="2"/>
      <c r="E476" s="2"/>
      <c r="F476" s="2"/>
      <c r="G476" s="2"/>
    </row>
    <row r="477" spans="1:7" x14ac:dyDescent="0.2">
      <c r="A477" s="2"/>
      <c r="B477" s="2"/>
      <c r="C477" s="2"/>
      <c r="D477" s="2"/>
      <c r="E477" s="2"/>
      <c r="F477" s="2"/>
      <c r="G477" s="2"/>
    </row>
    <row r="478" spans="1:7" x14ac:dyDescent="0.2">
      <c r="A478" s="2"/>
      <c r="B478" s="2"/>
      <c r="C478" s="2"/>
      <c r="D478" s="2"/>
      <c r="E478" s="2"/>
      <c r="F478" s="2"/>
      <c r="G478" s="2"/>
    </row>
    <row r="479" spans="1:7" x14ac:dyDescent="0.2">
      <c r="A479" s="2"/>
      <c r="B479" s="2"/>
      <c r="C479" s="2"/>
      <c r="D479" s="2"/>
      <c r="E479" s="2"/>
      <c r="F479" s="2"/>
      <c r="G479" s="2"/>
    </row>
    <row r="480" spans="1:7" x14ac:dyDescent="0.2">
      <c r="A480" s="2"/>
      <c r="B480" s="2"/>
      <c r="C480" s="2"/>
      <c r="D480" s="2"/>
      <c r="E480" s="2"/>
      <c r="F480" s="2"/>
      <c r="G480" s="2"/>
    </row>
    <row r="481" spans="1:7" x14ac:dyDescent="0.2">
      <c r="A481" s="2"/>
      <c r="B481" s="2"/>
      <c r="C481" s="2"/>
      <c r="D481" s="2"/>
      <c r="E481" s="2"/>
      <c r="F481" s="2"/>
      <c r="G481" s="2"/>
    </row>
    <row r="482" spans="1:7" x14ac:dyDescent="0.2">
      <c r="A482" s="2"/>
      <c r="B482" s="2"/>
      <c r="C482" s="2"/>
      <c r="D482" s="2"/>
      <c r="E482" s="2"/>
      <c r="F482" s="2"/>
      <c r="G482" s="2"/>
    </row>
    <row r="483" spans="1:7" x14ac:dyDescent="0.2">
      <c r="A483" s="2"/>
      <c r="B483" s="2"/>
      <c r="C483" s="2"/>
      <c r="D483" s="2"/>
      <c r="E483" s="2"/>
      <c r="F483" s="2"/>
      <c r="G483" s="2"/>
    </row>
    <row r="484" spans="1:7" x14ac:dyDescent="0.2">
      <c r="A484" s="2"/>
      <c r="B484" s="2"/>
      <c r="C484" s="2"/>
      <c r="D484" s="2"/>
      <c r="E484" s="2"/>
      <c r="F484" s="2"/>
      <c r="G484" s="2"/>
    </row>
    <row r="485" spans="1:7" x14ac:dyDescent="0.2">
      <c r="A485" s="2"/>
      <c r="B485" s="2"/>
      <c r="C485" s="2"/>
      <c r="D485" s="2"/>
      <c r="E485" s="2"/>
      <c r="F485" s="2"/>
      <c r="G485" s="2"/>
    </row>
    <row r="486" spans="1:7" x14ac:dyDescent="0.2">
      <c r="A486" s="2"/>
      <c r="B486" s="2"/>
      <c r="C486" s="2"/>
      <c r="D486" s="2"/>
      <c r="E486" s="2"/>
      <c r="F486" s="2"/>
      <c r="G486" s="2"/>
    </row>
    <row r="487" spans="1:7" x14ac:dyDescent="0.2">
      <c r="A487" s="2"/>
      <c r="B487" s="2"/>
      <c r="C487" s="2"/>
      <c r="D487" s="2"/>
      <c r="E487" s="2"/>
      <c r="F487" s="2"/>
      <c r="G487" s="2"/>
    </row>
    <row r="488" spans="1:7" x14ac:dyDescent="0.2">
      <c r="A488" s="2"/>
      <c r="B488" s="2"/>
      <c r="C488" s="2"/>
      <c r="D488" s="2"/>
      <c r="E488" s="2"/>
      <c r="F488" s="2"/>
      <c r="G488" s="2"/>
    </row>
    <row r="489" spans="1:7" x14ac:dyDescent="0.2">
      <c r="A489" s="2"/>
      <c r="B489" s="2"/>
      <c r="C489" s="2"/>
      <c r="D489" s="2"/>
      <c r="E489" s="2"/>
      <c r="F489" s="2"/>
      <c r="G489" s="2"/>
    </row>
    <row r="490" spans="1:7" x14ac:dyDescent="0.2">
      <c r="A490" s="2"/>
      <c r="B490" s="2"/>
      <c r="C490" s="2"/>
      <c r="D490" s="2"/>
      <c r="E490" s="2"/>
      <c r="F490" s="2"/>
      <c r="G490" s="2"/>
    </row>
    <row r="491" spans="1:7" x14ac:dyDescent="0.2">
      <c r="A491" s="2"/>
      <c r="B491" s="2"/>
      <c r="C491" s="2"/>
      <c r="D491" s="2"/>
      <c r="E491" s="2"/>
      <c r="F491" s="2"/>
      <c r="G491" s="2"/>
    </row>
    <row r="492" spans="1:7" x14ac:dyDescent="0.2">
      <c r="A492" s="2"/>
      <c r="B492" s="2"/>
      <c r="C492" s="2"/>
      <c r="D492" s="2"/>
      <c r="E492" s="2"/>
      <c r="F492" s="2"/>
      <c r="G492" s="2"/>
    </row>
    <row r="493" spans="1:7" x14ac:dyDescent="0.2">
      <c r="A493" s="2"/>
      <c r="B493" s="2"/>
      <c r="C493" s="2"/>
      <c r="D493" s="2"/>
      <c r="E493" s="2"/>
      <c r="F493" s="2"/>
      <c r="G493" s="2"/>
    </row>
    <row r="494" spans="1:7" x14ac:dyDescent="0.2">
      <c r="A494" s="2"/>
      <c r="B494" s="2"/>
      <c r="C494" s="2"/>
      <c r="D494" s="2"/>
      <c r="E494" s="2"/>
      <c r="F494" s="2"/>
      <c r="G494" s="2"/>
    </row>
    <row r="495" spans="1:7" x14ac:dyDescent="0.2">
      <c r="A495" s="2"/>
      <c r="B495" s="2"/>
      <c r="C495" s="2"/>
      <c r="D495" s="2"/>
      <c r="E495" s="2"/>
      <c r="F495" s="2"/>
      <c r="G495" s="2"/>
    </row>
    <row r="496" spans="1:7" x14ac:dyDescent="0.2">
      <c r="A496" s="2"/>
      <c r="B496" s="2"/>
      <c r="C496" s="2"/>
      <c r="D496" s="2"/>
      <c r="E496" s="2"/>
      <c r="F496" s="2"/>
      <c r="G496" s="2"/>
    </row>
    <row r="497" spans="1:7" x14ac:dyDescent="0.2">
      <c r="A497" s="2"/>
      <c r="B497" s="2"/>
      <c r="C497" s="2"/>
      <c r="D497" s="2"/>
      <c r="E497" s="2"/>
      <c r="F497" s="2"/>
      <c r="G497" s="2"/>
    </row>
    <row r="498" spans="1:7" x14ac:dyDescent="0.2">
      <c r="A498" s="2"/>
      <c r="B498" s="2"/>
      <c r="C498" s="2"/>
      <c r="D498" s="2"/>
      <c r="E498" s="2"/>
      <c r="F498" s="2"/>
      <c r="G498" s="2"/>
    </row>
    <row r="499" spans="1:7" x14ac:dyDescent="0.2">
      <c r="A499" s="2"/>
      <c r="B499" s="2"/>
      <c r="C499" s="2"/>
      <c r="D499" s="2"/>
      <c r="E499" s="2"/>
      <c r="F499" s="2"/>
      <c r="G499" s="2"/>
    </row>
    <row r="500" spans="1:7" x14ac:dyDescent="0.2">
      <c r="A500" s="2"/>
      <c r="B500" s="2"/>
      <c r="C500" s="2"/>
      <c r="D500" s="2"/>
      <c r="E500" s="2"/>
      <c r="F500" s="2"/>
      <c r="G500" s="2"/>
    </row>
    <row r="501" spans="1:7" x14ac:dyDescent="0.2">
      <c r="A501" s="2"/>
      <c r="B501" s="2"/>
      <c r="C501" s="2"/>
      <c r="D501" s="2"/>
      <c r="E501" s="2"/>
      <c r="F501" s="2"/>
      <c r="G501" s="2"/>
    </row>
    <row r="502" spans="1:7" x14ac:dyDescent="0.2">
      <c r="A502" s="2"/>
      <c r="B502" s="2"/>
      <c r="C502" s="2"/>
      <c r="D502" s="2"/>
      <c r="E502" s="2"/>
      <c r="F502" s="2"/>
      <c r="G502" s="2"/>
    </row>
    <row r="503" spans="1:7" x14ac:dyDescent="0.2">
      <c r="A503" s="2"/>
      <c r="B503" s="2"/>
      <c r="C503" s="2"/>
      <c r="D503" s="2"/>
      <c r="E503" s="2"/>
      <c r="F503" s="2"/>
      <c r="G503" s="2"/>
    </row>
    <row r="504" spans="1:7" x14ac:dyDescent="0.2">
      <c r="A504" s="2"/>
      <c r="B504" s="2"/>
      <c r="C504" s="2"/>
      <c r="D504" s="2"/>
      <c r="E504" s="2"/>
      <c r="F504" s="2"/>
      <c r="G504" s="2"/>
    </row>
    <row r="505" spans="1:7" x14ac:dyDescent="0.2">
      <c r="A505" s="2"/>
      <c r="B505" s="2"/>
      <c r="C505" s="2"/>
      <c r="D505" s="2"/>
      <c r="E505" s="2"/>
      <c r="F505" s="2"/>
      <c r="G505" s="2"/>
    </row>
    <row r="506" spans="1:7" x14ac:dyDescent="0.2">
      <c r="A506" s="2"/>
      <c r="B506" s="2"/>
      <c r="C506" s="2"/>
      <c r="D506" s="2"/>
      <c r="E506" s="2"/>
      <c r="F506" s="2"/>
      <c r="G506" s="2"/>
    </row>
    <row r="507" spans="1:7" x14ac:dyDescent="0.2">
      <c r="A507" s="2"/>
      <c r="B507" s="2"/>
      <c r="C507" s="2"/>
      <c r="D507" s="2"/>
      <c r="E507" s="2"/>
      <c r="F507" s="2"/>
      <c r="G507" s="2"/>
    </row>
    <row r="508" spans="1:7" x14ac:dyDescent="0.2">
      <c r="A508" s="2"/>
      <c r="B508" s="2"/>
      <c r="C508" s="2"/>
      <c r="D508" s="2"/>
      <c r="E508" s="2"/>
      <c r="F508" s="2"/>
      <c r="G508" s="2"/>
    </row>
    <row r="509" spans="1:7" x14ac:dyDescent="0.2">
      <c r="A509" s="2"/>
      <c r="B509" s="2"/>
      <c r="C509" s="2"/>
      <c r="D509" s="2"/>
      <c r="E509" s="2"/>
      <c r="F509" s="2"/>
      <c r="G509" s="2"/>
    </row>
    <row r="510" spans="1:7" x14ac:dyDescent="0.2">
      <c r="A510" s="2"/>
      <c r="B510" s="2"/>
      <c r="C510" s="2"/>
      <c r="D510" s="2"/>
      <c r="E510" s="2"/>
      <c r="F510" s="2"/>
      <c r="G510" s="2"/>
    </row>
    <row r="511" spans="1:7" x14ac:dyDescent="0.2">
      <c r="A511" s="2"/>
      <c r="B511" s="2"/>
      <c r="C511" s="2"/>
      <c r="D511" s="2"/>
      <c r="E511" s="2"/>
      <c r="F511" s="2"/>
      <c r="G511" s="2"/>
    </row>
    <row r="512" spans="1:7" x14ac:dyDescent="0.2">
      <c r="A512" s="2"/>
      <c r="B512" s="2"/>
      <c r="C512" s="2"/>
      <c r="D512" s="2"/>
      <c r="E512" s="2"/>
      <c r="F512" s="2"/>
      <c r="G512" s="2"/>
    </row>
    <row r="513" spans="1:7" x14ac:dyDescent="0.2">
      <c r="A513" s="2"/>
      <c r="B513" s="2"/>
      <c r="C513" s="2"/>
      <c r="D513" s="2"/>
      <c r="E513" s="2"/>
      <c r="F513" s="2"/>
      <c r="G513" s="2"/>
    </row>
    <row r="514" spans="1:7" x14ac:dyDescent="0.2">
      <c r="A514" s="2"/>
      <c r="B514" s="2"/>
      <c r="C514" s="2"/>
      <c r="D514" s="2"/>
      <c r="E514" s="2"/>
      <c r="F514" s="2"/>
      <c r="G514" s="2"/>
    </row>
    <row r="515" spans="1:7" x14ac:dyDescent="0.2">
      <c r="A515" s="2"/>
      <c r="B515" s="2"/>
      <c r="C515" s="2"/>
      <c r="D515" s="2"/>
      <c r="E515" s="2"/>
      <c r="F515" s="2"/>
      <c r="G515" s="2"/>
    </row>
    <row r="516" spans="1:7" x14ac:dyDescent="0.2">
      <c r="A516" s="2"/>
      <c r="B516" s="2"/>
      <c r="C516" s="2"/>
      <c r="D516" s="2"/>
      <c r="E516" s="2"/>
      <c r="F516" s="2"/>
      <c r="G516" s="2"/>
    </row>
    <row r="517" spans="1:7" x14ac:dyDescent="0.2">
      <c r="A517" s="2"/>
      <c r="B517" s="2"/>
      <c r="C517" s="2"/>
      <c r="D517" s="2"/>
      <c r="E517" s="2"/>
      <c r="F517" s="2"/>
      <c r="G517" s="2"/>
    </row>
    <row r="518" spans="1:7" x14ac:dyDescent="0.2">
      <c r="A518" s="2"/>
      <c r="B518" s="2"/>
      <c r="C518" s="2"/>
      <c r="D518" s="2"/>
      <c r="E518" s="2"/>
      <c r="F518" s="2"/>
      <c r="G518" s="2"/>
    </row>
    <row r="519" spans="1:7" x14ac:dyDescent="0.2">
      <c r="A519" s="2"/>
      <c r="B519" s="2"/>
      <c r="C519" s="2"/>
      <c r="D519" s="2"/>
      <c r="E519" s="2"/>
      <c r="F519" s="2"/>
      <c r="G519" s="2"/>
    </row>
    <row r="520" spans="1:7" x14ac:dyDescent="0.2">
      <c r="A520" s="2"/>
      <c r="B520" s="2"/>
      <c r="C520" s="2"/>
      <c r="D520" s="2"/>
      <c r="E520" s="2"/>
      <c r="F520" s="2"/>
      <c r="G520" s="2"/>
    </row>
    <row r="521" spans="1:7" x14ac:dyDescent="0.2">
      <c r="A521" s="2"/>
      <c r="B521" s="2"/>
      <c r="C521" s="2"/>
      <c r="D521" s="2"/>
      <c r="E521" s="2"/>
      <c r="F521" s="2"/>
      <c r="G521" s="2"/>
    </row>
    <row r="522" spans="1:7" x14ac:dyDescent="0.2">
      <c r="A522" s="2"/>
      <c r="B522" s="2"/>
      <c r="C522" s="2"/>
      <c r="D522" s="2"/>
      <c r="E522" s="2"/>
      <c r="F522" s="2"/>
      <c r="G522" s="2"/>
    </row>
    <row r="523" spans="1:7" x14ac:dyDescent="0.2">
      <c r="A523" s="2"/>
      <c r="B523" s="2"/>
      <c r="C523" s="2"/>
      <c r="D523" s="2"/>
      <c r="E523" s="2"/>
      <c r="F523" s="2"/>
      <c r="G523" s="2"/>
    </row>
    <row r="524" spans="1:7" x14ac:dyDescent="0.2">
      <c r="A524" s="2"/>
      <c r="B524" s="2"/>
      <c r="C524" s="2"/>
      <c r="D524" s="2"/>
      <c r="E524" s="2"/>
      <c r="F524" s="2"/>
      <c r="G524" s="2"/>
    </row>
    <row r="525" spans="1:7" x14ac:dyDescent="0.2">
      <c r="A525" s="2"/>
      <c r="B525" s="2"/>
      <c r="C525" s="2"/>
      <c r="D525" s="2"/>
      <c r="E525" s="2"/>
      <c r="F525" s="2"/>
      <c r="G525" s="2"/>
    </row>
    <row r="526" spans="1:7" x14ac:dyDescent="0.2">
      <c r="A526" s="2"/>
      <c r="B526" s="2"/>
      <c r="C526" s="2"/>
      <c r="D526" s="2"/>
      <c r="E526" s="2"/>
      <c r="F526" s="2"/>
      <c r="G526" s="2"/>
    </row>
    <row r="527" spans="1:7" x14ac:dyDescent="0.2">
      <c r="A527" s="2"/>
      <c r="B527" s="2"/>
      <c r="C527" s="2"/>
      <c r="D527" s="2"/>
      <c r="E527" s="2"/>
      <c r="F527" s="2"/>
      <c r="G527" s="2"/>
    </row>
    <row r="528" spans="1:7" x14ac:dyDescent="0.2">
      <c r="A528" s="2"/>
      <c r="B528" s="2"/>
      <c r="C528" s="2"/>
      <c r="D528" s="2"/>
      <c r="E528" s="2"/>
      <c r="F528" s="2"/>
      <c r="G528" s="2"/>
    </row>
    <row r="529" spans="1:7" x14ac:dyDescent="0.2">
      <c r="A529" s="2"/>
      <c r="B529" s="2"/>
      <c r="C529" s="2"/>
      <c r="D529" s="2"/>
      <c r="E529" s="2"/>
      <c r="F529" s="2"/>
      <c r="G529" s="2"/>
    </row>
    <row r="530" spans="1:7" x14ac:dyDescent="0.2">
      <c r="A530" s="2"/>
      <c r="B530" s="2"/>
      <c r="C530" s="2"/>
      <c r="D530" s="2"/>
      <c r="E530" s="2"/>
      <c r="F530" s="2"/>
      <c r="G530" s="2"/>
    </row>
    <row r="531" spans="1:7" x14ac:dyDescent="0.2">
      <c r="A531" s="2"/>
      <c r="B531" s="2"/>
      <c r="C531" s="2"/>
      <c r="D531" s="2"/>
      <c r="E531" s="2"/>
      <c r="F531" s="2"/>
      <c r="G531" s="2"/>
    </row>
    <row r="532" spans="1:7" x14ac:dyDescent="0.2">
      <c r="A532" s="2"/>
      <c r="B532" s="2"/>
      <c r="C532" s="2"/>
      <c r="D532" s="2"/>
      <c r="E532" s="2"/>
      <c r="F532" s="2"/>
      <c r="G532" s="2"/>
    </row>
    <row r="533" spans="1:7" x14ac:dyDescent="0.2">
      <c r="A533" s="2"/>
      <c r="B533" s="2"/>
      <c r="C533" s="2"/>
      <c r="D533" s="2"/>
      <c r="E533" s="2"/>
      <c r="F533" s="2"/>
      <c r="G533" s="2"/>
    </row>
    <row r="534" spans="1:7" x14ac:dyDescent="0.2">
      <c r="A534" s="2"/>
      <c r="B534" s="2"/>
      <c r="C534" s="2"/>
      <c r="D534" s="2"/>
      <c r="E534" s="2"/>
      <c r="F534" s="2"/>
      <c r="G534" s="2"/>
    </row>
    <row r="535" spans="1:7" x14ac:dyDescent="0.2">
      <c r="A535" s="2"/>
      <c r="B535" s="2"/>
      <c r="C535" s="2"/>
      <c r="D535" s="2"/>
      <c r="E535" s="2"/>
      <c r="F535" s="2"/>
      <c r="G535" s="2"/>
    </row>
    <row r="536" spans="1:7" x14ac:dyDescent="0.2">
      <c r="A536" s="2"/>
      <c r="B536" s="2"/>
      <c r="C536" s="2"/>
      <c r="D536" s="2"/>
      <c r="E536" s="2"/>
      <c r="F536" s="2"/>
      <c r="G536" s="2"/>
    </row>
    <row r="537" spans="1:7" x14ac:dyDescent="0.2">
      <c r="A537" s="2"/>
      <c r="B537" s="2"/>
      <c r="C537" s="2"/>
      <c r="D537" s="2"/>
      <c r="E537" s="2"/>
      <c r="F537" s="2"/>
      <c r="G537" s="2"/>
    </row>
    <row r="538" spans="1:7" x14ac:dyDescent="0.2">
      <c r="A538" s="2"/>
      <c r="B538" s="2"/>
      <c r="C538" s="2"/>
      <c r="D538" s="2"/>
      <c r="E538" s="2"/>
      <c r="F538" s="2"/>
      <c r="G538" s="2"/>
    </row>
    <row r="539" spans="1:7" x14ac:dyDescent="0.2">
      <c r="A539" s="2"/>
      <c r="B539" s="2"/>
      <c r="C539" s="2"/>
      <c r="D539" s="2"/>
      <c r="E539" s="2"/>
      <c r="F539" s="2"/>
      <c r="G539" s="2"/>
    </row>
    <row r="540" spans="1:7" x14ac:dyDescent="0.2">
      <c r="A540" s="2"/>
      <c r="B540" s="2"/>
      <c r="C540" s="2"/>
      <c r="D540" s="2"/>
      <c r="E540" s="2"/>
      <c r="F540" s="2"/>
      <c r="G540" s="2"/>
    </row>
    <row r="541" spans="1:7" x14ac:dyDescent="0.2">
      <c r="A541" s="2"/>
      <c r="B541" s="2"/>
      <c r="C541" s="2"/>
      <c r="D541" s="2"/>
      <c r="E541" s="2"/>
      <c r="F541" s="2"/>
      <c r="G541" s="2"/>
    </row>
    <row r="542" spans="1:7" x14ac:dyDescent="0.2">
      <c r="A542" s="2"/>
      <c r="B542" s="2"/>
      <c r="C542" s="2"/>
      <c r="D542" s="2"/>
      <c r="E542" s="2"/>
      <c r="F542" s="2"/>
      <c r="G542" s="2"/>
    </row>
    <row r="543" spans="1:7" x14ac:dyDescent="0.2">
      <c r="A543" s="2"/>
      <c r="B543" s="2"/>
      <c r="C543" s="2"/>
      <c r="D543" s="2"/>
      <c r="E543" s="2"/>
      <c r="F543" s="2"/>
      <c r="G543" s="2"/>
    </row>
    <row r="544" spans="1:7" x14ac:dyDescent="0.2">
      <c r="A544" s="2"/>
      <c r="B544" s="2"/>
      <c r="C544" s="2"/>
      <c r="D544" s="2"/>
      <c r="E544" s="2"/>
      <c r="F544" s="2"/>
      <c r="G544" s="2"/>
    </row>
    <row r="545" spans="1:7" x14ac:dyDescent="0.2">
      <c r="A545" s="2"/>
      <c r="B545" s="2"/>
      <c r="C545" s="2"/>
      <c r="D545" s="2"/>
      <c r="E545" s="2"/>
      <c r="F545" s="2"/>
      <c r="G545" s="2"/>
    </row>
    <row r="546" spans="1:7" x14ac:dyDescent="0.2">
      <c r="A546" s="2"/>
      <c r="B546" s="2"/>
      <c r="C546" s="2"/>
      <c r="D546" s="2"/>
      <c r="E546" s="2"/>
      <c r="F546" s="2"/>
      <c r="G546" s="2"/>
    </row>
    <row r="547" spans="1:7" x14ac:dyDescent="0.2">
      <c r="A547" s="2"/>
      <c r="B547" s="2"/>
      <c r="C547" s="2"/>
      <c r="D547" s="2"/>
      <c r="E547" s="2"/>
      <c r="F547" s="2"/>
      <c r="G547" s="2"/>
    </row>
    <row r="548" spans="1:7" x14ac:dyDescent="0.2">
      <c r="A548" s="2"/>
      <c r="B548" s="2"/>
      <c r="C548" s="2"/>
      <c r="D548" s="2"/>
      <c r="E548" s="2"/>
      <c r="F548" s="2"/>
      <c r="G548" s="2"/>
    </row>
    <row r="549" spans="1:7" x14ac:dyDescent="0.2">
      <c r="A549" s="2"/>
      <c r="B549" s="2"/>
      <c r="C549" s="2"/>
      <c r="D549" s="2"/>
      <c r="E549" s="2"/>
      <c r="F549" s="2"/>
      <c r="G549" s="2"/>
    </row>
    <row r="550" spans="1:7" x14ac:dyDescent="0.2">
      <c r="A550" s="2"/>
      <c r="B550" s="2"/>
      <c r="C550" s="2"/>
      <c r="D550" s="2"/>
      <c r="E550" s="2"/>
      <c r="F550" s="2"/>
      <c r="G550" s="2"/>
    </row>
    <row r="551" spans="1:7" x14ac:dyDescent="0.2">
      <c r="A551" s="2"/>
      <c r="B551" s="2"/>
      <c r="C551" s="2"/>
      <c r="D551" s="2"/>
      <c r="E551" s="2"/>
      <c r="F551" s="2"/>
      <c r="G551" s="2"/>
    </row>
    <row r="552" spans="1:7" x14ac:dyDescent="0.2">
      <c r="A552" s="2"/>
      <c r="B552" s="2"/>
      <c r="C552" s="2"/>
      <c r="D552" s="2"/>
      <c r="E552" s="2"/>
      <c r="F552" s="2"/>
      <c r="G552" s="2"/>
    </row>
    <row r="553" spans="1:7" x14ac:dyDescent="0.2">
      <c r="A553" s="2"/>
      <c r="B553" s="2"/>
      <c r="C553" s="2"/>
      <c r="D553" s="2"/>
      <c r="E553" s="2"/>
      <c r="F553" s="2"/>
      <c r="G553" s="2"/>
    </row>
    <row r="554" spans="1:7" x14ac:dyDescent="0.2">
      <c r="A554" s="2"/>
      <c r="B554" s="2"/>
      <c r="C554" s="2"/>
      <c r="D554" s="2"/>
      <c r="E554" s="2"/>
      <c r="F554" s="2"/>
      <c r="G554" s="2"/>
    </row>
    <row r="555" spans="1:7" x14ac:dyDescent="0.2">
      <c r="A555" s="2"/>
      <c r="B555" s="2"/>
      <c r="C555" s="2"/>
      <c r="D555" s="2"/>
      <c r="E555" s="2"/>
      <c r="F555" s="2"/>
      <c r="G555" s="2"/>
    </row>
    <row r="556" spans="1:7" x14ac:dyDescent="0.2">
      <c r="A556" s="2"/>
      <c r="B556" s="2"/>
      <c r="C556" s="2"/>
      <c r="D556" s="2"/>
      <c r="E556" s="2"/>
      <c r="F556" s="2"/>
      <c r="G556" s="2"/>
    </row>
    <row r="557" spans="1:7" x14ac:dyDescent="0.2">
      <c r="A557" s="2"/>
      <c r="B557" s="2"/>
      <c r="C557" s="2"/>
      <c r="D557" s="2"/>
      <c r="E557" s="2"/>
      <c r="F557" s="2"/>
      <c r="G557" s="2"/>
    </row>
    <row r="558" spans="1:7" x14ac:dyDescent="0.2">
      <c r="A558" s="2"/>
      <c r="B558" s="2"/>
      <c r="C558" s="2"/>
      <c r="D558" s="2"/>
      <c r="E558" s="2"/>
      <c r="F558" s="2"/>
      <c r="G558" s="2"/>
    </row>
    <row r="559" spans="1:7" x14ac:dyDescent="0.2">
      <c r="A559" s="2"/>
      <c r="B559" s="2"/>
      <c r="C559" s="2"/>
      <c r="D559" s="2"/>
      <c r="E559" s="2"/>
      <c r="F559" s="2"/>
      <c r="G559" s="2"/>
    </row>
    <row r="560" spans="1:7" x14ac:dyDescent="0.2">
      <c r="A560" s="2"/>
      <c r="B560" s="2"/>
      <c r="C560" s="2"/>
      <c r="D560" s="2"/>
      <c r="E560" s="2"/>
      <c r="F560" s="2"/>
      <c r="G560" s="2"/>
    </row>
    <row r="561" spans="1:7" x14ac:dyDescent="0.2">
      <c r="A561" s="2"/>
      <c r="B561" s="2"/>
      <c r="C561" s="2"/>
      <c r="D561" s="2"/>
      <c r="E561" s="2"/>
      <c r="F561" s="2"/>
      <c r="G561" s="2"/>
    </row>
    <row r="562" spans="1:7" x14ac:dyDescent="0.2">
      <c r="A562" s="2"/>
      <c r="B562" s="2"/>
      <c r="C562" s="2"/>
      <c r="D562" s="2"/>
      <c r="E562" s="2"/>
      <c r="F562" s="2"/>
      <c r="G562" s="2"/>
    </row>
    <row r="563" spans="1:7" x14ac:dyDescent="0.2">
      <c r="A563" s="2"/>
      <c r="B563" s="2"/>
      <c r="C563" s="2"/>
      <c r="D563" s="2"/>
      <c r="E563" s="2"/>
      <c r="F563" s="2"/>
      <c r="G563" s="2"/>
    </row>
    <row r="564" spans="1:7" x14ac:dyDescent="0.2">
      <c r="A564" s="2"/>
      <c r="B564" s="2"/>
      <c r="C564" s="2"/>
      <c r="D564" s="2"/>
      <c r="E564" s="2"/>
      <c r="F564" s="2"/>
      <c r="G564" s="2"/>
    </row>
    <row r="565" spans="1:7" x14ac:dyDescent="0.2">
      <c r="A565" s="2"/>
      <c r="B565" s="2"/>
      <c r="C565" s="2"/>
      <c r="D565" s="2"/>
      <c r="E565" s="2"/>
      <c r="F565" s="2"/>
      <c r="G565" s="2"/>
    </row>
    <row r="566" spans="1:7" x14ac:dyDescent="0.2">
      <c r="A566" s="2"/>
      <c r="B566" s="2"/>
      <c r="C566" s="2"/>
      <c r="D566" s="2"/>
      <c r="E566" s="2"/>
      <c r="F566" s="2"/>
      <c r="G566" s="2"/>
    </row>
    <row r="567" spans="1:7" x14ac:dyDescent="0.2">
      <c r="A567" s="2"/>
      <c r="B567" s="2"/>
      <c r="C567" s="2"/>
      <c r="D567" s="2"/>
      <c r="E567" s="2"/>
      <c r="F567" s="2"/>
      <c r="G567" s="2"/>
    </row>
    <row r="568" spans="1:7" x14ac:dyDescent="0.2">
      <c r="A568" s="2"/>
      <c r="B568" s="2"/>
      <c r="C568" s="2"/>
      <c r="D568" s="2"/>
      <c r="E568" s="2"/>
      <c r="F568" s="2"/>
      <c r="G568" s="2"/>
    </row>
    <row r="569" spans="1:7" x14ac:dyDescent="0.2">
      <c r="A569" s="2"/>
      <c r="B569" s="2"/>
      <c r="C569" s="2"/>
      <c r="D569" s="2"/>
      <c r="E569" s="2"/>
      <c r="F569" s="2"/>
      <c r="G569" s="2"/>
    </row>
    <row r="570" spans="1:7" x14ac:dyDescent="0.2">
      <c r="A570" s="2"/>
      <c r="B570" s="2"/>
      <c r="C570" s="2"/>
      <c r="D570" s="2"/>
      <c r="E570" s="2"/>
      <c r="F570" s="2"/>
      <c r="G570" s="2"/>
    </row>
    <row r="571" spans="1:7" x14ac:dyDescent="0.2">
      <c r="A571" s="2"/>
      <c r="B571" s="2"/>
      <c r="C571" s="2"/>
      <c r="D571" s="2"/>
      <c r="E571" s="2"/>
      <c r="F571" s="2"/>
      <c r="G571" s="2"/>
    </row>
    <row r="572" spans="1:7" x14ac:dyDescent="0.2">
      <c r="A572" s="2"/>
      <c r="B572" s="2"/>
      <c r="C572" s="2"/>
      <c r="D572" s="2"/>
      <c r="E572" s="2"/>
      <c r="F572" s="2"/>
      <c r="G572" s="2"/>
    </row>
    <row r="573" spans="1:7" x14ac:dyDescent="0.2">
      <c r="A573" s="2"/>
      <c r="B573" s="2"/>
      <c r="C573" s="2"/>
      <c r="D573" s="2"/>
      <c r="E573" s="2"/>
      <c r="F573" s="2"/>
      <c r="G573" s="2"/>
    </row>
    <row r="574" spans="1:7" x14ac:dyDescent="0.2">
      <c r="A574" s="2"/>
      <c r="B574" s="2"/>
      <c r="C574" s="2"/>
      <c r="D574" s="2"/>
      <c r="E574" s="2"/>
      <c r="F574" s="2"/>
      <c r="G574" s="2"/>
    </row>
    <row r="575" spans="1:7" x14ac:dyDescent="0.2">
      <c r="A575" s="2"/>
      <c r="B575" s="2"/>
      <c r="C575" s="2"/>
      <c r="D575" s="2"/>
      <c r="E575" s="2"/>
      <c r="F575" s="2"/>
      <c r="G575" s="2"/>
    </row>
    <row r="576" spans="1:7" x14ac:dyDescent="0.2">
      <c r="A576" s="2"/>
      <c r="B576" s="2"/>
      <c r="C576" s="2"/>
      <c r="D576" s="2"/>
      <c r="E576" s="2"/>
      <c r="F576" s="2"/>
      <c r="G576" s="2"/>
    </row>
    <row r="577" spans="1:7" x14ac:dyDescent="0.2">
      <c r="A577" s="2"/>
      <c r="B577" s="2"/>
      <c r="C577" s="2"/>
      <c r="D577" s="2"/>
      <c r="E577" s="2"/>
      <c r="F577" s="2"/>
      <c r="G577" s="2"/>
    </row>
    <row r="578" spans="1:7" x14ac:dyDescent="0.2">
      <c r="A578" s="2"/>
      <c r="B578" s="2"/>
      <c r="C578" s="2"/>
      <c r="D578" s="2"/>
      <c r="E578" s="2"/>
      <c r="F578" s="2"/>
      <c r="G578" s="2"/>
    </row>
    <row r="579" spans="1:7" x14ac:dyDescent="0.2">
      <c r="A579" s="2"/>
      <c r="B579" s="2"/>
      <c r="C579" s="2"/>
      <c r="D579" s="2"/>
      <c r="E579" s="2"/>
      <c r="F579" s="2"/>
      <c r="G579" s="2"/>
    </row>
    <row r="580" spans="1:7" x14ac:dyDescent="0.2">
      <c r="A580" s="2"/>
      <c r="B580" s="2"/>
      <c r="C580" s="2"/>
      <c r="D580" s="2"/>
      <c r="E580" s="2"/>
      <c r="F580" s="2"/>
      <c r="G580" s="2"/>
    </row>
    <row r="581" spans="1:7" x14ac:dyDescent="0.2">
      <c r="A581" s="2"/>
      <c r="B581" s="2"/>
      <c r="C581" s="2"/>
      <c r="D581" s="2"/>
      <c r="E581" s="2"/>
      <c r="F581" s="2"/>
      <c r="G581" s="2"/>
    </row>
    <row r="582" spans="1:7" x14ac:dyDescent="0.2">
      <c r="A582" s="2"/>
      <c r="B582" s="2"/>
      <c r="C582" s="2"/>
      <c r="D582" s="2"/>
      <c r="E582" s="2"/>
      <c r="F582" s="2"/>
      <c r="G582" s="2"/>
    </row>
    <row r="583" spans="1:7" x14ac:dyDescent="0.2">
      <c r="A583" s="2"/>
      <c r="B583" s="2"/>
      <c r="C583" s="2"/>
      <c r="D583" s="2"/>
      <c r="E583" s="2"/>
      <c r="F583" s="2"/>
      <c r="G583" s="2"/>
    </row>
    <row r="584" spans="1:7" x14ac:dyDescent="0.2">
      <c r="A584" s="2"/>
      <c r="B584" s="2"/>
      <c r="C584" s="2"/>
      <c r="D584" s="2"/>
      <c r="E584" s="2"/>
      <c r="F584" s="2"/>
      <c r="G584" s="2"/>
    </row>
    <row r="585" spans="1:7" x14ac:dyDescent="0.2">
      <c r="A585" s="2"/>
      <c r="B585" s="2"/>
      <c r="C585" s="2"/>
      <c r="D585" s="2"/>
      <c r="E585" s="2"/>
      <c r="F585" s="2"/>
      <c r="G585" s="2"/>
    </row>
    <row r="586" spans="1:7" x14ac:dyDescent="0.2">
      <c r="A586" s="2"/>
      <c r="B586" s="2"/>
      <c r="C586" s="2"/>
      <c r="D586" s="2"/>
      <c r="E586" s="2"/>
      <c r="F586" s="2"/>
      <c r="G586" s="2"/>
    </row>
    <row r="587" spans="1:7" x14ac:dyDescent="0.2">
      <c r="A587" s="2"/>
      <c r="B587" s="2"/>
      <c r="C587" s="2"/>
      <c r="D587" s="2"/>
      <c r="E587" s="2"/>
      <c r="F587" s="2"/>
      <c r="G587" s="2"/>
    </row>
    <row r="588" spans="1:7" x14ac:dyDescent="0.2">
      <c r="A588" s="2"/>
      <c r="B588" s="2"/>
      <c r="C588" s="2"/>
      <c r="D588" s="2"/>
      <c r="E588" s="2"/>
      <c r="F588" s="2"/>
      <c r="G588" s="2"/>
    </row>
    <row r="589" spans="1:7" x14ac:dyDescent="0.2">
      <c r="A589" s="2"/>
      <c r="B589" s="2"/>
      <c r="C589" s="2"/>
      <c r="D589" s="2"/>
      <c r="E589" s="2"/>
      <c r="F589" s="2"/>
      <c r="G589" s="2"/>
    </row>
    <row r="590" spans="1:7" x14ac:dyDescent="0.2">
      <c r="A590" s="2"/>
      <c r="B590" s="2"/>
      <c r="C590" s="2"/>
      <c r="D590" s="2"/>
      <c r="E590" s="2"/>
      <c r="F590" s="2"/>
      <c r="G590" s="2"/>
    </row>
    <row r="591" spans="1:7" x14ac:dyDescent="0.2">
      <c r="A591" s="2"/>
      <c r="B591" s="2"/>
      <c r="C591" s="2"/>
      <c r="D591" s="2"/>
      <c r="E591" s="2"/>
      <c r="F591" s="2"/>
      <c r="G591" s="2"/>
    </row>
    <row r="592" spans="1:7" x14ac:dyDescent="0.2">
      <c r="A592" s="2"/>
      <c r="B592" s="2"/>
      <c r="C592" s="2"/>
      <c r="D592" s="2"/>
      <c r="E592" s="2"/>
      <c r="F592" s="2"/>
      <c r="G592" s="2"/>
    </row>
    <row r="593" spans="1:7" x14ac:dyDescent="0.2">
      <c r="A593" s="2"/>
      <c r="B593" s="2"/>
      <c r="C593" s="2"/>
      <c r="D593" s="2"/>
      <c r="E593" s="2"/>
      <c r="F593" s="2"/>
      <c r="G593" s="2"/>
    </row>
    <row r="594" spans="1:7" x14ac:dyDescent="0.2">
      <c r="A594" s="2"/>
      <c r="B594" s="2"/>
      <c r="C594" s="2"/>
      <c r="D594" s="2"/>
      <c r="E594" s="2"/>
      <c r="F594" s="2"/>
      <c r="G594" s="2"/>
    </row>
    <row r="595" spans="1:7" x14ac:dyDescent="0.2">
      <c r="A595" s="2"/>
      <c r="B595" s="2"/>
      <c r="C595" s="2"/>
      <c r="D595" s="2"/>
      <c r="E595" s="2"/>
      <c r="F595" s="2"/>
      <c r="G595" s="2"/>
    </row>
    <row r="596" spans="1:7" x14ac:dyDescent="0.2">
      <c r="A596" s="2"/>
      <c r="B596" s="2"/>
      <c r="C596" s="2"/>
      <c r="D596" s="2"/>
      <c r="E596" s="2"/>
      <c r="F596" s="2"/>
      <c r="G596" s="2"/>
    </row>
    <row r="597" spans="1:7" x14ac:dyDescent="0.2">
      <c r="A597" s="2"/>
      <c r="B597" s="2"/>
      <c r="C597" s="2"/>
      <c r="D597" s="2"/>
      <c r="E597" s="2"/>
      <c r="F597" s="2"/>
      <c r="G597" s="2"/>
    </row>
    <row r="598" spans="1:7" x14ac:dyDescent="0.2">
      <c r="A598" s="2"/>
      <c r="B598" s="2"/>
      <c r="C598" s="2"/>
      <c r="D598" s="2"/>
      <c r="E598" s="2"/>
      <c r="F598" s="2"/>
      <c r="G598" s="2"/>
    </row>
    <row r="599" spans="1:7" x14ac:dyDescent="0.2">
      <c r="A599" s="2"/>
      <c r="B599" s="2"/>
      <c r="C599" s="2"/>
      <c r="D599" s="2"/>
      <c r="E599" s="2"/>
      <c r="F599" s="2"/>
      <c r="G599" s="2"/>
    </row>
    <row r="600" spans="1:7" x14ac:dyDescent="0.2">
      <c r="A600" s="2"/>
      <c r="B600" s="2"/>
      <c r="C600" s="2"/>
      <c r="D600" s="2"/>
      <c r="E600" s="2"/>
      <c r="F600" s="2"/>
      <c r="G600" s="2"/>
    </row>
    <row r="601" spans="1:7" x14ac:dyDescent="0.2">
      <c r="A601" s="2"/>
      <c r="B601" s="2"/>
      <c r="C601" s="2"/>
      <c r="D601" s="2"/>
      <c r="E601" s="2"/>
      <c r="F601" s="2"/>
      <c r="G601" s="2"/>
    </row>
    <row r="602" spans="1:7" x14ac:dyDescent="0.2">
      <c r="A602" s="2"/>
      <c r="B602" s="2"/>
      <c r="C602" s="2"/>
      <c r="D602" s="2"/>
      <c r="E602" s="2"/>
      <c r="F602" s="2"/>
      <c r="G602" s="2"/>
    </row>
    <row r="603" spans="1:7" x14ac:dyDescent="0.2">
      <c r="A603" s="2"/>
      <c r="B603" s="2"/>
      <c r="C603" s="2"/>
      <c r="D603" s="2"/>
      <c r="E603" s="2"/>
      <c r="F603" s="2"/>
      <c r="G603" s="2"/>
    </row>
    <row r="604" spans="1:7" x14ac:dyDescent="0.2">
      <c r="A604" s="2"/>
      <c r="B604" s="2"/>
      <c r="C604" s="2"/>
      <c r="D604" s="2"/>
      <c r="E604" s="2"/>
      <c r="F604" s="2"/>
      <c r="G604" s="2"/>
    </row>
    <row r="605" spans="1:7" x14ac:dyDescent="0.2">
      <c r="A605" s="2"/>
      <c r="B605" s="2"/>
      <c r="C605" s="2"/>
      <c r="D605" s="2"/>
      <c r="E605" s="2"/>
      <c r="F605" s="2"/>
      <c r="G605" s="2"/>
    </row>
    <row r="606" spans="1:7" x14ac:dyDescent="0.2">
      <c r="A606" s="2"/>
      <c r="B606" s="2"/>
      <c r="C606" s="2"/>
      <c r="D606" s="2"/>
      <c r="E606" s="2"/>
      <c r="F606" s="2"/>
      <c r="G606" s="2"/>
    </row>
    <row r="607" spans="1:7" x14ac:dyDescent="0.2">
      <c r="A607" s="2"/>
      <c r="B607" s="2"/>
      <c r="C607" s="2"/>
      <c r="D607" s="2"/>
      <c r="E607" s="2"/>
      <c r="F607" s="2"/>
      <c r="G607" s="2"/>
    </row>
    <row r="608" spans="1:7" x14ac:dyDescent="0.2">
      <c r="A608" s="2"/>
      <c r="B608" s="2"/>
      <c r="C608" s="2"/>
      <c r="D608" s="2"/>
      <c r="E608" s="2"/>
      <c r="F608" s="2"/>
      <c r="G608" s="2"/>
    </row>
    <row r="609" spans="1:7" x14ac:dyDescent="0.2">
      <c r="A609" s="2"/>
      <c r="B609" s="2"/>
      <c r="C609" s="2"/>
      <c r="D609" s="2"/>
      <c r="E609" s="2"/>
      <c r="F609" s="2"/>
      <c r="G609" s="2"/>
    </row>
    <row r="610" spans="1:7" x14ac:dyDescent="0.2">
      <c r="A610" s="2"/>
      <c r="B610" s="2"/>
      <c r="C610" s="2"/>
      <c r="D610" s="2"/>
      <c r="E610" s="2"/>
      <c r="F610" s="2"/>
      <c r="G610" s="2"/>
    </row>
    <row r="611" spans="1:7" x14ac:dyDescent="0.2">
      <c r="A611" s="2"/>
      <c r="B611" s="2"/>
      <c r="C611" s="2"/>
      <c r="D611" s="2"/>
      <c r="E611" s="2"/>
      <c r="F611" s="2"/>
      <c r="G611" s="2"/>
    </row>
    <row r="612" spans="1:7" x14ac:dyDescent="0.2">
      <c r="A612" s="2"/>
      <c r="B612" s="2"/>
      <c r="C612" s="2"/>
      <c r="D612" s="2"/>
      <c r="E612" s="2"/>
      <c r="F612" s="2"/>
      <c r="G612" s="2"/>
    </row>
    <row r="613" spans="1:7" x14ac:dyDescent="0.2">
      <c r="A613" s="2"/>
      <c r="B613" s="2"/>
      <c r="C613" s="2"/>
      <c r="D613" s="2"/>
      <c r="E613" s="2"/>
      <c r="F613" s="2"/>
      <c r="G613" s="2"/>
    </row>
    <row r="614" spans="1:7" x14ac:dyDescent="0.2">
      <c r="A614" s="2"/>
      <c r="B614" s="2"/>
      <c r="C614" s="2"/>
      <c r="D614" s="2"/>
      <c r="E614" s="2"/>
      <c r="F614" s="2"/>
      <c r="G614" s="2"/>
    </row>
    <row r="615" spans="1:7" x14ac:dyDescent="0.2">
      <c r="A615" s="2"/>
      <c r="B615" s="2"/>
      <c r="C615" s="2"/>
      <c r="D615" s="2"/>
      <c r="E615" s="2"/>
      <c r="F615" s="2"/>
      <c r="G615" s="2"/>
    </row>
    <row r="616" spans="1:7" x14ac:dyDescent="0.2">
      <c r="A616" s="2"/>
      <c r="B616" s="2"/>
      <c r="C616" s="2"/>
      <c r="D616" s="2"/>
      <c r="E616" s="2"/>
      <c r="F616" s="2"/>
      <c r="G616" s="2"/>
    </row>
    <row r="617" spans="1:7" x14ac:dyDescent="0.2">
      <c r="A617" s="2"/>
      <c r="B617" s="2"/>
      <c r="C617" s="2"/>
      <c r="D617" s="2"/>
      <c r="E617" s="2"/>
      <c r="F617" s="2"/>
      <c r="G617" s="2"/>
    </row>
    <row r="618" spans="1:7" x14ac:dyDescent="0.2">
      <c r="A618" s="2"/>
      <c r="B618" s="2"/>
      <c r="C618" s="2"/>
      <c r="D618" s="2"/>
      <c r="E618" s="2"/>
      <c r="F618" s="2"/>
      <c r="G618" s="2"/>
    </row>
    <row r="619" spans="1:7" x14ac:dyDescent="0.2">
      <c r="A619" s="2"/>
      <c r="B619" s="2"/>
      <c r="C619" s="2"/>
      <c r="D619" s="2"/>
      <c r="E619" s="2"/>
      <c r="F619" s="2"/>
      <c r="G619" s="2"/>
    </row>
    <row r="620" spans="1:7" x14ac:dyDescent="0.2">
      <c r="A620" s="2"/>
      <c r="B620" s="2"/>
      <c r="C620" s="2"/>
      <c r="D620" s="2"/>
      <c r="E620" s="2"/>
      <c r="F620" s="2"/>
      <c r="G620" s="2"/>
    </row>
    <row r="621" spans="1:7" x14ac:dyDescent="0.2">
      <c r="A621" s="2"/>
      <c r="B621" s="2"/>
      <c r="C621" s="2"/>
      <c r="D621" s="2"/>
      <c r="E621" s="2"/>
      <c r="F621" s="2"/>
      <c r="G621" s="2"/>
    </row>
    <row r="622" spans="1:7" x14ac:dyDescent="0.2">
      <c r="A622" s="2"/>
      <c r="B622" s="2"/>
      <c r="C622" s="2"/>
      <c r="D622" s="2"/>
      <c r="E622" s="2"/>
      <c r="F622" s="2"/>
      <c r="G622" s="2"/>
    </row>
    <row r="623" spans="1:7" x14ac:dyDescent="0.2">
      <c r="A623" s="2"/>
      <c r="B623" s="2"/>
      <c r="C623" s="2"/>
      <c r="D623" s="2"/>
      <c r="E623" s="2"/>
      <c r="F623" s="2"/>
      <c r="G623" s="2"/>
    </row>
    <row r="624" spans="1:7" x14ac:dyDescent="0.2">
      <c r="A624" s="2"/>
      <c r="B624" s="2"/>
      <c r="C624" s="2"/>
      <c r="D624" s="2"/>
      <c r="E624" s="2"/>
      <c r="F624" s="2"/>
      <c r="G624" s="2"/>
    </row>
    <row r="625" spans="1:7" x14ac:dyDescent="0.2">
      <c r="A625" s="2"/>
      <c r="B625" s="2"/>
      <c r="C625" s="2"/>
      <c r="D625" s="2"/>
      <c r="E625" s="2"/>
      <c r="F625" s="2"/>
      <c r="G625" s="2"/>
    </row>
    <row r="626" spans="1:7" x14ac:dyDescent="0.2">
      <c r="A626" s="2"/>
      <c r="B626" s="2"/>
      <c r="C626" s="2"/>
      <c r="D626" s="2"/>
      <c r="E626" s="2"/>
      <c r="F626" s="2"/>
      <c r="G626" s="2"/>
    </row>
    <row r="627" spans="1:7" x14ac:dyDescent="0.2">
      <c r="A627" s="2"/>
      <c r="B627" s="2"/>
      <c r="C627" s="2"/>
      <c r="D627" s="2"/>
      <c r="E627" s="2"/>
      <c r="F627" s="2"/>
      <c r="G627" s="2"/>
    </row>
    <row r="628" spans="1:7" x14ac:dyDescent="0.2">
      <c r="A628" s="2"/>
      <c r="B628" s="2"/>
      <c r="C628" s="2"/>
      <c r="D628" s="2"/>
      <c r="E628" s="2"/>
      <c r="F628" s="2"/>
      <c r="G628" s="2"/>
    </row>
    <row r="629" spans="1:7" x14ac:dyDescent="0.2">
      <c r="A629" s="2"/>
      <c r="B629" s="2"/>
      <c r="C629" s="2"/>
      <c r="D629" s="2"/>
      <c r="E629" s="2"/>
      <c r="F629" s="2"/>
      <c r="G629" s="2"/>
    </row>
    <row r="630" spans="1:7" x14ac:dyDescent="0.2">
      <c r="A630" s="2"/>
      <c r="B630" s="2"/>
      <c r="C630" s="2"/>
      <c r="D630" s="2"/>
      <c r="E630" s="2"/>
      <c r="F630" s="2"/>
      <c r="G630" s="2"/>
    </row>
    <row r="631" spans="1:7" x14ac:dyDescent="0.2">
      <c r="A631" s="2"/>
      <c r="B631" s="2"/>
      <c r="C631" s="2"/>
      <c r="D631" s="2"/>
      <c r="E631" s="2"/>
      <c r="F631" s="2"/>
      <c r="G631" s="2"/>
    </row>
    <row r="632" spans="1:7" x14ac:dyDescent="0.2">
      <c r="A632" s="2"/>
      <c r="B632" s="2"/>
      <c r="C632" s="2"/>
      <c r="D632" s="2"/>
      <c r="E632" s="2"/>
      <c r="F632" s="2"/>
      <c r="G632" s="2"/>
    </row>
    <row r="633" spans="1:7" x14ac:dyDescent="0.2">
      <c r="A633" s="2"/>
      <c r="B633" s="2"/>
      <c r="C633" s="2"/>
      <c r="D633" s="2"/>
      <c r="E633" s="2"/>
      <c r="F633" s="2"/>
      <c r="G633" s="2"/>
    </row>
    <row r="634" spans="1:7" x14ac:dyDescent="0.2">
      <c r="A634" s="2"/>
      <c r="B634" s="2"/>
      <c r="C634" s="2"/>
      <c r="D634" s="2"/>
      <c r="E634" s="2"/>
      <c r="F634" s="2"/>
      <c r="G634" s="2"/>
    </row>
    <row r="635" spans="1:7" x14ac:dyDescent="0.2">
      <c r="A635" s="2"/>
      <c r="B635" s="2"/>
      <c r="C635" s="2"/>
      <c r="D635" s="2"/>
      <c r="E635" s="2"/>
      <c r="F635" s="2"/>
      <c r="G635" s="2"/>
    </row>
    <row r="636" spans="1:7" x14ac:dyDescent="0.2">
      <c r="A636" s="2"/>
      <c r="B636" s="2"/>
      <c r="C636" s="2"/>
      <c r="D636" s="2"/>
      <c r="E636" s="2"/>
      <c r="F636" s="2"/>
      <c r="G636" s="2"/>
    </row>
    <row r="637" spans="1:7" x14ac:dyDescent="0.2">
      <c r="A637" s="2"/>
      <c r="B637" s="2"/>
      <c r="C637" s="2"/>
      <c r="D637" s="2"/>
      <c r="E637" s="2"/>
      <c r="F637" s="2"/>
      <c r="G637" s="2"/>
    </row>
    <row r="638" spans="1:7" x14ac:dyDescent="0.2">
      <c r="A638" s="2"/>
      <c r="B638" s="2"/>
      <c r="C638" s="2"/>
      <c r="D638" s="2"/>
      <c r="E638" s="2"/>
      <c r="F638" s="2"/>
      <c r="G638" s="2"/>
    </row>
    <row r="639" spans="1:7" x14ac:dyDescent="0.2">
      <c r="A639" s="2"/>
      <c r="B639" s="2"/>
      <c r="C639" s="2"/>
      <c r="D639" s="2"/>
      <c r="E639" s="2"/>
      <c r="F639" s="2"/>
      <c r="G639" s="2"/>
    </row>
    <row r="640" spans="1:7" x14ac:dyDescent="0.2">
      <c r="A640" s="2"/>
      <c r="B640" s="2"/>
      <c r="C640" s="2"/>
      <c r="D640" s="2"/>
      <c r="E640" s="2"/>
      <c r="F640" s="2"/>
      <c r="G640" s="2"/>
    </row>
    <row r="641" spans="1:7" x14ac:dyDescent="0.2">
      <c r="A641" s="2"/>
      <c r="B641" s="2"/>
      <c r="C641" s="2"/>
      <c r="D641" s="2"/>
      <c r="E641" s="2"/>
      <c r="F641" s="2"/>
      <c r="G641" s="2"/>
    </row>
    <row r="642" spans="1:7" x14ac:dyDescent="0.2">
      <c r="A642" s="2"/>
      <c r="B642" s="2"/>
      <c r="C642" s="2"/>
      <c r="D642" s="2"/>
      <c r="E642" s="2"/>
      <c r="F642" s="2"/>
      <c r="G642" s="2"/>
    </row>
    <row r="643" spans="1:7" x14ac:dyDescent="0.2">
      <c r="A643" s="2"/>
      <c r="B643" s="2"/>
      <c r="C643" s="2"/>
      <c r="D643" s="2"/>
      <c r="E643" s="2"/>
      <c r="F643" s="2"/>
      <c r="G643" s="2"/>
    </row>
    <row r="644" spans="1:7" x14ac:dyDescent="0.2">
      <c r="A644" s="2"/>
      <c r="B644" s="2"/>
      <c r="C644" s="2"/>
      <c r="D644" s="2"/>
      <c r="E644" s="2"/>
      <c r="F644" s="2"/>
      <c r="G644" s="2"/>
    </row>
    <row r="645" spans="1:7" x14ac:dyDescent="0.2">
      <c r="A645" s="2"/>
      <c r="B645" s="2"/>
      <c r="C645" s="2"/>
      <c r="D645" s="2"/>
      <c r="E645" s="2"/>
      <c r="F645" s="2"/>
      <c r="G645" s="2"/>
    </row>
    <row r="646" spans="1:7" x14ac:dyDescent="0.2">
      <c r="A646" s="2"/>
      <c r="B646" s="2"/>
      <c r="C646" s="2"/>
      <c r="D646" s="2"/>
      <c r="E646" s="2"/>
      <c r="F646" s="2"/>
      <c r="G646" s="2"/>
    </row>
    <row r="647" spans="1:7" x14ac:dyDescent="0.2">
      <c r="A647" s="2"/>
      <c r="B647" s="2"/>
      <c r="C647" s="2"/>
      <c r="D647" s="2"/>
      <c r="E647" s="2"/>
      <c r="F647" s="2"/>
      <c r="G647" s="2"/>
    </row>
    <row r="648" spans="1:7" x14ac:dyDescent="0.2">
      <c r="A648" s="2"/>
      <c r="B648" s="2"/>
      <c r="C648" s="2"/>
      <c r="D648" s="2"/>
      <c r="E648" s="2"/>
      <c r="F648" s="2"/>
      <c r="G648" s="2"/>
    </row>
    <row r="649" spans="1:7" x14ac:dyDescent="0.2">
      <c r="A649" s="2"/>
      <c r="B649" s="2"/>
      <c r="C649" s="2"/>
      <c r="D649" s="2"/>
      <c r="E649" s="2"/>
      <c r="F649" s="2"/>
      <c r="G649" s="2"/>
    </row>
    <row r="650" spans="1:7" x14ac:dyDescent="0.2">
      <c r="A650" s="2"/>
      <c r="B650" s="2"/>
      <c r="C650" s="2"/>
      <c r="D650" s="2"/>
      <c r="E650" s="2"/>
      <c r="F650" s="2"/>
      <c r="G650" s="2"/>
    </row>
    <row r="651" spans="1:7" x14ac:dyDescent="0.2">
      <c r="A651" s="2"/>
      <c r="B651" s="2"/>
      <c r="C651" s="2"/>
      <c r="D651" s="2"/>
      <c r="E651" s="2"/>
      <c r="F651" s="2"/>
      <c r="G651" s="2"/>
    </row>
    <row r="652" spans="1:7" x14ac:dyDescent="0.2">
      <c r="A652" s="2"/>
      <c r="B652" s="2"/>
      <c r="C652" s="2"/>
      <c r="D652" s="2"/>
      <c r="E652" s="2"/>
      <c r="F652" s="2"/>
      <c r="G652" s="2"/>
    </row>
    <row r="653" spans="1:7" x14ac:dyDescent="0.2">
      <c r="A653" s="2"/>
      <c r="B653" s="2"/>
      <c r="C653" s="2"/>
      <c r="D653" s="2"/>
      <c r="E653" s="2"/>
      <c r="F653" s="2"/>
      <c r="G653" s="2"/>
    </row>
    <row r="654" spans="1:7" x14ac:dyDescent="0.2">
      <c r="A654" s="2"/>
      <c r="B654" s="2"/>
      <c r="C654" s="2"/>
      <c r="D654" s="2"/>
      <c r="E654" s="2"/>
      <c r="F654" s="2"/>
      <c r="G654" s="2"/>
    </row>
    <row r="655" spans="1:7" x14ac:dyDescent="0.2">
      <c r="A655" s="2"/>
      <c r="B655" s="2"/>
      <c r="C655" s="2"/>
      <c r="D655" s="2"/>
      <c r="E655" s="2"/>
      <c r="F655" s="2"/>
      <c r="G655" s="2"/>
    </row>
  </sheetData>
  <mergeCells count="2">
    <mergeCell ref="B1:C1"/>
    <mergeCell ref="B2:C2"/>
  </mergeCells>
  <phoneticPr fontId="0" type="noConversion"/>
  <printOptions horizontalCentered="1" verticalCentered="1"/>
  <pageMargins left="0.19685039370078741" right="0.75" top="1" bottom="1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topLeftCell="B4" zoomScale="90" zoomScaleNormal="90" workbookViewId="0">
      <selection activeCell="C24" sqref="C24"/>
    </sheetView>
  </sheetViews>
  <sheetFormatPr baseColWidth="10" defaultRowHeight="12.75" x14ac:dyDescent="0.2"/>
  <cols>
    <col min="1" max="1" width="6.42578125" hidden="1" customWidth="1"/>
    <col min="2" max="2" width="43" customWidth="1"/>
    <col min="3" max="3" width="12.85546875" customWidth="1"/>
  </cols>
  <sheetData>
    <row r="1" spans="1:8" ht="18" x14ac:dyDescent="0.25">
      <c r="A1" s="140" t="s">
        <v>144</v>
      </c>
      <c r="B1" s="140"/>
      <c r="C1" s="140"/>
      <c r="D1" s="21"/>
      <c r="E1" s="21"/>
      <c r="F1" s="21"/>
      <c r="G1" s="21"/>
      <c r="H1" s="21"/>
    </row>
    <row r="2" spans="1:8" hidden="1" x14ac:dyDescent="0.2">
      <c r="A2" s="29"/>
      <c r="B2" s="29"/>
      <c r="C2" s="29"/>
      <c r="D2" s="21"/>
      <c r="E2" s="21"/>
      <c r="F2" s="21"/>
      <c r="G2" s="21"/>
      <c r="H2" s="21"/>
    </row>
    <row r="3" spans="1:8" ht="18" x14ac:dyDescent="0.25">
      <c r="A3" s="29"/>
      <c r="B3" s="142" t="s">
        <v>39</v>
      </c>
      <c r="C3" s="142"/>
      <c r="D3" s="21"/>
      <c r="E3" s="21"/>
      <c r="F3" s="21"/>
      <c r="G3" s="21"/>
      <c r="H3" s="21"/>
    </row>
    <row r="4" spans="1:8" ht="13.5" thickBot="1" x14ac:dyDescent="0.25">
      <c r="B4" s="2"/>
      <c r="D4" s="21"/>
      <c r="E4" s="21"/>
      <c r="F4" s="21"/>
      <c r="G4" s="21"/>
      <c r="H4" s="21"/>
    </row>
    <row r="5" spans="1:8" ht="15.75" x14ac:dyDescent="0.25">
      <c r="A5" s="10">
        <v>70</v>
      </c>
      <c r="B5" s="89" t="s">
        <v>0</v>
      </c>
      <c r="C5" s="90">
        <f>BC!H12</f>
        <v>450000</v>
      </c>
      <c r="D5" s="21"/>
      <c r="E5" s="21"/>
      <c r="F5" s="21"/>
      <c r="G5" s="21"/>
      <c r="H5" s="21"/>
    </row>
    <row r="6" spans="1:8" ht="15.75" x14ac:dyDescent="0.25">
      <c r="A6" s="11">
        <v>69</v>
      </c>
      <c r="B6" s="89" t="s">
        <v>51</v>
      </c>
      <c r="C6" s="91">
        <f>BC!G14</f>
        <v>390000</v>
      </c>
      <c r="D6" s="21"/>
      <c r="E6" s="21"/>
      <c r="F6" s="21"/>
      <c r="G6" s="21"/>
      <c r="H6" s="21"/>
    </row>
    <row r="7" spans="1:8" ht="15.75" x14ac:dyDescent="0.25">
      <c r="A7" s="86"/>
      <c r="B7" s="131" t="s">
        <v>193</v>
      </c>
      <c r="C7" s="92">
        <f>C5-C6</f>
        <v>60000</v>
      </c>
      <c r="D7" s="21"/>
      <c r="E7" s="21"/>
      <c r="F7" s="21"/>
      <c r="G7" s="21"/>
      <c r="H7" s="21"/>
    </row>
    <row r="8" spans="1:8" ht="15.75" x14ac:dyDescent="0.25">
      <c r="A8" s="11"/>
      <c r="B8" s="133" t="s">
        <v>40</v>
      </c>
      <c r="C8" s="90"/>
      <c r="D8" s="21"/>
      <c r="E8" s="21"/>
      <c r="F8" s="21"/>
      <c r="G8" s="21"/>
      <c r="H8" s="21"/>
    </row>
    <row r="9" spans="1:8" ht="15.75" x14ac:dyDescent="0.25">
      <c r="A9" s="12">
        <v>62</v>
      </c>
      <c r="B9" s="89" t="s">
        <v>134</v>
      </c>
      <c r="C9" s="93">
        <f>BC!G8</f>
        <v>35400</v>
      </c>
      <c r="D9" s="21"/>
      <c r="E9" s="21"/>
      <c r="F9" s="21"/>
      <c r="G9" s="21"/>
      <c r="H9" s="21"/>
    </row>
    <row r="10" spans="1:8" ht="15.75" x14ac:dyDescent="0.25">
      <c r="A10" s="11">
        <v>63</v>
      </c>
      <c r="B10" s="89" t="s">
        <v>29</v>
      </c>
      <c r="C10" s="93">
        <f>BC!G15</f>
        <v>950</v>
      </c>
      <c r="D10" s="21"/>
      <c r="E10" s="21"/>
      <c r="F10" s="21"/>
      <c r="G10" s="21"/>
      <c r="H10" s="21"/>
    </row>
    <row r="11" spans="1:8" ht="15.75" x14ac:dyDescent="0.25">
      <c r="A11" s="11">
        <v>64</v>
      </c>
      <c r="B11" s="89" t="s">
        <v>28</v>
      </c>
      <c r="C11" s="93">
        <f>BC!G16</f>
        <v>12000</v>
      </c>
      <c r="D11" s="21"/>
      <c r="E11" s="21"/>
      <c r="F11" s="21"/>
      <c r="G11" s="21"/>
      <c r="H11" s="21"/>
    </row>
    <row r="12" spans="1:8" ht="15.75" x14ac:dyDescent="0.25">
      <c r="A12" s="11"/>
      <c r="B12" s="89" t="s">
        <v>142</v>
      </c>
      <c r="C12" s="93">
        <f>BC!H30</f>
        <v>24000</v>
      </c>
      <c r="D12" s="21"/>
      <c r="E12" s="21"/>
      <c r="F12" s="21"/>
      <c r="G12" s="21"/>
      <c r="H12" s="21"/>
    </row>
    <row r="13" spans="1:8" ht="15.75" x14ac:dyDescent="0.25">
      <c r="A13" s="11">
        <v>66</v>
      </c>
      <c r="B13" s="89" t="s">
        <v>135</v>
      </c>
      <c r="C13" s="93">
        <f>BC!G19</f>
        <v>0</v>
      </c>
      <c r="D13" s="21"/>
      <c r="E13" s="21"/>
      <c r="F13" s="21"/>
      <c r="G13" s="21"/>
      <c r="H13" s="21"/>
    </row>
    <row r="14" spans="1:8" ht="15.75" x14ac:dyDescent="0.25">
      <c r="A14" s="11"/>
      <c r="B14" s="89" t="s">
        <v>41</v>
      </c>
      <c r="C14" s="93">
        <f>BC!G21</f>
        <v>30000</v>
      </c>
      <c r="D14" s="21"/>
      <c r="E14" s="21"/>
      <c r="F14" s="21"/>
      <c r="G14" s="21"/>
      <c r="H14" s="21"/>
    </row>
    <row r="15" spans="1:8" ht="15.75" x14ac:dyDescent="0.25">
      <c r="A15" s="11"/>
      <c r="B15" s="89" t="s">
        <v>194</v>
      </c>
      <c r="C15" s="93">
        <f>BC!H22</f>
        <v>41000</v>
      </c>
      <c r="D15" s="21"/>
      <c r="E15" s="21"/>
      <c r="F15" s="21"/>
      <c r="G15" s="21"/>
      <c r="H15" s="21"/>
    </row>
    <row r="16" spans="1:8" ht="15.75" x14ac:dyDescent="0.25">
      <c r="A16" s="11"/>
      <c r="B16" s="132" t="s">
        <v>42</v>
      </c>
      <c r="C16" s="91">
        <f>SUM(C9:C15)</f>
        <v>143350</v>
      </c>
      <c r="D16" s="21"/>
      <c r="E16" s="21"/>
      <c r="F16" s="21"/>
      <c r="G16" s="21"/>
      <c r="H16" s="21"/>
    </row>
    <row r="17" spans="1:8" ht="15.75" x14ac:dyDescent="0.25">
      <c r="A17" s="11"/>
      <c r="B17" s="131" t="s">
        <v>43</v>
      </c>
      <c r="C17" s="92">
        <f>C7-C16</f>
        <v>-83350</v>
      </c>
      <c r="D17" s="21"/>
      <c r="E17" s="21"/>
      <c r="F17" s="21"/>
      <c r="G17" s="21"/>
      <c r="H17" s="21"/>
    </row>
    <row r="18" spans="1:8" ht="15.75" x14ac:dyDescent="0.25">
      <c r="A18" s="11">
        <v>67</v>
      </c>
      <c r="B18" s="89" t="s">
        <v>115</v>
      </c>
      <c r="C18" s="93">
        <f>BC!G20</f>
        <v>3000</v>
      </c>
      <c r="D18" s="21"/>
      <c r="E18" s="21"/>
      <c r="F18" s="21"/>
      <c r="G18" s="21"/>
      <c r="H18" s="21"/>
    </row>
    <row r="19" spans="1:8" ht="15.75" x14ac:dyDescent="0.25">
      <c r="A19" s="11">
        <v>68</v>
      </c>
      <c r="B19" s="89" t="s">
        <v>30</v>
      </c>
      <c r="C19" s="93">
        <f>BC!G17</f>
        <v>1500</v>
      </c>
      <c r="D19" s="21"/>
      <c r="E19" s="21"/>
      <c r="F19" s="21"/>
      <c r="G19" s="21"/>
      <c r="H19" s="21"/>
    </row>
    <row r="20" spans="1:8" ht="15.75" x14ac:dyDescent="0.25">
      <c r="A20" s="11"/>
      <c r="B20" s="89" t="s">
        <v>72</v>
      </c>
      <c r="C20" s="93">
        <f>-BC!H28</f>
        <v>-5000</v>
      </c>
      <c r="D20" s="21"/>
      <c r="E20" s="21"/>
      <c r="F20" s="21"/>
      <c r="G20" s="21"/>
      <c r="H20" s="21"/>
    </row>
    <row r="21" spans="1:8" ht="15.75" x14ac:dyDescent="0.25">
      <c r="A21" s="11"/>
      <c r="B21" s="89" t="s">
        <v>44</v>
      </c>
      <c r="C21" s="93">
        <f>-BC!H25</f>
        <v>-3250</v>
      </c>
      <c r="D21" s="21"/>
      <c r="E21" s="21"/>
      <c r="F21" s="21"/>
      <c r="G21" s="21"/>
      <c r="H21" s="21"/>
    </row>
    <row r="22" spans="1:8" ht="15.75" x14ac:dyDescent="0.25">
      <c r="A22" s="11"/>
      <c r="B22" s="132" t="s">
        <v>195</v>
      </c>
      <c r="C22" s="91">
        <f>SUM(C18:C21)</f>
        <v>-3750</v>
      </c>
      <c r="D22" s="21"/>
      <c r="E22" s="21"/>
      <c r="F22" s="21"/>
      <c r="G22" s="21"/>
      <c r="H22" s="21"/>
    </row>
    <row r="23" spans="1:8" ht="15.75" x14ac:dyDescent="0.25">
      <c r="A23" s="11"/>
      <c r="B23" s="131" t="s">
        <v>196</v>
      </c>
      <c r="C23" s="92">
        <f>C17-C22</f>
        <v>-79600</v>
      </c>
      <c r="D23" s="21"/>
      <c r="E23" s="21"/>
      <c r="F23" s="21"/>
      <c r="G23" s="21"/>
      <c r="H23" s="21"/>
    </row>
    <row r="24" spans="1:8" ht="16.5" thickBot="1" x14ac:dyDescent="0.3">
      <c r="A24" s="87"/>
      <c r="B24" s="31" t="s">
        <v>146</v>
      </c>
      <c r="C24" s="91">
        <v>0</v>
      </c>
      <c r="D24" s="21"/>
      <c r="E24" s="21"/>
      <c r="F24" s="21"/>
      <c r="G24" s="21"/>
      <c r="H24" s="21"/>
    </row>
    <row r="25" spans="1:8" ht="16.5" thickBot="1" x14ac:dyDescent="0.3">
      <c r="A25" s="88"/>
      <c r="B25" s="94" t="s">
        <v>45</v>
      </c>
      <c r="C25" s="92">
        <f>C23-C24</f>
        <v>-79600</v>
      </c>
      <c r="D25" s="21"/>
      <c r="E25" s="21"/>
      <c r="F25" s="21"/>
      <c r="G25" s="21"/>
      <c r="H25" s="21"/>
    </row>
    <row r="26" spans="1:8" x14ac:dyDescent="0.2">
      <c r="B26" s="21"/>
      <c r="C26" s="21"/>
      <c r="D26" s="21"/>
      <c r="E26" s="21"/>
      <c r="F26" s="21"/>
      <c r="G26" s="21"/>
      <c r="H26" s="21"/>
    </row>
    <row r="27" spans="1:8" x14ac:dyDescent="0.2">
      <c r="B27" s="21"/>
      <c r="C27" s="21"/>
      <c r="D27" s="21"/>
      <c r="E27" s="21"/>
      <c r="F27" s="21"/>
      <c r="G27" s="21"/>
      <c r="H27" s="21"/>
    </row>
    <row r="28" spans="1:8" x14ac:dyDescent="0.2">
      <c r="B28" s="21"/>
      <c r="C28" s="21"/>
      <c r="D28" s="21"/>
      <c r="E28" s="21"/>
      <c r="F28" s="21"/>
      <c r="G28" s="21"/>
      <c r="H28" s="21"/>
    </row>
    <row r="29" spans="1:8" x14ac:dyDescent="0.2">
      <c r="B29" s="21"/>
      <c r="C29" s="21"/>
      <c r="D29" s="21"/>
      <c r="E29" s="21"/>
      <c r="F29" s="21"/>
      <c r="G29" s="21"/>
      <c r="H29" s="21"/>
    </row>
    <row r="30" spans="1:8" x14ac:dyDescent="0.2">
      <c r="B30" s="21"/>
      <c r="C30" s="21"/>
      <c r="D30" s="21"/>
      <c r="E30" s="21"/>
      <c r="F30" s="21"/>
      <c r="G30" s="21"/>
      <c r="H30" s="21"/>
    </row>
    <row r="31" spans="1:8" x14ac:dyDescent="0.2">
      <c r="B31" s="21"/>
      <c r="C31" s="21"/>
      <c r="D31" s="21"/>
      <c r="E31" s="21"/>
      <c r="F31" s="21"/>
      <c r="G31" s="21"/>
      <c r="H31" s="21"/>
    </row>
    <row r="32" spans="1:8" x14ac:dyDescent="0.2">
      <c r="B32" s="21"/>
      <c r="C32" s="21"/>
      <c r="D32" s="21"/>
      <c r="E32" s="21"/>
      <c r="F32" s="21"/>
      <c r="G32" s="21"/>
      <c r="H32" s="21"/>
    </row>
    <row r="33" spans="2:8" x14ac:dyDescent="0.2">
      <c r="B33" s="21"/>
      <c r="C33" s="21"/>
      <c r="D33" s="21"/>
      <c r="E33" s="21"/>
      <c r="F33" s="21"/>
      <c r="G33" s="21"/>
      <c r="H33" s="21"/>
    </row>
    <row r="34" spans="2:8" x14ac:dyDescent="0.2">
      <c r="B34" s="21"/>
      <c r="C34" s="21"/>
      <c r="D34" s="21"/>
      <c r="E34" s="21"/>
      <c r="F34" s="21"/>
      <c r="G34" s="21"/>
      <c r="H34" s="21"/>
    </row>
    <row r="35" spans="2:8" x14ac:dyDescent="0.2">
      <c r="B35" s="21"/>
      <c r="C35" s="21"/>
      <c r="D35" s="21"/>
      <c r="E35" s="21"/>
      <c r="F35" s="21"/>
      <c r="G35" s="21"/>
      <c r="H35" s="21"/>
    </row>
    <row r="36" spans="2:8" x14ac:dyDescent="0.2">
      <c r="B36" s="21"/>
      <c r="C36" s="21"/>
      <c r="D36" s="21"/>
      <c r="E36" s="21"/>
      <c r="F36" s="21"/>
      <c r="G36" s="21"/>
      <c r="H36" s="21"/>
    </row>
    <row r="37" spans="2:8" x14ac:dyDescent="0.2">
      <c r="B37" s="21"/>
      <c r="C37" s="21"/>
      <c r="D37" s="21"/>
      <c r="E37" s="21"/>
      <c r="F37" s="21"/>
      <c r="G37" s="21"/>
      <c r="H37" s="21"/>
    </row>
  </sheetData>
  <mergeCells count="2">
    <mergeCell ref="A1:C1"/>
    <mergeCell ref="B3:C3"/>
  </mergeCells>
  <phoneticPr fontId="7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Caso</vt:lpstr>
      <vt:lpstr>DIARIO</vt:lpstr>
      <vt:lpstr>DD</vt:lpstr>
      <vt:lpstr>MAYOR</vt:lpstr>
      <vt:lpstr>BC</vt:lpstr>
      <vt:lpstr>ESF</vt:lpstr>
      <vt:lpstr>ER</vt:lpstr>
      <vt:lpstr>BC!Área_de_impresión</vt:lpstr>
      <vt:lpstr>Caso!Área_de_impresión</vt:lpstr>
      <vt:lpstr>ESF!Área_de_impresión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William Oria</cp:lastModifiedBy>
  <cp:lastPrinted>2021-04-14T13:42:51Z</cp:lastPrinted>
  <dcterms:created xsi:type="dcterms:W3CDTF">2003-05-31T08:27:05Z</dcterms:created>
  <dcterms:modified xsi:type="dcterms:W3CDTF">2021-04-22T00:24:11Z</dcterms:modified>
</cp:coreProperties>
</file>