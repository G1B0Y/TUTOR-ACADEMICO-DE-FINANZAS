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IIS UNI 2025 02\GE605U 2025 02\Semana 03\"/>
    </mc:Choice>
  </mc:AlternateContent>
  <xr:revisionPtr revIDLastSave="0" documentId="13_ncr:1_{79787950-7327-471E-9EAB-9902FF0FA186}" xr6:coauthVersionLast="36" xr6:coauthVersionMax="47" xr10:uidLastSave="{00000000-0000-0000-0000-000000000000}"/>
  <bookViews>
    <workbookView xWindow="-105" yWindow="-105" windowWidth="23250" windowHeight="12450" activeTab="1" xr2:uid="{00000000-000D-0000-FFFF-FFFF00000000}"/>
  </bookViews>
  <sheets>
    <sheet name="Flujo Costos" sheetId="39" r:id="rId1"/>
    <sheet name="P01" sheetId="40" r:id="rId2"/>
    <sheet name="P02" sheetId="41" r:id="rId3"/>
    <sheet name="P03" sheetId="42" r:id="rId4"/>
    <sheet name="P04" sheetId="27" r:id="rId5"/>
    <sheet name="P05" sheetId="28" r:id="rId6"/>
    <sheet name="P06" sheetId="29" r:id="rId7"/>
    <sheet name="P07" sheetId="30" r:id="rId8"/>
    <sheet name="P08" sheetId="31" r:id="rId9"/>
    <sheet name="P09" sheetId="32" r:id="rId10"/>
    <sheet name="P10" sheetId="33" r:id="rId11"/>
    <sheet name="P11" sheetId="34" r:id="rId12"/>
    <sheet name="P12" sheetId="35" r:id="rId13"/>
    <sheet name="P13" sheetId="38" r:id="rId14"/>
  </sheets>
  <externalReferences>
    <externalReference r:id="rId15"/>
    <externalReference r:id="rId16"/>
    <externalReference r:id="rId17"/>
    <externalReference r:id="rId18"/>
  </externalReferences>
  <definedNames>
    <definedName name="Abr">'[1]Ind. Asociados'!#REF!</definedName>
    <definedName name="activo">#REF!</definedName>
    <definedName name="anscount" hidden="1">2</definedName>
    <definedName name="Añitos">#REF!</definedName>
    <definedName name="AÑOS">#REF!</definedName>
    <definedName name="CodNotaDeCredito">#REF!</definedName>
    <definedName name="CodNotaDeDebito">#REF!</definedName>
    <definedName name="COSTO_CAPITAL">#REF!</definedName>
    <definedName name="CPPC">#REF!</definedName>
    <definedName name="Cuota_mercado">[2]Sensibilidad!$B$4</definedName>
    <definedName name="Dic">'[1]Ind. Asociados'!#REF!</definedName>
    <definedName name="Ene">'[1]Ind. Asociados'!#REF!</definedName>
    <definedName name="EVA">#REF!</definedName>
    <definedName name="FACTBOL">#REF!</definedName>
    <definedName name="Feb">'[1]Ind. Asociados'!#REF!</definedName>
    <definedName name="Financiamiento__Colocación">'[1]Ind. Asociados'!#REF!</definedName>
    <definedName name="Flujo_neto">'[1]Ind. Asociados'!#REF!</definedName>
    <definedName name="FlujoAbr">[1]PresCaja!$H$55</definedName>
    <definedName name="FlujoAgo">[1]PresCaja!$L$55</definedName>
    <definedName name="FlujoDic">[1]PresCaja!$P$55</definedName>
    <definedName name="FlujoEne">[1]PresCaja!$E$55</definedName>
    <definedName name="FlujoFeb">[1]PresCaja!$F$55</definedName>
    <definedName name="FlujoJul">[1]PresCaja!$K$55</definedName>
    <definedName name="FlujoJun">[1]PresCaja!$J$55</definedName>
    <definedName name="FlujoMar">[1]PresCaja!$G$55</definedName>
    <definedName name="FlujoMay">[1]PresCaja!$I$55</definedName>
    <definedName name="FlujoNov">[1]PresCaja!$O$55</definedName>
    <definedName name="FlujoOct">[1]PresCaja!$N$55</definedName>
    <definedName name="FlujoSep">[1]PresCaja!$M$55</definedName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Jun">'[1]Ind. Asociados'!#REF!</definedName>
    <definedName name="limcount" hidden="1">7</definedName>
    <definedName name="lINEAS">#REF!</definedName>
    <definedName name="LISTA_DE_RUCS">OFFSET(#REF!,0,0,COUNTA(#REF!)-1,1)</definedName>
    <definedName name="Mar">'[1]Ind. Asociados'!#REF!</definedName>
    <definedName name="Master_Centros">#REF!</definedName>
    <definedName name="May">'[1]Ind. Asociados'!#REF!</definedName>
    <definedName name="MESES">#REF!</definedName>
    <definedName name="mesesitos">#REF!</definedName>
    <definedName name="MiSerie">[1]DistribFrecuenciasSolución!$A$3:$A$43</definedName>
    <definedName name="NOPAT">#REF!</definedName>
    <definedName name="NOTACREDE">#REF!</definedName>
    <definedName name="Otraserie">[1]DistribFrecuenciasSolución!$A$4:$A$43</definedName>
    <definedName name="PATRIMONIO_TOTAL">#REF!</definedName>
    <definedName name="PRODUCTOS">[3]Data!$A$2:$A$4</definedName>
    <definedName name="PVAbr">[1]PresCaja!$H$27</definedName>
    <definedName name="PVAgo">[1]PresCaja!$L$27</definedName>
    <definedName name="PVDic">[1]PresCaja!$P$27</definedName>
    <definedName name="PVEne">[1]PresCaja!$E$27</definedName>
    <definedName name="PVFeb">[1]PresCaja!$F$27</definedName>
    <definedName name="PVJul">[1]PresCaja!$K$27</definedName>
    <definedName name="PVJun">[1]PresCaja!$J$27</definedName>
    <definedName name="PVMar">[1]PresCaja!$G$27</definedName>
    <definedName name="PVMay">[1]PresCaja!$I$27</definedName>
    <definedName name="PVNov">[1]PresCaja!$O$27</definedName>
    <definedName name="PVOct">[1]PresCaja!$N$27</definedName>
    <definedName name="PVSep">[1]PresCaja!$M$27</definedName>
    <definedName name="Ruc">#REF!</definedName>
    <definedName name="RutaChrome">#REF!</definedName>
    <definedName name="RutaPrincipal">#REF!</definedName>
    <definedName name="RutaRaiz">#REF!</definedName>
    <definedName name="Saldo_de_Bancos_después_de_Fin_Col">'[1]Ind. Asociados'!#REF!</definedName>
    <definedName name="Saldo_de_Caja_después_de_Fin_Col">'[1]Ind. Asociados'!#REF!</definedName>
    <definedName name="Saldo_de_Caja_y_Bancos">'[1]Ind. Asociados'!#REF!</definedName>
    <definedName name="SaldoAbr">[1]PresCaja!$H$56</definedName>
    <definedName name="SaldoAgo">[1]PresCaja!$L$56</definedName>
    <definedName name="SaldoDic">[1]PresCaja!$P$56</definedName>
    <definedName name="SaldoEne">[1]PresCaja!$E$56</definedName>
    <definedName name="SaldoFeb">[1]PresCaja!$F$56</definedName>
    <definedName name="SaldoJul">[1]PresCaja!$K$56</definedName>
    <definedName name="SaldoJun">[1]PresCaja!$J$56</definedName>
    <definedName name="SaldoMar">[1]PresCaja!$G$56</definedName>
    <definedName name="SaldoMay">[1]PresCaja!$I$56</definedName>
    <definedName name="SaldoNov">[1]PresCaja!$O$56</definedName>
    <definedName name="SaldoOct">[1]PresCaja!$N$56</definedName>
    <definedName name="SaldoSep">[1]PresCaja!$M$56</definedName>
    <definedName name="sencount" hidden="1">18</definedName>
    <definedName name="SERIEB">#REF!</definedName>
    <definedName name="SERIEF">#REF!</definedName>
    <definedName name="SERIENC">#REF!</definedName>
    <definedName name="SERIEND">#REF!</definedName>
    <definedName name="Tamaño_mercado">[2]Sensibilidad!$B$3</definedName>
    <definedName name="Tipo_X">'[4]Modelo Formal'!$B$23:$B$24,'[4]Modelo Formal'!$E$23:$E$24</definedName>
    <definedName name="VentasAbr">[1]PresCaja!$H$26</definedName>
    <definedName name="VentasAgo">[1]PresCaja!$L$26</definedName>
    <definedName name="VentasDic">[1]PresCaja!$P$26</definedName>
    <definedName name="VentasEne">[1]PresCaja!$E$26</definedName>
    <definedName name="VentasFeb">[1]PresCaja!$F$26</definedName>
    <definedName name="VentasJul">[1]PresCaja!$K$26</definedName>
    <definedName name="VentasJun">[1]PresCaja!$J$26</definedName>
    <definedName name="VentasMar">[1]PresCaja!$G$26</definedName>
    <definedName name="VentasMay">[1]PresCaja!$I$26</definedName>
    <definedName name="VentasNov">[1]PresCaja!$O$26</definedName>
    <definedName name="VentasOct">[1]PresCaja!$N$26</definedName>
    <definedName name="VentasSep">[1]PresCaja!$M$26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2" i="40" l="1"/>
  <c r="K21" i="40"/>
  <c r="K20" i="40"/>
  <c r="K19" i="40"/>
  <c r="K18" i="40"/>
  <c r="J22" i="40"/>
  <c r="J21" i="40"/>
  <c r="J20" i="40"/>
  <c r="J19" i="40"/>
  <c r="J18" i="40"/>
  <c r="G27" i="40"/>
  <c r="G26" i="40"/>
  <c r="G25" i="40"/>
  <c r="G24" i="40"/>
  <c r="G23" i="40"/>
  <c r="G22" i="40"/>
  <c r="G21" i="40"/>
  <c r="G20" i="40"/>
  <c r="G19" i="40"/>
  <c r="G18" i="40"/>
  <c r="F27" i="40"/>
  <c r="F26" i="40"/>
  <c r="F25" i="40"/>
  <c r="F23" i="40"/>
  <c r="F22" i="40"/>
  <c r="F21" i="40"/>
  <c r="F20" i="40"/>
  <c r="F19" i="40"/>
  <c r="F18" i="40"/>
  <c r="F14" i="40"/>
  <c r="F13" i="40"/>
  <c r="F11" i="40"/>
  <c r="F10" i="40"/>
  <c r="F8" i="40"/>
  <c r="F7" i="40"/>
  <c r="F6" i="40"/>
  <c r="F4" i="40"/>
</calcChain>
</file>

<file path=xl/sharedStrings.xml><?xml version="1.0" encoding="utf-8"?>
<sst xmlns="http://schemas.openxmlformats.org/spreadsheetml/2006/main" count="217" uniqueCount="171">
  <si>
    <t>PREGUNTA 01:</t>
  </si>
  <si>
    <t>PREGUNTA 02:</t>
  </si>
  <si>
    <t>PREGUNTA 03:</t>
  </si>
  <si>
    <t>PREGUNTA 04:</t>
  </si>
  <si>
    <t>PREGUNTA 05:</t>
  </si>
  <si>
    <t>PREGUNTA 06:</t>
  </si>
  <si>
    <t>PREGUNTA 07:</t>
  </si>
  <si>
    <t>PREGUNTA 08:</t>
  </si>
  <si>
    <t>PREGUNTA 09:</t>
  </si>
  <si>
    <t>PREGUNTA 10:</t>
  </si>
  <si>
    <t>PREGUNTA 11:</t>
  </si>
  <si>
    <t>PREGUNTA 12:</t>
  </si>
  <si>
    <t>FLUJO DE COSTOS EN UNA EMPRESA INDUSTRIAL</t>
  </si>
  <si>
    <t>PERIODO DE COSTEO</t>
  </si>
  <si>
    <t>MES</t>
  </si>
  <si>
    <t>Inv Inicial materiales</t>
  </si>
  <si>
    <t>Mayo</t>
  </si>
  <si>
    <t>Compras (Ingresos)</t>
  </si>
  <si>
    <t>Consumos (CMD) (Salidas</t>
  </si>
  <si>
    <t>Inv Final materiales</t>
  </si>
  <si>
    <t>IIMD + Compras - CMD = IFMD</t>
  </si>
  <si>
    <t>CMD = IIMD + Compras - IFMD</t>
  </si>
  <si>
    <t>CP = CMD + CMOD + CSD + CIF (Ingresos)</t>
  </si>
  <si>
    <t>Inv Inicial Productos Proceso</t>
  </si>
  <si>
    <t>CP (Ingresos)</t>
  </si>
  <si>
    <t>CPT (Salidas</t>
  </si>
  <si>
    <t>Inv Final Productos Proceso</t>
  </si>
  <si>
    <t>IIPP + CP - CPT = IFPP</t>
  </si>
  <si>
    <t>CPT = IIPP + CP - IFPP</t>
  </si>
  <si>
    <t>Inv Inicial Productos Terminados</t>
  </si>
  <si>
    <t>CPT (Ingresos)</t>
  </si>
  <si>
    <t>CPV (Salidas</t>
  </si>
  <si>
    <t>Inv Final Productos Terminados</t>
  </si>
  <si>
    <t>IIPT + CPT - CV = IFPT</t>
  </si>
  <si>
    <t>CV = IIPT + CPT - IFPT</t>
  </si>
  <si>
    <t>Personal indirecto</t>
  </si>
  <si>
    <t>Una empresa sumunistra los siguientes datos para el periodo de un año en valores monetarios expresados en soles:</t>
  </si>
  <si>
    <t>Concepto</t>
  </si>
  <si>
    <t>S/</t>
  </si>
  <si>
    <t>Compra de materiales directos</t>
  </si>
  <si>
    <t>Energia electrica de la fábrica</t>
  </si>
  <si>
    <t>Consumo de materiales indirectos</t>
  </si>
  <si>
    <t>Mantenimiento de la fábrica</t>
  </si>
  <si>
    <t>Seguro de fábrica</t>
  </si>
  <si>
    <t>Seguro en oficinas administrativas</t>
  </si>
  <si>
    <t>Depreciación de la fábrica</t>
  </si>
  <si>
    <t>Depreciación del edificio de oficinas administrativas</t>
  </si>
  <si>
    <t>Comisiones por ventas</t>
  </si>
  <si>
    <t>Publicidad y marketing</t>
  </si>
  <si>
    <t>Consumo de servicios directos</t>
  </si>
  <si>
    <t>Inventario de producción en proceso al 01 enero</t>
  </si>
  <si>
    <t>Inventario de producción en proceso al 31 diciembre</t>
  </si>
  <si>
    <t>Inventario de productos terminados al 01 enero</t>
  </si>
  <si>
    <t>Inventario de productos terminados al 31 diciembre</t>
  </si>
  <si>
    <t>Ventas facturadas del año</t>
  </si>
  <si>
    <t>Se pide determinar el estado de resultados del año</t>
  </si>
  <si>
    <t>Una empresa fábrica relojes digitales. La siguiente información corresponde al mes de julio</t>
  </si>
  <si>
    <t>Inventario de productos terminados al 30 junio</t>
  </si>
  <si>
    <t>Inventario de materiales directos al 01 julio</t>
  </si>
  <si>
    <t>Inventarios de productos en proceso al 30 junio</t>
  </si>
  <si>
    <t>Compras de materiales directos mediante facturas</t>
  </si>
  <si>
    <t>Personal directo</t>
  </si>
  <si>
    <t>Materiales indirectos</t>
  </si>
  <si>
    <t>Servicios directos</t>
  </si>
  <si>
    <t>Depreciación directa de fábrica</t>
  </si>
  <si>
    <t>Reparaciones de equipos de fábrica</t>
  </si>
  <si>
    <t>Mantenimiento de PC en el almacen de productos terminados</t>
  </si>
  <si>
    <t>Sueldo de supervisores de líneas de producción</t>
  </si>
  <si>
    <t>Inventario de materiales directos al 31 julio</t>
  </si>
  <si>
    <t>Inventario de productos terminados al 30 julio</t>
  </si>
  <si>
    <t>Se pide determinar el costo de ventas de julio</t>
  </si>
  <si>
    <t>Una empresa para el cálculo de costos presenta la siguiente informacion:</t>
  </si>
  <si>
    <t>Inventario</t>
  </si>
  <si>
    <t>01 Junio S/</t>
  </si>
  <si>
    <t>30 Junio S/</t>
  </si>
  <si>
    <t>Facturas por compra de materiales directos</t>
  </si>
  <si>
    <t>Materiales directos</t>
  </si>
  <si>
    <t>Facturas por compras de suministros varios</t>
  </si>
  <si>
    <t>Productos en proceso</t>
  </si>
  <si>
    <t>Productos terminados</t>
  </si>
  <si>
    <t>Supervisores de calidad de fábrica</t>
  </si>
  <si>
    <t>Suministro varios</t>
  </si>
  <si>
    <t>Personal indirecto de gestión de fábrica</t>
  </si>
  <si>
    <t>Impuesto predial de fábrica</t>
  </si>
  <si>
    <t>Impuesto predial (80% administrativo)</t>
  </si>
  <si>
    <t>RHE por alquiler de almacén de productos terminados</t>
  </si>
  <si>
    <t>Energía electrica (60% fábrica, 25&amp; ventas)</t>
  </si>
  <si>
    <t>Seguros de deshonetidad (80% fábrica y el resto de ventas)</t>
  </si>
  <si>
    <t>Depreciación de maquinara de fábrica</t>
  </si>
  <si>
    <t>Factura por mantenimiento de baños del personal obrero</t>
  </si>
  <si>
    <t>Servicio de campaña de marketing digital: factura por US$ 3,456 de fecha 25/06 del año actual</t>
  </si>
  <si>
    <t>Calcular el costo de ventas del mes</t>
  </si>
  <si>
    <t>Una empresa que produce animales pequeños de tela ha obtenido ingresos por ventas de S/ 459,000 en el último año</t>
  </si>
  <si>
    <t>Si no hubo inventarios iniciales, no quedaron unidades en procesos al final del año y se vendió el 92% de los articulos</t>
  </si>
  <si>
    <t>producidos durante este periodo,</t>
  </si>
  <si>
    <t>Calcular la utilidad o perdida, el costo primo, el costo de fabricación, el costo de producción y el costo de ventas</t>
  </si>
  <si>
    <t>para lo cual debio cumplir los siguientes egresos:</t>
  </si>
  <si>
    <t>Materiales S/ 65,200 (10% son materiales indirectos)</t>
  </si>
  <si>
    <t>Personal S/ 87,000 (12% personal indirecto)</t>
  </si>
  <si>
    <t>Costos indirectos de fabricación S/ 55,000 (no incluye materiales indirectos ni personal indirecto)</t>
  </si>
  <si>
    <t>Gastos de ventas S/ 61,700</t>
  </si>
  <si>
    <t>Gastos administrativos S/ 67,800</t>
  </si>
  <si>
    <t>Equipo comprado al final del periodo S/ 158,300</t>
  </si>
  <si>
    <t>Una empresa fábrica tablets. La siguiente información fue tomado del Balance de Comprobación de</t>
  </si>
  <si>
    <t>la empresa del mes de marzo.</t>
  </si>
  <si>
    <t>Inventario de productos terminados al 01/03</t>
  </si>
  <si>
    <t>Inventario de materiales directos al 01/03</t>
  </si>
  <si>
    <t>Inventario de productos en proceso al 01/03</t>
  </si>
  <si>
    <t>Compras de materiales directos</t>
  </si>
  <si>
    <t>Reparaciones y mantenimiento en la fabrica</t>
  </si>
  <si>
    <t>Energia electrica consumido en la fabrica</t>
  </si>
  <si>
    <t>Sueldo de supervisiores de las líneas de producción</t>
  </si>
  <si>
    <t>Inventario de materiales directos al 31/03</t>
  </si>
  <si>
    <t>Inventario de productos en proceso al 31/03</t>
  </si>
  <si>
    <t>Inventario de productos terminados al 31/03</t>
  </si>
  <si>
    <t>Se pide:</t>
  </si>
  <si>
    <t>a) Determinar los costos totales de producción de marzo</t>
  </si>
  <si>
    <t>b) Calcular el costo de los productos terminados de marzo</t>
  </si>
  <si>
    <t>c) Calcular el costo de ventas de marzo</t>
  </si>
  <si>
    <t>Una empresa calcula sus costos con la información proporcionada del mes de agosto</t>
  </si>
  <si>
    <t>Materiales directos comprados</t>
  </si>
  <si>
    <t>Suministros directos comprados</t>
  </si>
  <si>
    <t>Supervision de planta</t>
  </si>
  <si>
    <t>Impuestos (70% fabrica, 20% administración</t>
  </si>
  <si>
    <t>Alquiler del almacen de materiales</t>
  </si>
  <si>
    <t>Energia electrica (80% fabrica, 15% comercial)</t>
  </si>
  <si>
    <t>Seguros de maquinas de producción</t>
  </si>
  <si>
    <t>Depreciación de maquinas de producción</t>
  </si>
  <si>
    <t>Agosto 1 S/</t>
  </si>
  <si>
    <t>Agosto 31 S/</t>
  </si>
  <si>
    <t>Suministros directos</t>
  </si>
  <si>
    <t>El 01 de agosto inicio operación de una nueva máquina cuyo costo fue de S/ 125,000</t>
  </si>
  <si>
    <t>cuyo valor de depreciación no esta incluidas dentro de los S/ 10,000 de la depreciación</t>
  </si>
  <si>
    <t>de los activos físicos que la empresa viene utilizando.</t>
  </si>
  <si>
    <t>En agosto fueron terminados 10,000 unidades.</t>
  </si>
  <si>
    <t>Se pide calcular el costo unitario de producto terminado</t>
  </si>
  <si>
    <t>Se pide calcular el costo de ventas si se vendieron todo el inventario del mes de agosto</t>
  </si>
  <si>
    <t>PREGUNTA 13:</t>
  </si>
  <si>
    <t>COMPRA MD</t>
  </si>
  <si>
    <t>Inventario inicial de materiales directos al 01 enero</t>
  </si>
  <si>
    <t>IIMD</t>
  </si>
  <si>
    <t>Inventario final de nateriales directos al 31 diciembre</t>
  </si>
  <si>
    <t>IFMD</t>
  </si>
  <si>
    <t>Se necesita calcular el costo de ventas</t>
  </si>
  <si>
    <t>CMD</t>
  </si>
  <si>
    <t>CI</t>
  </si>
  <si>
    <t>GA</t>
  </si>
  <si>
    <t>GV</t>
  </si>
  <si>
    <t>CSD</t>
  </si>
  <si>
    <t>IIPP</t>
  </si>
  <si>
    <t>IFPP</t>
  </si>
  <si>
    <t>IIPT</t>
  </si>
  <si>
    <t>IFPT</t>
  </si>
  <si>
    <t>VENTAS</t>
  </si>
  <si>
    <t>CPD</t>
  </si>
  <si>
    <t>CP</t>
  </si>
  <si>
    <t>CPT</t>
  </si>
  <si>
    <t>CV</t>
  </si>
  <si>
    <t>ESTADO DE RESULTADOS</t>
  </si>
  <si>
    <t>Ventas</t>
  </si>
  <si>
    <t>Utilidad bruta</t>
  </si>
  <si>
    <t>Utili operativa</t>
  </si>
  <si>
    <t>GF</t>
  </si>
  <si>
    <t>Util neta AI</t>
  </si>
  <si>
    <t>IR (29.5%)</t>
  </si>
  <si>
    <t>Util neta DI</t>
  </si>
  <si>
    <t>%</t>
  </si>
  <si>
    <t>EL CALCULO DEL % REPRESENTA EL NIVEL DE RELEVANCIA</t>
  </si>
  <si>
    <t>O NIVEL DE IMPARTNCIA</t>
  </si>
  <si>
    <t>ESTRUCTURA DE COSTOS Y GASTOS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</si>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</sst>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_ ;[Red]\-#,##0\ "/>
    <numFmt numFmtId="165" formatCode="#,##0.00_ ;[Red]\-#,##0.00\ 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4">
    <xf numFmtId="0" fontId="0" fillId="0" borderId="0" xfId="0"/>
    <xf numFmtId="0" fontId="1" fillId="2" borderId="0" xfId="0" applyFont="1" applyFill="1"/>
    <xf numFmtId="0" fontId="0" fillId="2" borderId="0" xfId="0" applyFill="1"/>
    <xf numFmtId="4" fontId="0" fillId="2" borderId="0" xfId="0" applyNumberFormat="1" applyFill="1" applyAlignment="1">
      <alignment horizontal="center"/>
    </xf>
    <xf numFmtId="16" fontId="0" fillId="2" borderId="0" xfId="0" applyNumberFormat="1" applyFill="1"/>
    <xf numFmtId="0" fontId="1" fillId="3" borderId="0" xfId="0" applyFont="1" applyFill="1"/>
    <xf numFmtId="0" fontId="0" fillId="3" borderId="0" xfId="0" applyFill="1"/>
    <xf numFmtId="3" fontId="0" fillId="2" borderId="0" xfId="0" applyNumberFormat="1" applyFill="1"/>
    <xf numFmtId="164" fontId="0" fillId="2" borderId="0" xfId="0" applyNumberFormat="1" applyFill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65" fontId="0" fillId="2" borderId="0" xfId="0" applyNumberFormat="1" applyFill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0" fillId="2" borderId="1" xfId="0" applyFill="1" applyBorder="1"/>
    <xf numFmtId="165" fontId="0" fillId="2" borderId="1" xfId="0" applyNumberFormat="1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6" fontId="0" fillId="2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0" fontId="0" fillId="2" borderId="0" xfId="0" applyNumberFormat="1" applyFill="1" applyAlignment="1">
      <alignment horizontal="center"/>
    </xf>
    <xf numFmtId="10" fontId="0" fillId="3" borderId="0" xfId="0" applyNumberFormat="1" applyFill="1" applyAlignment="1">
      <alignment horizontal="center"/>
    </xf>
  </cellXfs>
  <cellStyles count="3">
    <cellStyle name="Normal" xfId="0" builtinId="0"/>
    <cellStyle name="Normal 3" xfId="2" xr:uid="{00000000-0005-0000-0000-000001000000}"/>
    <cellStyle name="Normal 4 2" xfId="1" xr:uid="{00000000-0005-0000-0000-000002000000}"/>
  </cellStyles>
  <dxfs count="0"/>
  <tableStyles count="1" defaultTableStyle="TableStyleMedium2" defaultPivotStyle="PivotStyleLight16">
    <tableStyle name="Invisible" pivot="0" table="0" count="0" xr9:uid="{E876440A-5373-488E-AB3F-645A488EFCD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590550</xdr:colOff>
      <xdr:row>8</xdr:row>
      <xdr:rowOff>0</xdr:rowOff>
    </xdr:from>
    <xdr:ext cx="63979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FEE6826-BE72-45D6-A116-E091C6B4AACF}"/>
            </a:ext>
          </a:extLst>
        </xdr:cNvPr>
        <xdr:cNvSpPr txBox="1"/>
      </xdr:nvSpPr>
      <xdr:spPr>
        <a:xfrm>
          <a:off x="10496550" y="1524000"/>
          <a:ext cx="6397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VENTAS</a:t>
          </a:r>
        </a:p>
      </xdr:txBody>
    </xdr:sp>
    <xdr:clientData/>
  </xdr:oneCellAnchor>
  <xdr:oneCellAnchor>
    <xdr:from>
      <xdr:col>0</xdr:col>
      <xdr:colOff>428625</xdr:colOff>
      <xdr:row>7</xdr:row>
      <xdr:rowOff>114300</xdr:rowOff>
    </xdr:from>
    <xdr:ext cx="911275" cy="436786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FD91045-D7AA-427B-9F43-7ECE959487B4}"/>
            </a:ext>
          </a:extLst>
        </xdr:cNvPr>
        <xdr:cNvSpPr txBox="1"/>
      </xdr:nvSpPr>
      <xdr:spPr>
        <a:xfrm>
          <a:off x="428625" y="1447800"/>
          <a:ext cx="91127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100"/>
            <a:t>COMPRAS</a:t>
          </a:r>
        </a:p>
        <a:p>
          <a:pPr algn="ctr"/>
          <a:r>
            <a:rPr lang="es-PE" sz="1100"/>
            <a:t>MATERIALES</a:t>
          </a:r>
        </a:p>
      </xdr:txBody>
    </xdr:sp>
    <xdr:clientData/>
  </xdr:oneCellAnchor>
  <xdr:twoCellAnchor>
    <xdr:from>
      <xdr:col>1</xdr:col>
      <xdr:colOff>733425</xdr:colOff>
      <xdr:row>6</xdr:row>
      <xdr:rowOff>66675</xdr:rowOff>
    </xdr:from>
    <xdr:to>
      <xdr:col>4</xdr:col>
      <xdr:colOff>552450</xdr:colOff>
      <xdr:row>12</xdr:row>
      <xdr:rowOff>133350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4F44D0B1-5027-4BC9-A3A7-92D64F315830}"/>
            </a:ext>
          </a:extLst>
        </xdr:cNvPr>
        <xdr:cNvSpPr/>
      </xdr:nvSpPr>
      <xdr:spPr>
        <a:xfrm>
          <a:off x="1495425" y="1209675"/>
          <a:ext cx="2105025" cy="1209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2</xdr:col>
      <xdr:colOff>285750</xdr:colOff>
      <xdr:row>5</xdr:row>
      <xdr:rowOff>0</xdr:rowOff>
    </xdr:from>
    <xdr:ext cx="1551835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133269A-D631-44BB-9ED4-F7D38917AD4A}"/>
            </a:ext>
          </a:extLst>
        </xdr:cNvPr>
        <xdr:cNvSpPr txBox="1"/>
      </xdr:nvSpPr>
      <xdr:spPr>
        <a:xfrm>
          <a:off x="1809750" y="952500"/>
          <a:ext cx="15518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 b="1"/>
            <a:t>ALMACEN MATERIALES</a:t>
          </a:r>
        </a:p>
      </xdr:txBody>
    </xdr:sp>
    <xdr:clientData/>
  </xdr:oneCellAnchor>
  <xdr:twoCellAnchor>
    <xdr:from>
      <xdr:col>0</xdr:col>
      <xdr:colOff>619125</xdr:colOff>
      <xdr:row>9</xdr:row>
      <xdr:rowOff>142875</xdr:rowOff>
    </xdr:from>
    <xdr:to>
      <xdr:col>1</xdr:col>
      <xdr:colOff>619125</xdr:colOff>
      <xdr:row>11</xdr:row>
      <xdr:rowOff>38100</xdr:rowOff>
    </xdr:to>
    <xdr:sp macro="" textlink="">
      <xdr:nvSpPr>
        <xdr:cNvPr id="6" name="Flecha: a la derecha 5">
          <a:extLst>
            <a:ext uri="{FF2B5EF4-FFF2-40B4-BE49-F238E27FC236}">
              <a16:creationId xmlns:a16="http://schemas.microsoft.com/office/drawing/2014/main" id="{A46A8163-5DE3-4B34-9563-FE274B62C4D8}"/>
            </a:ext>
          </a:extLst>
        </xdr:cNvPr>
        <xdr:cNvSpPr/>
      </xdr:nvSpPr>
      <xdr:spPr>
        <a:xfrm>
          <a:off x="619125" y="1857375"/>
          <a:ext cx="762000" cy="276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638175</xdr:colOff>
      <xdr:row>8</xdr:row>
      <xdr:rowOff>142875</xdr:rowOff>
    </xdr:from>
    <xdr:to>
      <xdr:col>5</xdr:col>
      <xdr:colOff>638175</xdr:colOff>
      <xdr:row>10</xdr:row>
      <xdr:rowOff>38100</xdr:rowOff>
    </xdr:to>
    <xdr:sp macro="" textlink="">
      <xdr:nvSpPr>
        <xdr:cNvPr id="7" name="Flecha: a la derecha 6">
          <a:extLst>
            <a:ext uri="{FF2B5EF4-FFF2-40B4-BE49-F238E27FC236}">
              <a16:creationId xmlns:a16="http://schemas.microsoft.com/office/drawing/2014/main" id="{9D7B540D-966E-49C6-AB9A-FA36252AE6D4}"/>
            </a:ext>
          </a:extLst>
        </xdr:cNvPr>
        <xdr:cNvSpPr/>
      </xdr:nvSpPr>
      <xdr:spPr>
        <a:xfrm>
          <a:off x="3686175" y="1666875"/>
          <a:ext cx="762000" cy="276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4</xdr:col>
      <xdr:colOff>514350</xdr:colOff>
      <xdr:row>6</xdr:row>
      <xdr:rowOff>114300</xdr:rowOff>
    </xdr:from>
    <xdr:ext cx="911275" cy="436786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F6C42B3E-E9B5-4885-9F10-17D86ACD31D9}"/>
            </a:ext>
          </a:extLst>
        </xdr:cNvPr>
        <xdr:cNvSpPr txBox="1"/>
      </xdr:nvSpPr>
      <xdr:spPr>
        <a:xfrm>
          <a:off x="3562350" y="1257300"/>
          <a:ext cx="91127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100"/>
            <a:t>CONSUMO</a:t>
          </a:r>
        </a:p>
        <a:p>
          <a:pPr algn="ctr"/>
          <a:r>
            <a:rPr lang="es-PE" sz="1100"/>
            <a:t>MATERIALES</a:t>
          </a:r>
        </a:p>
      </xdr:txBody>
    </xdr:sp>
    <xdr:clientData/>
  </xdr:oneCellAnchor>
  <xdr:oneCellAnchor>
    <xdr:from>
      <xdr:col>4</xdr:col>
      <xdr:colOff>755384</xdr:colOff>
      <xdr:row>10</xdr:row>
      <xdr:rowOff>66675</xdr:rowOff>
    </xdr:from>
    <xdr:ext cx="467307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86CED568-F793-4673-9A3B-D48F8D14FE43}"/>
            </a:ext>
          </a:extLst>
        </xdr:cNvPr>
        <xdr:cNvSpPr txBox="1"/>
      </xdr:nvSpPr>
      <xdr:spPr>
        <a:xfrm>
          <a:off x="3803384" y="1971675"/>
          <a:ext cx="46730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100"/>
            <a:t>CMD</a:t>
          </a:r>
        </a:p>
      </xdr:txBody>
    </xdr:sp>
    <xdr:clientData/>
  </xdr:oneCellAnchor>
  <xdr:twoCellAnchor>
    <xdr:from>
      <xdr:col>5</xdr:col>
      <xdr:colOff>666750</xdr:colOff>
      <xdr:row>6</xdr:row>
      <xdr:rowOff>38100</xdr:rowOff>
    </xdr:from>
    <xdr:to>
      <xdr:col>8</xdr:col>
      <xdr:colOff>485775</xdr:colOff>
      <xdr:row>12</xdr:row>
      <xdr:rowOff>104775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5DF209FD-6CFB-41FC-BC02-9CA7116908B7}"/>
            </a:ext>
          </a:extLst>
        </xdr:cNvPr>
        <xdr:cNvSpPr/>
      </xdr:nvSpPr>
      <xdr:spPr>
        <a:xfrm>
          <a:off x="4476750" y="1181100"/>
          <a:ext cx="2105025" cy="1209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6</xdr:col>
      <xdr:colOff>219075</xdr:colOff>
      <xdr:row>4</xdr:row>
      <xdr:rowOff>161925</xdr:rowOff>
    </xdr:from>
    <xdr:ext cx="1680717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D293DD7D-CBF4-4D2E-AA05-0D412A5271B9}"/>
            </a:ext>
          </a:extLst>
        </xdr:cNvPr>
        <xdr:cNvSpPr txBox="1"/>
      </xdr:nvSpPr>
      <xdr:spPr>
        <a:xfrm>
          <a:off x="4791075" y="923925"/>
          <a:ext cx="16807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 b="1"/>
            <a:t>PLANTA</a:t>
          </a:r>
          <a:r>
            <a:rPr lang="es-PE" sz="1100" b="1" baseline="0"/>
            <a:t> DE PRODUCCION</a:t>
          </a:r>
          <a:endParaRPr lang="es-PE" sz="1100" b="1"/>
        </a:p>
      </xdr:txBody>
    </xdr:sp>
    <xdr:clientData/>
  </xdr:oneCellAnchor>
  <xdr:twoCellAnchor>
    <xdr:from>
      <xdr:col>6</xdr:col>
      <xdr:colOff>280987</xdr:colOff>
      <xdr:row>2</xdr:row>
      <xdr:rowOff>171453</xdr:rowOff>
    </xdr:from>
    <xdr:to>
      <xdr:col>6</xdr:col>
      <xdr:colOff>504824</xdr:colOff>
      <xdr:row>4</xdr:row>
      <xdr:rowOff>138114</xdr:rowOff>
    </xdr:to>
    <xdr:sp macro="" textlink="">
      <xdr:nvSpPr>
        <xdr:cNvPr id="12" name="Flecha: a la derecha 11">
          <a:extLst>
            <a:ext uri="{FF2B5EF4-FFF2-40B4-BE49-F238E27FC236}">
              <a16:creationId xmlns:a16="http://schemas.microsoft.com/office/drawing/2014/main" id="{8889060E-FB4A-40F7-8E8D-A2E41CA3A188}"/>
            </a:ext>
          </a:extLst>
        </xdr:cNvPr>
        <xdr:cNvSpPr/>
      </xdr:nvSpPr>
      <xdr:spPr>
        <a:xfrm rot="5400000">
          <a:off x="4791075" y="614365"/>
          <a:ext cx="347661" cy="22383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90487</xdr:colOff>
      <xdr:row>2</xdr:row>
      <xdr:rowOff>161928</xdr:rowOff>
    </xdr:from>
    <xdr:to>
      <xdr:col>7</xdr:col>
      <xdr:colOff>314324</xdr:colOff>
      <xdr:row>4</xdr:row>
      <xdr:rowOff>128589</xdr:rowOff>
    </xdr:to>
    <xdr:sp macro="" textlink="">
      <xdr:nvSpPr>
        <xdr:cNvPr id="13" name="Flecha: a la derecha 12">
          <a:extLst>
            <a:ext uri="{FF2B5EF4-FFF2-40B4-BE49-F238E27FC236}">
              <a16:creationId xmlns:a16="http://schemas.microsoft.com/office/drawing/2014/main" id="{E674AEA7-8040-460B-92C7-FCD7C0C0D0A7}"/>
            </a:ext>
          </a:extLst>
        </xdr:cNvPr>
        <xdr:cNvSpPr/>
      </xdr:nvSpPr>
      <xdr:spPr>
        <a:xfrm rot="5400000">
          <a:off x="5362575" y="604840"/>
          <a:ext cx="347661" cy="22383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614362</xdr:colOff>
      <xdr:row>2</xdr:row>
      <xdr:rowOff>171453</xdr:rowOff>
    </xdr:from>
    <xdr:to>
      <xdr:col>8</xdr:col>
      <xdr:colOff>76199</xdr:colOff>
      <xdr:row>4</xdr:row>
      <xdr:rowOff>138114</xdr:rowOff>
    </xdr:to>
    <xdr:sp macro="" textlink="">
      <xdr:nvSpPr>
        <xdr:cNvPr id="14" name="Flecha: a la derecha 13">
          <a:extLst>
            <a:ext uri="{FF2B5EF4-FFF2-40B4-BE49-F238E27FC236}">
              <a16:creationId xmlns:a16="http://schemas.microsoft.com/office/drawing/2014/main" id="{C2C63370-7960-42C4-8D3C-F5C544C21048}"/>
            </a:ext>
          </a:extLst>
        </xdr:cNvPr>
        <xdr:cNvSpPr/>
      </xdr:nvSpPr>
      <xdr:spPr>
        <a:xfrm rot="5400000">
          <a:off x="5886450" y="614365"/>
          <a:ext cx="347661" cy="22383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6</xdr:col>
      <xdr:colOff>137172</xdr:colOff>
      <xdr:row>1</xdr:row>
      <xdr:rowOff>66675</xdr:rowOff>
    </xdr:from>
    <xdr:ext cx="5607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BF9D7141-3956-45AC-8C17-86D4E67D0F7B}"/>
            </a:ext>
          </a:extLst>
        </xdr:cNvPr>
        <xdr:cNvSpPr txBox="1"/>
      </xdr:nvSpPr>
      <xdr:spPr>
        <a:xfrm>
          <a:off x="4709172" y="257175"/>
          <a:ext cx="560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100"/>
            <a:t>CMOD</a:t>
          </a:r>
        </a:p>
      </xdr:txBody>
    </xdr:sp>
    <xdr:clientData/>
  </xdr:oneCellAnchor>
  <xdr:oneCellAnchor>
    <xdr:from>
      <xdr:col>6</xdr:col>
      <xdr:colOff>726126</xdr:colOff>
      <xdr:row>1</xdr:row>
      <xdr:rowOff>76200</xdr:rowOff>
    </xdr:from>
    <xdr:ext cx="411523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E870DE95-D0BF-4BC6-B78C-AA49E4DAE299}"/>
            </a:ext>
          </a:extLst>
        </xdr:cNvPr>
        <xdr:cNvSpPr txBox="1"/>
      </xdr:nvSpPr>
      <xdr:spPr>
        <a:xfrm>
          <a:off x="5298126" y="266700"/>
          <a:ext cx="4115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100"/>
            <a:t>CSD</a:t>
          </a:r>
        </a:p>
      </xdr:txBody>
    </xdr:sp>
    <xdr:clientData/>
  </xdr:oneCellAnchor>
  <xdr:oneCellAnchor>
    <xdr:from>
      <xdr:col>7</xdr:col>
      <xdr:colOff>551749</xdr:colOff>
      <xdr:row>1</xdr:row>
      <xdr:rowOff>47625</xdr:rowOff>
    </xdr:from>
    <xdr:ext cx="360228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87954328-FD85-4DAE-A6BC-651F7E832ECB}"/>
            </a:ext>
          </a:extLst>
        </xdr:cNvPr>
        <xdr:cNvSpPr txBox="1"/>
      </xdr:nvSpPr>
      <xdr:spPr>
        <a:xfrm>
          <a:off x="5885749" y="238125"/>
          <a:ext cx="3602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100"/>
            <a:t>CIF</a:t>
          </a:r>
        </a:p>
      </xdr:txBody>
    </xdr:sp>
    <xdr:clientData/>
  </xdr:oneCellAnchor>
  <xdr:twoCellAnchor>
    <xdr:from>
      <xdr:col>8</xdr:col>
      <xdr:colOff>561975</xdr:colOff>
      <xdr:row>8</xdr:row>
      <xdr:rowOff>95250</xdr:rowOff>
    </xdr:from>
    <xdr:to>
      <xdr:col>9</xdr:col>
      <xdr:colOff>561975</xdr:colOff>
      <xdr:row>9</xdr:row>
      <xdr:rowOff>180975</xdr:rowOff>
    </xdr:to>
    <xdr:sp macro="" textlink="">
      <xdr:nvSpPr>
        <xdr:cNvPr id="18" name="Flecha: a la derecha 17">
          <a:extLst>
            <a:ext uri="{FF2B5EF4-FFF2-40B4-BE49-F238E27FC236}">
              <a16:creationId xmlns:a16="http://schemas.microsoft.com/office/drawing/2014/main" id="{BC58128D-8B37-471D-835D-15352D01B3AF}"/>
            </a:ext>
          </a:extLst>
        </xdr:cNvPr>
        <xdr:cNvSpPr/>
      </xdr:nvSpPr>
      <xdr:spPr>
        <a:xfrm>
          <a:off x="6657975" y="1619250"/>
          <a:ext cx="762000" cy="276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8</xdr:col>
      <xdr:colOff>512180</xdr:colOff>
      <xdr:row>6</xdr:row>
      <xdr:rowOff>76200</xdr:rowOff>
    </xdr:from>
    <xdr:ext cx="972767" cy="436786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8251CDC0-DF75-4BC7-BCCC-543B0B96D778}"/>
            </a:ext>
          </a:extLst>
        </xdr:cNvPr>
        <xdr:cNvSpPr txBox="1"/>
      </xdr:nvSpPr>
      <xdr:spPr>
        <a:xfrm>
          <a:off x="6608180" y="1219200"/>
          <a:ext cx="97276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100"/>
            <a:t>PRODUCTOS</a:t>
          </a:r>
        </a:p>
        <a:p>
          <a:pPr algn="ctr"/>
          <a:r>
            <a:rPr lang="es-PE" sz="1100"/>
            <a:t>TERMINADOS</a:t>
          </a:r>
        </a:p>
      </xdr:txBody>
    </xdr:sp>
    <xdr:clientData/>
  </xdr:oneCellAnchor>
  <xdr:oneCellAnchor>
    <xdr:from>
      <xdr:col>8</xdr:col>
      <xdr:colOff>569202</xdr:colOff>
      <xdr:row>10</xdr:row>
      <xdr:rowOff>9525</xdr:rowOff>
    </xdr:from>
    <xdr:ext cx="401520" cy="264560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7DF75354-6053-417E-9E83-FC31EF38A10E}"/>
            </a:ext>
          </a:extLst>
        </xdr:cNvPr>
        <xdr:cNvSpPr txBox="1"/>
      </xdr:nvSpPr>
      <xdr:spPr>
        <a:xfrm>
          <a:off x="6665202" y="1914525"/>
          <a:ext cx="4015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100"/>
            <a:t>CPT</a:t>
          </a:r>
        </a:p>
      </xdr:txBody>
    </xdr:sp>
    <xdr:clientData/>
  </xdr:oneCellAnchor>
  <xdr:twoCellAnchor>
    <xdr:from>
      <xdr:col>9</xdr:col>
      <xdr:colOff>714375</xdr:colOff>
      <xdr:row>6</xdr:row>
      <xdr:rowOff>0</xdr:rowOff>
    </xdr:from>
    <xdr:to>
      <xdr:col>12</xdr:col>
      <xdr:colOff>533400</xdr:colOff>
      <xdr:row>12</xdr:row>
      <xdr:rowOff>66675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6570D063-0944-4741-9B41-6D10E5140D30}"/>
            </a:ext>
          </a:extLst>
        </xdr:cNvPr>
        <xdr:cNvSpPr/>
      </xdr:nvSpPr>
      <xdr:spPr>
        <a:xfrm>
          <a:off x="7572375" y="1143000"/>
          <a:ext cx="2105025" cy="1209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9</xdr:col>
      <xdr:colOff>638175</xdr:colOff>
      <xdr:row>4</xdr:row>
      <xdr:rowOff>95250</xdr:rowOff>
    </xdr:from>
    <xdr:ext cx="2384564" cy="26456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E6B29EBB-E4D8-44FC-A6A0-B28C781A9FC5}"/>
            </a:ext>
          </a:extLst>
        </xdr:cNvPr>
        <xdr:cNvSpPr txBox="1"/>
      </xdr:nvSpPr>
      <xdr:spPr>
        <a:xfrm>
          <a:off x="7496175" y="857250"/>
          <a:ext cx="23845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 b="1"/>
            <a:t>ALMACEN PRODUCTOS</a:t>
          </a:r>
          <a:r>
            <a:rPr lang="es-PE" sz="1100" b="1" baseline="0"/>
            <a:t> TERMINADOS</a:t>
          </a:r>
          <a:endParaRPr lang="es-PE" sz="1100" b="1"/>
        </a:p>
      </xdr:txBody>
    </xdr:sp>
    <xdr:clientData/>
  </xdr:oneCellAnchor>
  <xdr:twoCellAnchor>
    <xdr:from>
      <xdr:col>12</xdr:col>
      <xdr:colOff>571500</xdr:colOff>
      <xdr:row>8</xdr:row>
      <xdr:rowOff>0</xdr:rowOff>
    </xdr:from>
    <xdr:to>
      <xdr:col>13</xdr:col>
      <xdr:colOff>571500</xdr:colOff>
      <xdr:row>9</xdr:row>
      <xdr:rowOff>85725</xdr:rowOff>
    </xdr:to>
    <xdr:sp macro="" textlink="">
      <xdr:nvSpPr>
        <xdr:cNvPr id="23" name="Flecha: a la derecha 22">
          <a:extLst>
            <a:ext uri="{FF2B5EF4-FFF2-40B4-BE49-F238E27FC236}">
              <a16:creationId xmlns:a16="http://schemas.microsoft.com/office/drawing/2014/main" id="{A6534B5A-3F3E-48E7-A31F-F789FE733732}"/>
            </a:ext>
          </a:extLst>
        </xdr:cNvPr>
        <xdr:cNvSpPr/>
      </xdr:nvSpPr>
      <xdr:spPr>
        <a:xfrm>
          <a:off x="9715500" y="1524000"/>
          <a:ext cx="762000" cy="276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12</xdr:col>
      <xdr:colOff>512551</xdr:colOff>
      <xdr:row>9</xdr:row>
      <xdr:rowOff>66675</xdr:rowOff>
    </xdr:from>
    <xdr:ext cx="1067280" cy="264560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E1CABECB-B523-42DA-BA5A-2EA9EC761C0C}"/>
            </a:ext>
          </a:extLst>
        </xdr:cNvPr>
        <xdr:cNvSpPr txBox="1"/>
      </xdr:nvSpPr>
      <xdr:spPr>
        <a:xfrm>
          <a:off x="9656551" y="1781175"/>
          <a:ext cx="10672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100"/>
            <a:t>COSTO VENTAS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6572250" cy="9420225"/>
    <xdr:pic>
      <xdr:nvPicPr>
        <xdr:cNvPr id="2" name="Imagen 1">
          <a:extLst>
            <a:ext uri="{FF2B5EF4-FFF2-40B4-BE49-F238E27FC236}">
              <a16:creationId xmlns:a16="http://schemas.microsoft.com/office/drawing/2014/main" id="{1748B6D6-A3AB-43CA-9312-720F5FD20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572250" cy="942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</xdr:colOff>
      <xdr:row>1</xdr:row>
      <xdr:rowOff>15240</xdr:rowOff>
    </xdr:from>
    <xdr:ext cx="5876925" cy="6038850"/>
    <xdr:pic>
      <xdr:nvPicPr>
        <xdr:cNvPr id="2" name="Imagen 1">
          <a:extLst>
            <a:ext uri="{FF2B5EF4-FFF2-40B4-BE49-F238E27FC236}">
              <a16:creationId xmlns:a16="http://schemas.microsoft.com/office/drawing/2014/main" id="{C98A4C41-B5DF-4370-9399-F40D197DC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98120"/>
          <a:ext cx="5876925" cy="603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6533333" cy="2561905"/>
    <xdr:pic>
      <xdr:nvPicPr>
        <xdr:cNvPr id="2" name="Imagen 1">
          <a:extLst>
            <a:ext uri="{FF2B5EF4-FFF2-40B4-BE49-F238E27FC236}">
              <a16:creationId xmlns:a16="http://schemas.microsoft.com/office/drawing/2014/main" id="{6014C333-7934-489B-B733-29F705101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6533333" cy="256190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6172200" cy="6181725"/>
    <xdr:pic>
      <xdr:nvPicPr>
        <xdr:cNvPr id="2" name="Imagen 1">
          <a:extLst>
            <a:ext uri="{FF2B5EF4-FFF2-40B4-BE49-F238E27FC236}">
              <a16:creationId xmlns:a16="http://schemas.microsoft.com/office/drawing/2014/main" id="{DC7257A0-1A10-4E7D-BF5C-8FCA57B9C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172200" cy="6181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</xdr:row>
      <xdr:rowOff>0</xdr:rowOff>
    </xdr:from>
    <xdr:ext cx="6057900" cy="7467600"/>
    <xdr:pic>
      <xdr:nvPicPr>
        <xdr:cNvPr id="2" name="Imagen 1">
          <a:extLst>
            <a:ext uri="{FF2B5EF4-FFF2-40B4-BE49-F238E27FC236}">
              <a16:creationId xmlns:a16="http://schemas.microsoft.com/office/drawing/2014/main" id="{B8C3A273-BFB2-4D0F-ABBD-5FE707893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0"/>
          <a:ext cx="6057900" cy="746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0</xdr:rowOff>
    </xdr:from>
    <xdr:to>
      <xdr:col>6</xdr:col>
      <xdr:colOff>838200</xdr:colOff>
      <xdr:row>22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4F90CD1-075E-4B37-A7A0-1F1B51A41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0"/>
          <a:ext cx="5391150" cy="418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0</xdr:rowOff>
    </xdr:from>
    <xdr:to>
      <xdr:col>7</xdr:col>
      <xdr:colOff>142875</xdr:colOff>
      <xdr:row>25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F522A0-BEF9-49D1-A2D6-DD732906C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0"/>
          <a:ext cx="5610225" cy="472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co%20D\Cursos\Excel\Solpr&#225;ctica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co%20duro%20de%2030%20GB\Disco%20D\Cursos\Excel\Solpr&#225;ctica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:\Productos\2017\ACTUALIZADOS\GRATIS\actualizados\Sistema%20de%20busqueda%20interactivo%20macro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_\d\Libros\LibInvOper\CasoSuz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áctica 1"/>
      <sheetName val="Lógicas"/>
      <sheetName val="SumarSi"/>
      <sheetName val="Késimo.menor"/>
      <sheetName val="Ind. Asociados"/>
      <sheetName val="Mibebé"/>
      <sheetName val="Lidel"/>
      <sheetName val="LidelPlantilla"/>
      <sheetName val="PresCapital"/>
      <sheetName val="Tropisur"/>
      <sheetName val="Tropisur Plantilla"/>
      <sheetName val="Informe de respuestas 3"/>
      <sheetName val="Caso Gamma"/>
      <sheetName val="Práctica 5"/>
      <sheetName val="LineaDelHogar"/>
      <sheetName val="Figura 1.1"/>
      <sheetName val="PE Modelo 1"/>
      <sheetName val="PE Modelo 2"/>
      <sheetName val="PE Modelo 3"/>
      <sheetName val="PE Modelo 4"/>
      <sheetName val="PE Modelo 5"/>
      <sheetName val="Leasing"/>
      <sheetName val="Canalizaciones"/>
      <sheetName val="Proyectos"/>
      <sheetName val="Regresión"/>
      <sheetName val="PresCaja"/>
      <sheetName val="Media"/>
      <sheetName val="DistribFrecuenciaseEjercicio"/>
      <sheetName val="DistribFrecuenciasSolución"/>
      <sheetName val="Oak Products"/>
      <sheetName val="Protrac"/>
      <sheetName val="Informe de respuestas 1"/>
      <sheetName val="Informe de sensibilidad 1"/>
      <sheetName val="Informe de límites 1"/>
      <sheetName val="Crawler Tread"/>
      <sheetName val="Informe de respuestas 2"/>
      <sheetName val="Informe de sensibilidad 2"/>
      <sheetName val="Informe de límites 2"/>
      <sheetName val="CF yCVar."/>
      <sheetName val="Astro y Cosmo"/>
      <sheetName val="Blendig Gruel"/>
      <sheetName val="Vigilancia"/>
      <sheetName val="Transporte"/>
      <sheetName val="Winston"/>
      <sheetName val="Longer Boats"/>
      <sheetName val="Bumles"/>
      <sheetName val="Práctica 3 Informática"/>
      <sheetName val="Listas"/>
      <sheetName val="Filtros"/>
      <sheetName val="Roma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E26">
            <v>2100</v>
          </cell>
          <cell r="F26">
            <v>2300</v>
          </cell>
          <cell r="G26">
            <v>2500</v>
          </cell>
          <cell r="H26">
            <v>2550</v>
          </cell>
          <cell r="I26">
            <v>2620</v>
          </cell>
          <cell r="J26">
            <v>2740</v>
          </cell>
          <cell r="K26">
            <v>2760</v>
          </cell>
          <cell r="L26">
            <v>2760</v>
          </cell>
          <cell r="M26">
            <v>2790</v>
          </cell>
          <cell r="N26">
            <v>2800</v>
          </cell>
          <cell r="O26">
            <v>2850</v>
          </cell>
          <cell r="P26">
            <v>3100</v>
          </cell>
        </row>
        <row r="27">
          <cell r="E27">
            <v>42</v>
          </cell>
          <cell r="F27">
            <v>43</v>
          </cell>
          <cell r="G27">
            <v>43</v>
          </cell>
          <cell r="H27">
            <v>43</v>
          </cell>
          <cell r="I27">
            <v>43</v>
          </cell>
          <cell r="J27">
            <v>44</v>
          </cell>
          <cell r="K27">
            <v>44</v>
          </cell>
          <cell r="L27">
            <v>44</v>
          </cell>
          <cell r="M27">
            <v>44</v>
          </cell>
          <cell r="N27">
            <v>44</v>
          </cell>
          <cell r="O27">
            <v>44</v>
          </cell>
          <cell r="P27">
            <v>45</v>
          </cell>
        </row>
        <row r="55">
          <cell r="E55">
            <v>4312</v>
          </cell>
          <cell r="F55">
            <v>-5808.8999999999942</v>
          </cell>
          <cell r="G55">
            <v>12106.199999999997</v>
          </cell>
          <cell r="H55">
            <v>-4782.8000000000029</v>
          </cell>
          <cell r="I55">
            <v>2229.5799999999872</v>
          </cell>
          <cell r="J55">
            <v>-10703.800000000017</v>
          </cell>
          <cell r="K55">
            <v>2471.8399999999965</v>
          </cell>
          <cell r="L55">
            <v>-12288.799999999988</v>
          </cell>
          <cell r="M55">
            <v>3645.7600000000093</v>
          </cell>
          <cell r="N55">
            <v>-10683.679999999993</v>
          </cell>
          <cell r="O55">
            <v>5993.6000000000058</v>
          </cell>
          <cell r="P55">
            <v>14074.799999999988</v>
          </cell>
        </row>
        <row r="56">
          <cell r="E56">
            <v>8312</v>
          </cell>
          <cell r="F56">
            <v>2503.1000000000058</v>
          </cell>
          <cell r="G56">
            <v>14609.300000000003</v>
          </cell>
          <cell r="H56">
            <v>9826.5</v>
          </cell>
          <cell r="I56">
            <v>12056.079999999987</v>
          </cell>
          <cell r="J56">
            <v>1352.2799999999697</v>
          </cell>
          <cell r="K56">
            <v>3824.1199999999662</v>
          </cell>
          <cell r="L56">
            <v>-8464.6800000000221</v>
          </cell>
          <cell r="M56">
            <v>-4818.9200000000128</v>
          </cell>
          <cell r="N56">
            <v>-15502.600000000006</v>
          </cell>
          <cell r="O56">
            <v>-9509</v>
          </cell>
          <cell r="P56">
            <v>4565.7999999999884</v>
          </cell>
        </row>
      </sheetData>
      <sheetData sheetId="26"/>
      <sheetData sheetId="27"/>
      <sheetData sheetId="28">
        <row r="3">
          <cell r="A3" t="str">
            <v>Serie original</v>
          </cell>
        </row>
        <row r="4">
          <cell r="A4">
            <v>600</v>
          </cell>
        </row>
        <row r="5">
          <cell r="A5">
            <v>1500</v>
          </cell>
        </row>
        <row r="6">
          <cell r="A6">
            <v>880</v>
          </cell>
        </row>
        <row r="7">
          <cell r="A7">
            <v>520</v>
          </cell>
        </row>
        <row r="8">
          <cell r="A8">
            <v>640</v>
          </cell>
        </row>
        <row r="9">
          <cell r="A9">
            <v>800</v>
          </cell>
        </row>
        <row r="10">
          <cell r="A10">
            <v>1200</v>
          </cell>
        </row>
        <row r="11">
          <cell r="A11">
            <v>1300</v>
          </cell>
        </row>
        <row r="12">
          <cell r="A12">
            <v>700</v>
          </cell>
        </row>
        <row r="13">
          <cell r="A13">
            <v>680</v>
          </cell>
        </row>
        <row r="14">
          <cell r="A14">
            <v>450</v>
          </cell>
        </row>
        <row r="15">
          <cell r="A15">
            <v>580</v>
          </cell>
        </row>
        <row r="16">
          <cell r="A16">
            <v>720</v>
          </cell>
        </row>
        <row r="17">
          <cell r="A17">
            <v>750</v>
          </cell>
        </row>
        <row r="18">
          <cell r="A18">
            <v>1300</v>
          </cell>
        </row>
        <row r="19">
          <cell r="A19">
            <v>2500</v>
          </cell>
        </row>
        <row r="20">
          <cell r="A20">
            <v>900</v>
          </cell>
        </row>
        <row r="21">
          <cell r="A21">
            <v>1200</v>
          </cell>
        </row>
        <row r="22">
          <cell r="A22">
            <v>1100</v>
          </cell>
        </row>
        <row r="23">
          <cell r="A23">
            <v>950</v>
          </cell>
        </row>
        <row r="24">
          <cell r="A24">
            <v>1800</v>
          </cell>
        </row>
        <row r="25">
          <cell r="A25">
            <v>870</v>
          </cell>
        </row>
        <row r="26">
          <cell r="A26">
            <v>800</v>
          </cell>
        </row>
        <row r="27">
          <cell r="A27">
            <v>450</v>
          </cell>
        </row>
        <row r="28">
          <cell r="A28">
            <v>520</v>
          </cell>
        </row>
        <row r="29">
          <cell r="A29">
            <v>630</v>
          </cell>
        </row>
        <row r="30">
          <cell r="A30">
            <v>990</v>
          </cell>
        </row>
        <row r="31">
          <cell r="A31">
            <v>1200</v>
          </cell>
        </row>
        <row r="32">
          <cell r="A32">
            <v>1300</v>
          </cell>
        </row>
        <row r="33">
          <cell r="A33">
            <v>690</v>
          </cell>
        </row>
        <row r="34">
          <cell r="A34">
            <v>720</v>
          </cell>
        </row>
        <row r="35">
          <cell r="A35">
            <v>820</v>
          </cell>
        </row>
        <row r="36">
          <cell r="A36">
            <v>630</v>
          </cell>
        </row>
        <row r="37">
          <cell r="A37">
            <v>980</v>
          </cell>
        </row>
        <row r="38">
          <cell r="A38">
            <v>1000</v>
          </cell>
        </row>
        <row r="39">
          <cell r="A39">
            <v>1400</v>
          </cell>
        </row>
        <row r="40">
          <cell r="A40">
            <v>1100</v>
          </cell>
        </row>
        <row r="41">
          <cell r="A41">
            <v>920</v>
          </cell>
        </row>
        <row r="42">
          <cell r="A42">
            <v>690</v>
          </cell>
        </row>
        <row r="43">
          <cell r="A43">
            <v>780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áctica 1"/>
      <sheetName val="Lógicas"/>
      <sheetName val="SumarSi"/>
      <sheetName val="Késimo.menor"/>
      <sheetName val="Ind. Asociados"/>
      <sheetName val="Mibebé"/>
      <sheetName val="Lidel"/>
      <sheetName val="PresCapital"/>
      <sheetName val="Tropisur"/>
      <sheetName val="Tropisur Plantilla"/>
      <sheetName val="Caso Gamma"/>
      <sheetName val="Sensibilidad"/>
      <sheetName val="Práctica 5"/>
      <sheetName val="LineaDelHogar"/>
      <sheetName val="Figura 1.1"/>
      <sheetName val="PE Modelo 1"/>
      <sheetName val="PE Modelo 2"/>
      <sheetName val="PE Modelo 3"/>
      <sheetName val="PE Modelo 4"/>
      <sheetName val="PE Modelo 5"/>
      <sheetName val="Leasing"/>
      <sheetName val="Canalizaciones"/>
      <sheetName val="Proyectos"/>
      <sheetName val="Regresión"/>
      <sheetName val="PresCaja"/>
      <sheetName val="Media"/>
      <sheetName val="DistribFrecuenciaseEjercicio"/>
      <sheetName val="DistribFrecuenciasSolución"/>
      <sheetName val="Oak Products"/>
      <sheetName val="Protrac"/>
      <sheetName val="Informe de respuestas 1"/>
      <sheetName val="Informe de sensibilidad 1"/>
      <sheetName val="Crawler Tread"/>
      <sheetName val="CF yCVar."/>
      <sheetName val="Astro y Cosmo"/>
      <sheetName val="Blendig Gruel"/>
      <sheetName val="Vigilancia"/>
      <sheetName val="Transporte"/>
      <sheetName val="Winston"/>
      <sheetName val="Longer Boats"/>
      <sheetName val="Bumles"/>
      <sheetName val="Práctica 3 Informática"/>
      <sheetName val="Listas"/>
      <sheetName val="Filtros"/>
      <sheetName val="Romasa"/>
      <sheetName val="AnaEEFF"/>
      <sheetName val="PC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B3">
            <v>10000</v>
          </cell>
        </row>
        <row r="4">
          <cell r="B4">
            <v>0.01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RESENTACION"/>
      <sheetName val="BASE DE DATOS"/>
      <sheetName val="Filtro"/>
    </sheetNames>
    <sheetDataSet>
      <sheetData sheetId="0">
        <row r="2">
          <cell r="A2" t="str">
            <v>RODAMIENTOS</v>
          </cell>
        </row>
        <row r="3">
          <cell r="A3" t="str">
            <v>RETENES</v>
          </cell>
        </row>
        <row r="4">
          <cell r="A4" t="str">
            <v>CRUCETAS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o Formal"/>
      <sheetName val="Solver"/>
    </sheetNames>
    <sheetDataSet>
      <sheetData sheetId="0">
        <row r="23">
          <cell r="B23">
            <v>2</v>
          </cell>
          <cell r="E23">
            <v>20</v>
          </cell>
        </row>
        <row r="24">
          <cell r="B24">
            <v>4</v>
          </cell>
          <cell r="E24">
            <v>100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76A8-AD5A-49BF-8529-4E9684B103C3}">
  <dimension ref="A1:N22"/>
  <sheetViews>
    <sheetView workbookViewId="0">
      <selection activeCell="N22" sqref="N22"/>
    </sheetView>
  </sheetViews>
  <sheetFormatPr baseColWidth="10" defaultColWidth="11.42578125" defaultRowHeight="15" x14ac:dyDescent="0.25"/>
  <cols>
    <col min="1" max="16384" width="11.42578125" style="2"/>
  </cols>
  <sheetData>
    <row r="1" spans="1:12" x14ac:dyDescent="0.25">
      <c r="A1" s="2" t="s">
        <v>12</v>
      </c>
    </row>
    <row r="2" spans="1:12" x14ac:dyDescent="0.25">
      <c r="A2" s="2" t="s">
        <v>13</v>
      </c>
      <c r="C2" s="2" t="s">
        <v>14</v>
      </c>
    </row>
    <row r="14" spans="1:12" x14ac:dyDescent="0.25">
      <c r="G14" s="5" t="s">
        <v>22</v>
      </c>
      <c r="H14" s="5"/>
      <c r="I14" s="5"/>
      <c r="J14" s="5"/>
    </row>
    <row r="15" spans="1:12" x14ac:dyDescent="0.25">
      <c r="C15" s="4">
        <v>44317</v>
      </c>
      <c r="D15" s="2" t="s">
        <v>15</v>
      </c>
      <c r="K15" s="4">
        <v>44317</v>
      </c>
      <c r="L15" s="2" t="s">
        <v>29</v>
      </c>
    </row>
    <row r="16" spans="1:12" x14ac:dyDescent="0.25">
      <c r="C16" s="2" t="s">
        <v>16</v>
      </c>
      <c r="D16" s="2" t="s">
        <v>17</v>
      </c>
      <c r="G16" s="4">
        <v>44317</v>
      </c>
      <c r="H16" s="2" t="s">
        <v>23</v>
      </c>
      <c r="K16" s="2" t="s">
        <v>16</v>
      </c>
      <c r="L16" s="2" t="s">
        <v>30</v>
      </c>
    </row>
    <row r="17" spans="3:14" x14ac:dyDescent="0.25">
      <c r="C17" s="2" t="s">
        <v>16</v>
      </c>
      <c r="D17" s="2" t="s">
        <v>18</v>
      </c>
      <c r="G17" s="2" t="s">
        <v>16</v>
      </c>
      <c r="H17" s="2" t="s">
        <v>24</v>
      </c>
      <c r="K17" s="2" t="s">
        <v>16</v>
      </c>
      <c r="L17" s="2" t="s">
        <v>31</v>
      </c>
    </row>
    <row r="18" spans="3:14" x14ac:dyDescent="0.25">
      <c r="C18" s="4">
        <v>44346</v>
      </c>
      <c r="D18" s="2" t="s">
        <v>19</v>
      </c>
      <c r="G18" s="2" t="s">
        <v>16</v>
      </c>
      <c r="H18" s="2" t="s">
        <v>25</v>
      </c>
      <c r="K18" s="4">
        <v>44346</v>
      </c>
      <c r="L18" s="2" t="s">
        <v>32</v>
      </c>
    </row>
    <row r="19" spans="3:14" x14ac:dyDescent="0.25">
      <c r="G19" s="4">
        <v>44346</v>
      </c>
      <c r="H19" s="2" t="s">
        <v>26</v>
      </c>
    </row>
    <row r="20" spans="3:14" x14ac:dyDescent="0.25">
      <c r="C20" s="2" t="s">
        <v>20</v>
      </c>
      <c r="K20" s="2" t="s">
        <v>33</v>
      </c>
    </row>
    <row r="21" spans="3:14" x14ac:dyDescent="0.25">
      <c r="C21" s="5" t="s">
        <v>21</v>
      </c>
      <c r="D21" s="5"/>
      <c r="E21" s="5"/>
      <c r="G21" s="2" t="s">
        <v>27</v>
      </c>
      <c r="K21" s="5" t="s">
        <v>34</v>
      </c>
      <c r="L21" s="5"/>
    </row>
    <row r="22" spans="3:14" x14ac:dyDescent="0.25">
      <c r="G22" s="5" t="s">
        <v>28</v>
      </c>
      <c r="H22" s="6"/>
      <c r="N22" s="2">
        <v>3214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CDA8D-2D9A-4C99-BAE2-501A33B80048}">
  <dimension ref="A1:K32"/>
  <sheetViews>
    <sheetView tabSelected="1" topLeftCell="C14" zoomScale="120" zoomScaleNormal="120" workbookViewId="0">
      <selection activeCell="J27" sqref="J27"/>
    </sheetView>
  </sheetViews>
  <sheetFormatPr baseColWidth="10" defaultColWidth="11.42578125" defaultRowHeight="15" x14ac:dyDescent="0.25"/>
  <cols>
    <col min="1" max="1" width="45.7109375" style="2" customWidth="1"/>
    <col min="2" max="2" width="12.7109375" style="2" bestFit="1" customWidth="1"/>
    <col min="3" max="4" width="11.42578125" style="2"/>
    <col min="5" max="5" width="13.85546875" style="2" customWidth="1"/>
    <col min="6" max="16384" width="11.42578125" style="2"/>
  </cols>
  <sheetData>
    <row r="1" spans="1:9" x14ac:dyDescent="0.25">
      <c r="A1" s="1" t="s">
        <v>0</v>
      </c>
    </row>
    <row r="2" spans="1:9" x14ac:dyDescent="0.25">
      <c r="A2" s="2" t="s">
        <v>36</v>
      </c>
    </row>
    <row r="3" spans="1:9" x14ac:dyDescent="0.25">
      <c r="A3" s="12" t="s">
        <v>37</v>
      </c>
      <c r="B3" s="13" t="s">
        <v>38</v>
      </c>
    </row>
    <row r="4" spans="1:9" x14ac:dyDescent="0.25">
      <c r="A4" s="14" t="s">
        <v>39</v>
      </c>
      <c r="B4" s="15">
        <v>158000</v>
      </c>
      <c r="C4" s="2" t="s">
        <v>138</v>
      </c>
      <c r="E4" s="2" t="s">
        <v>144</v>
      </c>
      <c r="F4" s="11">
        <f>B5+B4-B6</f>
        <v>128000</v>
      </c>
    </row>
    <row r="5" spans="1:9" x14ac:dyDescent="0.25">
      <c r="A5" s="14" t="s">
        <v>139</v>
      </c>
      <c r="B5" s="15">
        <v>40000</v>
      </c>
      <c r="C5" s="2" t="s">
        <v>140</v>
      </c>
      <c r="E5" s="2" t="s">
        <v>154</v>
      </c>
      <c r="F5" s="2">
        <v>0</v>
      </c>
    </row>
    <row r="6" spans="1:9" x14ac:dyDescent="0.25">
      <c r="A6" s="14" t="s">
        <v>141</v>
      </c>
      <c r="B6" s="15">
        <v>70000</v>
      </c>
      <c r="C6" s="2" t="s">
        <v>142</v>
      </c>
      <c r="E6" s="2" t="s">
        <v>148</v>
      </c>
      <c r="F6" s="11">
        <f>B17</f>
        <v>52800</v>
      </c>
    </row>
    <row r="7" spans="1:9" x14ac:dyDescent="0.25">
      <c r="A7" s="14" t="s">
        <v>35</v>
      </c>
      <c r="B7" s="15">
        <v>39000</v>
      </c>
      <c r="C7" s="2" t="s">
        <v>145</v>
      </c>
      <c r="E7" s="2" t="s">
        <v>145</v>
      </c>
      <c r="F7" s="11">
        <f>SUM(B7:B11)+B13</f>
        <v>111010</v>
      </c>
    </row>
    <row r="8" spans="1:9" x14ac:dyDescent="0.25">
      <c r="A8" s="14" t="s">
        <v>40</v>
      </c>
      <c r="B8" s="15">
        <v>6000</v>
      </c>
      <c r="C8" s="2" t="s">
        <v>145</v>
      </c>
      <c r="E8" s="2" t="s">
        <v>155</v>
      </c>
      <c r="F8" s="11">
        <f>SUM(F4:F7)</f>
        <v>291810</v>
      </c>
    </row>
    <row r="9" spans="1:9" x14ac:dyDescent="0.25">
      <c r="A9" s="14" t="s">
        <v>41</v>
      </c>
      <c r="B9" s="15">
        <v>9000</v>
      </c>
      <c r="C9" s="2" t="s">
        <v>145</v>
      </c>
    </row>
    <row r="10" spans="1:9" x14ac:dyDescent="0.25">
      <c r="A10" s="14" t="s">
        <v>42</v>
      </c>
      <c r="B10" s="15">
        <v>8450</v>
      </c>
      <c r="C10" s="2" t="s">
        <v>145</v>
      </c>
      <c r="E10" s="2" t="s">
        <v>156</v>
      </c>
      <c r="F10" s="11">
        <f>B18+F8-B19</f>
        <v>256810</v>
      </c>
    </row>
    <row r="11" spans="1:9" x14ac:dyDescent="0.25">
      <c r="A11" s="14" t="s">
        <v>43</v>
      </c>
      <c r="B11" s="15">
        <v>3560</v>
      </c>
      <c r="C11" s="2" t="s">
        <v>145</v>
      </c>
      <c r="E11" s="2" t="s">
        <v>157</v>
      </c>
      <c r="F11" s="11">
        <f>B20+F10-B21</f>
        <v>276810</v>
      </c>
    </row>
    <row r="12" spans="1:9" x14ac:dyDescent="0.25">
      <c r="A12" s="14" t="s">
        <v>44</v>
      </c>
      <c r="B12" s="15">
        <v>2890</v>
      </c>
      <c r="C12" s="2" t="s">
        <v>146</v>
      </c>
    </row>
    <row r="13" spans="1:9" x14ac:dyDescent="0.25">
      <c r="A13" s="14" t="s">
        <v>45</v>
      </c>
      <c r="B13" s="15">
        <v>45000</v>
      </c>
      <c r="C13" s="2" t="s">
        <v>145</v>
      </c>
      <c r="E13" s="2" t="s">
        <v>146</v>
      </c>
      <c r="F13" s="11">
        <f>B12+B14</f>
        <v>44890</v>
      </c>
    </row>
    <row r="14" spans="1:9" x14ac:dyDescent="0.25">
      <c r="A14" s="14" t="s">
        <v>46</v>
      </c>
      <c r="B14" s="15">
        <v>42000</v>
      </c>
      <c r="C14" s="2" t="s">
        <v>146</v>
      </c>
      <c r="E14" s="2" t="s">
        <v>147</v>
      </c>
      <c r="F14" s="11">
        <f>B15+B16</f>
        <v>38516</v>
      </c>
    </row>
    <row r="15" spans="1:9" x14ac:dyDescent="0.25">
      <c r="A15" s="14" t="s">
        <v>47</v>
      </c>
      <c r="B15" s="15">
        <v>10260</v>
      </c>
      <c r="C15" s="2" t="s">
        <v>147</v>
      </c>
    </row>
    <row r="16" spans="1:9" x14ac:dyDescent="0.25">
      <c r="A16" s="14" t="s">
        <v>48</v>
      </c>
      <c r="B16" s="15">
        <v>28256</v>
      </c>
      <c r="C16" s="2" t="s">
        <v>147</v>
      </c>
      <c r="E16" s="2" t="s">
        <v>158</v>
      </c>
      <c r="I16" s="2" t="s">
        <v>169</v>
      </c>
    </row>
    <row r="17" spans="1:11" x14ac:dyDescent="0.25">
      <c r="A17" s="14" t="s">
        <v>49</v>
      </c>
      <c r="B17" s="15">
        <v>52800</v>
      </c>
      <c r="C17" s="2" t="s">
        <v>148</v>
      </c>
      <c r="E17" s="2" t="s">
        <v>37</v>
      </c>
      <c r="F17" s="10" t="s">
        <v>38</v>
      </c>
      <c r="G17" s="9" t="s">
        <v>166</v>
      </c>
      <c r="I17" s="2" t="s">
        <v>37</v>
      </c>
      <c r="J17" s="10" t="s">
        <v>38</v>
      </c>
      <c r="K17" s="9" t="s">
        <v>166</v>
      </c>
    </row>
    <row r="18" spans="1:11" x14ac:dyDescent="0.25">
      <c r="A18" s="14" t="s">
        <v>50</v>
      </c>
      <c r="B18" s="15">
        <v>25000</v>
      </c>
      <c r="C18" s="2" t="s">
        <v>149</v>
      </c>
      <c r="E18" s="2" t="s">
        <v>159</v>
      </c>
      <c r="F18" s="10">
        <f>B22</f>
        <v>1050295</v>
      </c>
      <c r="G18" s="20">
        <f>F18/F18</f>
        <v>1</v>
      </c>
      <c r="I18" s="2" t="s">
        <v>157</v>
      </c>
      <c r="J18" s="10">
        <f>F19</f>
        <v>276810</v>
      </c>
      <c r="K18" s="23">
        <f>J18/$J$22</f>
        <v>0.76845559331068025</v>
      </c>
    </row>
    <row r="19" spans="1:11" x14ac:dyDescent="0.25">
      <c r="A19" s="14" t="s">
        <v>51</v>
      </c>
      <c r="B19" s="15">
        <v>60000</v>
      </c>
      <c r="C19" s="2" t="s">
        <v>150</v>
      </c>
      <c r="E19" s="2" t="s">
        <v>157</v>
      </c>
      <c r="F19" s="10">
        <f>F11</f>
        <v>276810</v>
      </c>
      <c r="G19" s="21">
        <f>F19/F18</f>
        <v>0.26355452515721772</v>
      </c>
      <c r="I19" s="2" t="s">
        <v>146</v>
      </c>
      <c r="J19" s="10">
        <f>F21</f>
        <v>44890</v>
      </c>
      <c r="K19" s="22">
        <f>J19/$J$22</f>
        <v>0.12461967264085994</v>
      </c>
    </row>
    <row r="20" spans="1:11" x14ac:dyDescent="0.25">
      <c r="A20" s="14" t="s">
        <v>52</v>
      </c>
      <c r="B20" s="15">
        <v>110000</v>
      </c>
      <c r="C20" s="2" t="s">
        <v>151</v>
      </c>
      <c r="E20" s="2" t="s">
        <v>160</v>
      </c>
      <c r="F20" s="10">
        <f>F18-F19</f>
        <v>773485</v>
      </c>
      <c r="G20" s="20">
        <f>F20/$F$18</f>
        <v>0.73644547484278222</v>
      </c>
      <c r="I20" s="2" t="s">
        <v>147</v>
      </c>
      <c r="J20" s="10">
        <f>F22</f>
        <v>38516</v>
      </c>
      <c r="K20" s="22">
        <f t="shared" ref="K20:K22" si="0">J20/$J$22</f>
        <v>0.10692473404845981</v>
      </c>
    </row>
    <row r="21" spans="1:11" x14ac:dyDescent="0.25">
      <c r="A21" s="14" t="s">
        <v>53</v>
      </c>
      <c r="B21" s="15">
        <v>90000</v>
      </c>
      <c r="C21" s="2" t="s">
        <v>152</v>
      </c>
      <c r="E21" s="2" t="s">
        <v>146</v>
      </c>
      <c r="F21" s="10">
        <f>F13</f>
        <v>44890</v>
      </c>
      <c r="G21" s="20">
        <f t="shared" ref="G21:G27" si="1">F21/$F$18</f>
        <v>4.2740372942839867E-2</v>
      </c>
      <c r="I21" s="2" t="s">
        <v>162</v>
      </c>
      <c r="J21" s="10">
        <f>F24</f>
        <v>0</v>
      </c>
      <c r="K21" s="22">
        <f t="shared" si="0"/>
        <v>0</v>
      </c>
    </row>
    <row r="22" spans="1:11" x14ac:dyDescent="0.25">
      <c r="A22" s="14" t="s">
        <v>54</v>
      </c>
      <c r="B22" s="15">
        <v>1050295</v>
      </c>
      <c r="C22" s="2" t="s">
        <v>153</v>
      </c>
      <c r="E22" s="2" t="s">
        <v>147</v>
      </c>
      <c r="F22" s="10">
        <f>F14</f>
        <v>38516</v>
      </c>
      <c r="G22" s="20">
        <f t="shared" si="1"/>
        <v>3.6671601788069066E-2</v>
      </c>
      <c r="I22" s="2" t="s">
        <v>170</v>
      </c>
      <c r="J22" s="10">
        <f>SUM(J18:J21)</f>
        <v>360216</v>
      </c>
      <c r="K22" s="22">
        <f t="shared" si="0"/>
        <v>1</v>
      </c>
    </row>
    <row r="23" spans="1:11" x14ac:dyDescent="0.25">
      <c r="B23" s="16"/>
      <c r="E23" s="2" t="s">
        <v>161</v>
      </c>
      <c r="F23" s="10">
        <f>F20-F21-F22</f>
        <v>690079</v>
      </c>
      <c r="G23" s="20">
        <f t="shared" si="1"/>
        <v>0.65703350011187334</v>
      </c>
    </row>
    <row r="24" spans="1:11" x14ac:dyDescent="0.25">
      <c r="A24" s="2" t="s">
        <v>55</v>
      </c>
      <c r="B24" s="11"/>
      <c r="E24" s="2" t="s">
        <v>162</v>
      </c>
      <c r="F24" s="10">
        <v>0</v>
      </c>
      <c r="G24" s="20">
        <f t="shared" si="1"/>
        <v>0</v>
      </c>
    </row>
    <row r="25" spans="1:11" x14ac:dyDescent="0.25">
      <c r="E25" s="2" t="s">
        <v>163</v>
      </c>
      <c r="F25" s="10">
        <f>F23-F24</f>
        <v>690079</v>
      </c>
      <c r="G25" s="20">
        <f t="shared" si="1"/>
        <v>0.65703350011187334</v>
      </c>
    </row>
    <row r="26" spans="1:11" x14ac:dyDescent="0.25">
      <c r="A26" s="2" t="s">
        <v>143</v>
      </c>
      <c r="E26" s="2" t="s">
        <v>164</v>
      </c>
      <c r="F26" s="10">
        <f>F25*29.5%</f>
        <v>203573.30499999999</v>
      </c>
      <c r="G26" s="20">
        <f t="shared" si="1"/>
        <v>0.19382488253300262</v>
      </c>
    </row>
    <row r="27" spans="1:11" x14ac:dyDescent="0.25">
      <c r="E27" s="2" t="s">
        <v>165</v>
      </c>
      <c r="F27" s="10">
        <f>F25-F26</f>
        <v>486505.69500000001</v>
      </c>
      <c r="G27" s="20">
        <f t="shared" si="1"/>
        <v>0.46320861757887072</v>
      </c>
    </row>
    <row r="28" spans="1:11" x14ac:dyDescent="0.25">
      <c r="F28" s="10"/>
    </row>
    <row r="29" spans="1:11" x14ac:dyDescent="0.25">
      <c r="F29" s="9"/>
    </row>
    <row r="31" spans="1:11" x14ac:dyDescent="0.25">
      <c r="E31" s="2" t="s">
        <v>167</v>
      </c>
    </row>
    <row r="32" spans="1:11" x14ac:dyDescent="0.25">
      <c r="E32" s="2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67057-B77A-40F9-90CE-6D75E9753DAE}">
  <dimension ref="A1:B20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51.28515625" style="2" customWidth="1"/>
    <col min="2" max="16384" width="11.42578125" style="2"/>
  </cols>
  <sheetData>
    <row r="1" spans="1:2" x14ac:dyDescent="0.25">
      <c r="A1" s="1" t="s">
        <v>1</v>
      </c>
    </row>
    <row r="2" spans="1:2" x14ac:dyDescent="0.25">
      <c r="A2" s="2" t="s">
        <v>56</v>
      </c>
    </row>
    <row r="3" spans="1:2" x14ac:dyDescent="0.25">
      <c r="A3" s="12" t="s">
        <v>37</v>
      </c>
      <c r="B3" s="13" t="s">
        <v>38</v>
      </c>
    </row>
    <row r="4" spans="1:2" x14ac:dyDescent="0.25">
      <c r="A4" s="14" t="s">
        <v>57</v>
      </c>
      <c r="B4" s="15">
        <v>134500</v>
      </c>
    </row>
    <row r="5" spans="1:2" x14ac:dyDescent="0.25">
      <c r="A5" s="14" t="s">
        <v>58</v>
      </c>
      <c r="B5" s="15">
        <v>185400</v>
      </c>
    </row>
    <row r="6" spans="1:2" x14ac:dyDescent="0.25">
      <c r="A6" s="14" t="s">
        <v>59</v>
      </c>
      <c r="B6" s="15">
        <v>245020</v>
      </c>
    </row>
    <row r="7" spans="1:2" x14ac:dyDescent="0.25">
      <c r="A7" s="14" t="s">
        <v>60</v>
      </c>
      <c r="B7" s="15">
        <v>520126</v>
      </c>
    </row>
    <row r="8" spans="1:2" x14ac:dyDescent="0.25">
      <c r="A8" s="14" t="s">
        <v>61</v>
      </c>
      <c r="B8" s="15">
        <v>160520</v>
      </c>
    </row>
    <row r="9" spans="1:2" x14ac:dyDescent="0.25">
      <c r="A9" s="14" t="s">
        <v>62</v>
      </c>
      <c r="B9" s="15">
        <v>10256</v>
      </c>
    </row>
    <row r="10" spans="1:2" x14ac:dyDescent="0.25">
      <c r="A10" s="14" t="s">
        <v>63</v>
      </c>
      <c r="B10" s="15">
        <v>8450</v>
      </c>
    </row>
    <row r="11" spans="1:2" x14ac:dyDescent="0.25">
      <c r="A11" s="14" t="s">
        <v>35</v>
      </c>
      <c r="B11" s="15">
        <v>52163</v>
      </c>
    </row>
    <row r="12" spans="1:2" x14ac:dyDescent="0.25">
      <c r="A12" s="14" t="s">
        <v>64</v>
      </c>
      <c r="B12" s="15">
        <v>25450</v>
      </c>
    </row>
    <row r="13" spans="1:2" x14ac:dyDescent="0.25">
      <c r="A13" s="14" t="s">
        <v>65</v>
      </c>
      <c r="B13" s="15">
        <v>8256</v>
      </c>
    </row>
    <row r="14" spans="1:2" x14ac:dyDescent="0.25">
      <c r="A14" s="14" t="s">
        <v>66</v>
      </c>
      <c r="B14" s="15">
        <v>4260</v>
      </c>
    </row>
    <row r="15" spans="1:2" x14ac:dyDescent="0.25">
      <c r="A15" s="14" t="s">
        <v>67</v>
      </c>
      <c r="B15" s="15">
        <v>20156</v>
      </c>
    </row>
    <row r="16" spans="1:2" x14ac:dyDescent="0.25">
      <c r="A16" s="14" t="s">
        <v>68</v>
      </c>
      <c r="B16" s="15">
        <v>85460</v>
      </c>
    </row>
    <row r="17" spans="1:2" x14ac:dyDescent="0.25">
      <c r="A17" s="14" t="s">
        <v>69</v>
      </c>
      <c r="B17" s="15">
        <v>320156</v>
      </c>
    </row>
    <row r="18" spans="1:2" x14ac:dyDescent="0.25">
      <c r="A18" s="14" t="s">
        <v>68</v>
      </c>
      <c r="B18" s="15">
        <v>85410</v>
      </c>
    </row>
    <row r="20" spans="1:2" x14ac:dyDescent="0.25">
      <c r="A20" s="2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C306-0BBF-4C1B-94D7-F66A2ED7BC46}">
  <dimension ref="A1:G19"/>
  <sheetViews>
    <sheetView zoomScale="90" zoomScaleNormal="90" workbookViewId="0">
      <selection activeCell="A2" sqref="A2"/>
    </sheetView>
  </sheetViews>
  <sheetFormatPr baseColWidth="10" defaultColWidth="11.42578125" defaultRowHeight="15" x14ac:dyDescent="0.25"/>
  <cols>
    <col min="1" max="1" width="52.7109375" style="2" customWidth="1"/>
    <col min="2" max="4" width="11.42578125" style="2"/>
    <col min="5" max="5" width="39.140625" style="2" bestFit="1" customWidth="1"/>
    <col min="6" max="16384" width="11.42578125" style="2"/>
  </cols>
  <sheetData>
    <row r="1" spans="1:7" x14ac:dyDescent="0.25">
      <c r="A1" s="1" t="s">
        <v>2</v>
      </c>
    </row>
    <row r="2" spans="1:7" x14ac:dyDescent="0.25">
      <c r="A2" s="2" t="s">
        <v>71</v>
      </c>
    </row>
    <row r="3" spans="1:7" x14ac:dyDescent="0.25">
      <c r="A3" s="12" t="s">
        <v>37</v>
      </c>
      <c r="B3" s="13" t="s">
        <v>38</v>
      </c>
      <c r="E3" s="12" t="s">
        <v>72</v>
      </c>
      <c r="F3" s="13" t="s">
        <v>73</v>
      </c>
      <c r="G3" s="13" t="s">
        <v>74</v>
      </c>
    </row>
    <row r="4" spans="1:7" x14ac:dyDescent="0.25">
      <c r="A4" s="14" t="s">
        <v>75</v>
      </c>
      <c r="B4" s="15">
        <v>254800</v>
      </c>
      <c r="E4" s="14" t="s">
        <v>76</v>
      </c>
      <c r="F4" s="15">
        <v>110450</v>
      </c>
      <c r="G4" s="15">
        <v>34500</v>
      </c>
    </row>
    <row r="5" spans="1:7" x14ac:dyDescent="0.25">
      <c r="A5" s="14" t="s">
        <v>77</v>
      </c>
      <c r="B5" s="15">
        <v>4865</v>
      </c>
      <c r="E5" s="14" t="s">
        <v>78</v>
      </c>
      <c r="F5" s="15">
        <v>65250</v>
      </c>
      <c r="G5" s="15">
        <v>24360</v>
      </c>
    </row>
    <row r="6" spans="1:7" x14ac:dyDescent="0.25">
      <c r="A6" s="14" t="s">
        <v>61</v>
      </c>
      <c r="B6" s="15">
        <v>105200</v>
      </c>
      <c r="E6" s="14" t="s">
        <v>79</v>
      </c>
      <c r="F6" s="15">
        <v>210054</v>
      </c>
      <c r="G6" s="15">
        <v>68975</v>
      </c>
    </row>
    <row r="7" spans="1:7" x14ac:dyDescent="0.25">
      <c r="A7" s="14" t="s">
        <v>80</v>
      </c>
      <c r="B7" s="15">
        <v>12456</v>
      </c>
      <c r="E7" s="14" t="s">
        <v>81</v>
      </c>
      <c r="F7" s="15">
        <v>2546</v>
      </c>
      <c r="G7" s="15">
        <v>1240</v>
      </c>
    </row>
    <row r="8" spans="1:7" x14ac:dyDescent="0.25">
      <c r="A8" s="14" t="s">
        <v>82</v>
      </c>
      <c r="B8" s="15">
        <v>8452</v>
      </c>
    </row>
    <row r="9" spans="1:7" x14ac:dyDescent="0.25">
      <c r="A9" s="14" t="s">
        <v>83</v>
      </c>
      <c r="B9" s="15">
        <v>4580</v>
      </c>
    </row>
    <row r="10" spans="1:7" x14ac:dyDescent="0.25">
      <c r="A10" s="14" t="s">
        <v>84</v>
      </c>
      <c r="B10" s="15">
        <v>4260</v>
      </c>
    </row>
    <row r="11" spans="1:7" x14ac:dyDescent="0.25">
      <c r="A11" s="14" t="s">
        <v>85</v>
      </c>
      <c r="B11" s="15">
        <v>3500</v>
      </c>
    </row>
    <row r="12" spans="1:7" x14ac:dyDescent="0.25">
      <c r="A12" s="14" t="s">
        <v>86</v>
      </c>
      <c r="B12" s="15">
        <v>8256</v>
      </c>
    </row>
    <row r="13" spans="1:7" x14ac:dyDescent="0.25">
      <c r="A13" s="14" t="s">
        <v>87</v>
      </c>
      <c r="B13" s="15">
        <v>3853</v>
      </c>
    </row>
    <row r="14" spans="1:7" x14ac:dyDescent="0.25">
      <c r="A14" s="14" t="s">
        <v>88</v>
      </c>
      <c r="B14" s="15">
        <v>12450</v>
      </c>
    </row>
    <row r="15" spans="1:7" x14ac:dyDescent="0.25">
      <c r="A15" s="14" t="s">
        <v>89</v>
      </c>
      <c r="B15" s="15">
        <v>2560</v>
      </c>
    </row>
    <row r="17" spans="1:1" x14ac:dyDescent="0.25">
      <c r="A17" s="2" t="s">
        <v>90</v>
      </c>
    </row>
    <row r="19" spans="1:1" x14ac:dyDescent="0.25">
      <c r="A19" s="2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zoomScaleNormal="100" workbookViewId="0">
      <selection activeCell="F16" sqref="F16"/>
    </sheetView>
  </sheetViews>
  <sheetFormatPr baseColWidth="10" defaultColWidth="11.42578125" defaultRowHeight="15" x14ac:dyDescent="0.25"/>
  <cols>
    <col min="1" max="1" width="29.85546875" style="2" customWidth="1"/>
    <col min="2" max="16384" width="11.42578125" style="2"/>
  </cols>
  <sheetData>
    <row r="1" spans="1:1" x14ac:dyDescent="0.25">
      <c r="A1" s="1" t="s">
        <v>3</v>
      </c>
    </row>
    <row r="2" spans="1:1" x14ac:dyDescent="0.25">
      <c r="A2" s="2" t="s">
        <v>92</v>
      </c>
    </row>
    <row r="3" spans="1:1" x14ac:dyDescent="0.25">
      <c r="A3" s="2" t="s">
        <v>96</v>
      </c>
    </row>
    <row r="4" spans="1:1" x14ac:dyDescent="0.25">
      <c r="A4" s="2" t="s">
        <v>97</v>
      </c>
    </row>
    <row r="5" spans="1:1" x14ac:dyDescent="0.25">
      <c r="A5" s="2" t="s">
        <v>98</v>
      </c>
    </row>
    <row r="6" spans="1:1" x14ac:dyDescent="0.25">
      <c r="A6" s="2" t="s">
        <v>99</v>
      </c>
    </row>
    <row r="7" spans="1:1" x14ac:dyDescent="0.25">
      <c r="A7" s="2" t="s">
        <v>100</v>
      </c>
    </row>
    <row r="8" spans="1:1" x14ac:dyDescent="0.25">
      <c r="A8" s="2" t="s">
        <v>101</v>
      </c>
    </row>
    <row r="9" spans="1:1" x14ac:dyDescent="0.25">
      <c r="A9" s="2" t="s">
        <v>102</v>
      </c>
    </row>
    <row r="10" spans="1:1" x14ac:dyDescent="0.25">
      <c r="A10" s="2" t="s">
        <v>93</v>
      </c>
    </row>
    <row r="11" spans="1:1" x14ac:dyDescent="0.25">
      <c r="A11" s="2" t="s">
        <v>94</v>
      </c>
    </row>
    <row r="12" spans="1:1" x14ac:dyDescent="0.25">
      <c r="A12" s="2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zoomScale="120" zoomScaleNormal="120" workbookViewId="0">
      <selection activeCell="A23" sqref="A23"/>
    </sheetView>
  </sheetViews>
  <sheetFormatPr baseColWidth="10" defaultColWidth="11.42578125" defaultRowHeight="15" x14ac:dyDescent="0.25"/>
  <cols>
    <col min="1" max="1" width="46" style="2" bestFit="1" customWidth="1"/>
    <col min="2" max="16384" width="11.42578125" style="2"/>
  </cols>
  <sheetData>
    <row r="1" spans="1:8" x14ac:dyDescent="0.25">
      <c r="A1" s="1" t="s">
        <v>4</v>
      </c>
    </row>
    <row r="2" spans="1:8" x14ac:dyDescent="0.25">
      <c r="A2" s="2" t="s">
        <v>103</v>
      </c>
      <c r="H2" s="11"/>
    </row>
    <row r="3" spans="1:8" x14ac:dyDescent="0.25">
      <c r="A3" s="2" t="s">
        <v>104</v>
      </c>
      <c r="H3" s="11"/>
    </row>
    <row r="4" spans="1:8" x14ac:dyDescent="0.25">
      <c r="B4" s="9" t="s">
        <v>38</v>
      </c>
      <c r="H4" s="11"/>
    </row>
    <row r="5" spans="1:8" x14ac:dyDescent="0.25">
      <c r="A5" s="2" t="s">
        <v>105</v>
      </c>
      <c r="B5" s="10">
        <v>120400</v>
      </c>
      <c r="H5" s="11"/>
    </row>
    <row r="6" spans="1:8" x14ac:dyDescent="0.25">
      <c r="A6" s="2" t="s">
        <v>106</v>
      </c>
      <c r="B6" s="10">
        <v>174210</v>
      </c>
      <c r="H6" s="11"/>
    </row>
    <row r="7" spans="1:8" x14ac:dyDescent="0.25">
      <c r="A7" s="2" t="s">
        <v>107</v>
      </c>
      <c r="B7" s="10">
        <v>235650</v>
      </c>
      <c r="H7" s="11"/>
    </row>
    <row r="8" spans="1:8" x14ac:dyDescent="0.25">
      <c r="A8" s="2" t="s">
        <v>108</v>
      </c>
      <c r="B8" s="10">
        <v>345680</v>
      </c>
      <c r="H8" s="11"/>
    </row>
    <row r="9" spans="1:8" x14ac:dyDescent="0.25">
      <c r="A9" s="2" t="s">
        <v>61</v>
      </c>
      <c r="B9" s="10">
        <v>140280</v>
      </c>
      <c r="H9" s="11"/>
    </row>
    <row r="10" spans="1:8" x14ac:dyDescent="0.25">
      <c r="A10" s="2" t="s">
        <v>62</v>
      </c>
      <c r="B10" s="10">
        <v>8678</v>
      </c>
      <c r="H10" s="11"/>
    </row>
    <row r="11" spans="1:8" x14ac:dyDescent="0.25">
      <c r="A11" s="2" t="s">
        <v>109</v>
      </c>
      <c r="B11" s="10">
        <v>6876</v>
      </c>
      <c r="H11" s="11"/>
    </row>
    <row r="12" spans="1:8" x14ac:dyDescent="0.25">
      <c r="A12" s="2" t="s">
        <v>110</v>
      </c>
      <c r="B12" s="10">
        <v>16876</v>
      </c>
      <c r="H12" s="11"/>
    </row>
    <row r="13" spans="1:8" x14ac:dyDescent="0.25">
      <c r="A13" s="2" t="s">
        <v>35</v>
      </c>
      <c r="B13" s="10">
        <v>43870</v>
      </c>
      <c r="H13" s="11"/>
    </row>
    <row r="14" spans="1:8" x14ac:dyDescent="0.25">
      <c r="A14" s="2" t="s">
        <v>111</v>
      </c>
      <c r="B14" s="10">
        <v>25460</v>
      </c>
      <c r="H14" s="11"/>
    </row>
    <row r="15" spans="1:8" x14ac:dyDescent="0.25">
      <c r="A15" s="2" t="s">
        <v>112</v>
      </c>
      <c r="B15" s="10">
        <v>84280</v>
      </c>
      <c r="H15" s="11"/>
    </row>
    <row r="16" spans="1:8" x14ac:dyDescent="0.25">
      <c r="A16" s="2" t="s">
        <v>113</v>
      </c>
      <c r="B16" s="10">
        <v>126380</v>
      </c>
    </row>
    <row r="17" spans="1:2" x14ac:dyDescent="0.25">
      <c r="A17" s="2" t="s">
        <v>114</v>
      </c>
      <c r="B17" s="10">
        <v>310490</v>
      </c>
    </row>
    <row r="18" spans="1:2" x14ac:dyDescent="0.25">
      <c r="B18" s="10"/>
    </row>
    <row r="19" spans="1:2" x14ac:dyDescent="0.25">
      <c r="A19" s="2" t="s">
        <v>115</v>
      </c>
      <c r="B19" s="10"/>
    </row>
    <row r="20" spans="1:2" x14ac:dyDescent="0.25">
      <c r="A20" s="2" t="s">
        <v>116</v>
      </c>
      <c r="B20" s="10"/>
    </row>
    <row r="21" spans="1:2" x14ac:dyDescent="0.25">
      <c r="A21" s="2" t="s">
        <v>117</v>
      </c>
      <c r="B21" s="10"/>
    </row>
    <row r="22" spans="1:2" x14ac:dyDescent="0.25">
      <c r="A22" s="2" t="s">
        <v>118</v>
      </c>
      <c r="B22" s="10"/>
    </row>
    <row r="23" spans="1:2" x14ac:dyDescent="0.25">
      <c r="B23" s="10"/>
    </row>
    <row r="24" spans="1:2" x14ac:dyDescent="0.25">
      <c r="B24" s="10"/>
    </row>
    <row r="25" spans="1:2" x14ac:dyDescent="0.25">
      <c r="B25" s="10"/>
    </row>
    <row r="26" spans="1:2" x14ac:dyDescent="0.25">
      <c r="B26" s="10"/>
    </row>
    <row r="27" spans="1:2" x14ac:dyDescent="0.25">
      <c r="B27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zoomScale="110" zoomScaleNormal="110" workbookViewId="0">
      <selection activeCell="A28" sqref="A28"/>
    </sheetView>
  </sheetViews>
  <sheetFormatPr baseColWidth="10" defaultColWidth="11.42578125" defaultRowHeight="15" x14ac:dyDescent="0.25"/>
  <cols>
    <col min="1" max="1" width="49" style="2" bestFit="1" customWidth="1"/>
    <col min="2" max="5" width="11.42578125" style="2"/>
    <col min="6" max="6" width="2.28515625" style="2" customWidth="1"/>
    <col min="7" max="7" width="18.5703125" style="2" customWidth="1"/>
    <col min="8" max="16384" width="11.42578125" style="2"/>
  </cols>
  <sheetData>
    <row r="1" spans="1:8" x14ac:dyDescent="0.25">
      <c r="A1" s="1" t="s">
        <v>5</v>
      </c>
    </row>
    <row r="2" spans="1:8" x14ac:dyDescent="0.25">
      <c r="A2" s="2" t="s">
        <v>119</v>
      </c>
      <c r="H2" s="8"/>
    </row>
    <row r="3" spans="1:8" x14ac:dyDescent="0.25">
      <c r="B3" s="10" t="s">
        <v>38</v>
      </c>
      <c r="H3" s="8"/>
    </row>
    <row r="4" spans="1:8" x14ac:dyDescent="0.25">
      <c r="A4" s="2" t="s">
        <v>120</v>
      </c>
      <c r="B4" s="10">
        <v>202000</v>
      </c>
      <c r="H4" s="8"/>
    </row>
    <row r="5" spans="1:8" x14ac:dyDescent="0.25">
      <c r="A5" s="2" t="s">
        <v>121</v>
      </c>
      <c r="B5" s="10">
        <v>12800</v>
      </c>
      <c r="H5" s="8"/>
    </row>
    <row r="6" spans="1:8" x14ac:dyDescent="0.25">
      <c r="A6" s="2" t="s">
        <v>61</v>
      </c>
      <c r="B6" s="10">
        <v>98000</v>
      </c>
      <c r="H6" s="8"/>
    </row>
    <row r="7" spans="1:8" x14ac:dyDescent="0.25">
      <c r="A7" s="2" t="s">
        <v>122</v>
      </c>
      <c r="B7" s="10">
        <v>4000</v>
      </c>
      <c r="H7" s="8"/>
    </row>
    <row r="8" spans="1:8" x14ac:dyDescent="0.25">
      <c r="A8" s="2" t="s">
        <v>35</v>
      </c>
      <c r="B8" s="10">
        <v>12000</v>
      </c>
      <c r="H8" s="8"/>
    </row>
    <row r="9" spans="1:8" x14ac:dyDescent="0.25">
      <c r="A9" s="2" t="s">
        <v>123</v>
      </c>
      <c r="B9" s="10">
        <v>8000</v>
      </c>
      <c r="H9" s="8"/>
    </row>
    <row r="10" spans="1:8" x14ac:dyDescent="0.25">
      <c r="A10" s="2" t="s">
        <v>124</v>
      </c>
      <c r="B10" s="10">
        <v>3000</v>
      </c>
      <c r="H10" s="8"/>
    </row>
    <row r="11" spans="1:8" x14ac:dyDescent="0.25">
      <c r="A11" s="2" t="s">
        <v>125</v>
      </c>
      <c r="B11" s="10">
        <v>8000</v>
      </c>
      <c r="H11" s="8"/>
    </row>
    <row r="12" spans="1:8" x14ac:dyDescent="0.25">
      <c r="A12" s="2" t="s">
        <v>126</v>
      </c>
      <c r="B12" s="10">
        <v>2500</v>
      </c>
      <c r="H12" s="8"/>
    </row>
    <row r="13" spans="1:8" x14ac:dyDescent="0.25">
      <c r="A13" s="2" t="s">
        <v>127</v>
      </c>
      <c r="B13" s="10">
        <v>10000</v>
      </c>
      <c r="H13" s="8"/>
    </row>
    <row r="14" spans="1:8" x14ac:dyDescent="0.25">
      <c r="B14" s="10"/>
      <c r="H14" s="8"/>
    </row>
    <row r="15" spans="1:8" x14ac:dyDescent="0.25">
      <c r="A15" s="12" t="s">
        <v>72</v>
      </c>
      <c r="B15" s="19" t="s">
        <v>128</v>
      </c>
      <c r="C15" s="19" t="s">
        <v>129</v>
      </c>
    </row>
    <row r="16" spans="1:8" x14ac:dyDescent="0.25">
      <c r="A16" s="14" t="s">
        <v>76</v>
      </c>
      <c r="B16" s="17">
        <v>100000</v>
      </c>
      <c r="C16" s="18">
        <v>25000</v>
      </c>
      <c r="H16" s="8"/>
    </row>
    <row r="17" spans="1:8" x14ac:dyDescent="0.25">
      <c r="A17" s="14" t="s">
        <v>78</v>
      </c>
      <c r="B17" s="17">
        <v>40000</v>
      </c>
      <c r="C17" s="18">
        <v>10000</v>
      </c>
      <c r="H17" s="8"/>
    </row>
    <row r="18" spans="1:8" x14ac:dyDescent="0.25">
      <c r="A18" s="14" t="s">
        <v>79</v>
      </c>
      <c r="B18" s="17">
        <v>120000</v>
      </c>
      <c r="C18" s="18">
        <v>44500</v>
      </c>
      <c r="H18" s="8"/>
    </row>
    <row r="19" spans="1:8" x14ac:dyDescent="0.25">
      <c r="A19" s="14" t="s">
        <v>130</v>
      </c>
      <c r="B19" s="17">
        <v>1000</v>
      </c>
      <c r="C19" s="18">
        <v>1890</v>
      </c>
      <c r="H19" s="8"/>
    </row>
    <row r="20" spans="1:8" x14ac:dyDescent="0.25">
      <c r="B20" s="10"/>
      <c r="H20" s="8"/>
    </row>
    <row r="21" spans="1:8" x14ac:dyDescent="0.25">
      <c r="A21" s="2" t="s">
        <v>131</v>
      </c>
      <c r="B21" s="10"/>
      <c r="H21" s="8"/>
    </row>
    <row r="22" spans="1:8" x14ac:dyDescent="0.25">
      <c r="A22" s="2" t="s">
        <v>132</v>
      </c>
      <c r="B22" s="10"/>
    </row>
    <row r="23" spans="1:8" x14ac:dyDescent="0.25">
      <c r="A23" s="2" t="s">
        <v>133</v>
      </c>
      <c r="B23" s="10"/>
    </row>
    <row r="24" spans="1:8" x14ac:dyDescent="0.25">
      <c r="B24" s="10"/>
    </row>
    <row r="25" spans="1:8" x14ac:dyDescent="0.25">
      <c r="A25" s="2" t="s">
        <v>134</v>
      </c>
      <c r="H25" s="8"/>
    </row>
    <row r="26" spans="1:8" x14ac:dyDescent="0.25">
      <c r="A26" s="2" t="s">
        <v>135</v>
      </c>
    </row>
    <row r="27" spans="1:8" x14ac:dyDescent="0.25">
      <c r="A27" s="2" t="s">
        <v>136</v>
      </c>
      <c r="H27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32.28515625" style="2" customWidth="1"/>
    <col min="2" max="16384" width="11.42578125" style="2"/>
  </cols>
  <sheetData>
    <row r="1" spans="1:1" x14ac:dyDescent="0.25">
      <c r="A1" s="1" t="s">
        <v>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4.5703125" style="2" customWidth="1"/>
    <col min="2" max="2" width="24.85546875" style="2" bestFit="1" customWidth="1"/>
    <col min="3" max="16384" width="11.42578125" style="2"/>
  </cols>
  <sheetData>
    <row r="1" spans="1:1" x14ac:dyDescent="0.25">
      <c r="A1" s="1" t="s">
        <v>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39.28515625" style="2" bestFit="1" customWidth="1"/>
    <col min="2" max="16384" width="11.42578125" style="2"/>
  </cols>
  <sheetData>
    <row r="1" spans="1:1" x14ac:dyDescent="0.25">
      <c r="A1" s="1" t="s">
        <v>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42.42578125" style="2" bestFit="1" customWidth="1"/>
    <col min="2" max="16384" width="11.42578125" style="2"/>
  </cols>
  <sheetData>
    <row r="1" spans="1:1" x14ac:dyDescent="0.25">
      <c r="A1" s="1" t="s">
        <v>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27.7109375" style="2" customWidth="1"/>
    <col min="2" max="5" width="5.7109375" style="2" customWidth="1"/>
    <col min="6" max="16384" width="11.42578125" style="2"/>
  </cols>
  <sheetData>
    <row r="1" spans="1:1" x14ac:dyDescent="0.25">
      <c r="A1" s="1" t="s">
        <v>10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2"/>
  <sheetViews>
    <sheetView zoomScale="120" zoomScaleNormal="120" workbookViewId="0">
      <selection activeCell="A2" sqref="A2"/>
    </sheetView>
  </sheetViews>
  <sheetFormatPr baseColWidth="10" defaultColWidth="11.42578125" defaultRowHeight="15" x14ac:dyDescent="0.25"/>
  <cols>
    <col min="1" max="6" width="11.42578125" style="2"/>
    <col min="7" max="7" width="14.140625" style="2" customWidth="1"/>
    <col min="8" max="16384" width="11.42578125" style="2"/>
  </cols>
  <sheetData>
    <row r="1" spans="1:9" x14ac:dyDescent="0.25">
      <c r="A1" s="1" t="s">
        <v>11</v>
      </c>
      <c r="H1" s="1"/>
    </row>
    <row r="3" spans="1:9" x14ac:dyDescent="0.25">
      <c r="I3" s="7"/>
    </row>
    <row r="4" spans="1:9" x14ac:dyDescent="0.25">
      <c r="I4" s="7"/>
    </row>
    <row r="5" spans="1:9" x14ac:dyDescent="0.25">
      <c r="I5" s="7"/>
    </row>
    <row r="6" spans="1:9" x14ac:dyDescent="0.25">
      <c r="I6" s="7"/>
    </row>
    <row r="7" spans="1:9" x14ac:dyDescent="0.25">
      <c r="I7" s="7"/>
    </row>
    <row r="9" spans="1:9" x14ac:dyDescent="0.25">
      <c r="I9" s="7"/>
    </row>
    <row r="10" spans="1:9" x14ac:dyDescent="0.25">
      <c r="I10" s="7"/>
    </row>
    <row r="11" spans="1:9" x14ac:dyDescent="0.25">
      <c r="I11" s="7"/>
    </row>
    <row r="12" spans="1:9" x14ac:dyDescent="0.25">
      <c r="I12" s="7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3" style="2" customWidth="1"/>
    <col min="2" max="2" width="12.5703125" style="2" customWidth="1"/>
    <col min="3" max="16384" width="11.42578125" style="2"/>
  </cols>
  <sheetData>
    <row r="1" spans="1:1" x14ac:dyDescent="0.25">
      <c r="A1" s="1" t="s">
        <v>137</v>
      </c>
    </row>
    <row r="27" spans="2:4" x14ac:dyDescent="0.25">
      <c r="B27" s="3"/>
      <c r="C27" s="3"/>
      <c r="D27" s="3"/>
    </row>
    <row r="28" spans="2:4" x14ac:dyDescent="0.25">
      <c r="B28" s="3"/>
      <c r="C28" s="3"/>
      <c r="D28" s="3"/>
    </row>
    <row r="29" spans="2:4" x14ac:dyDescent="0.25">
      <c r="B29" s="3"/>
      <c r="C29" s="3"/>
      <c r="D29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Flujo Costos</vt:lpstr>
      <vt:lpstr>P01</vt:lpstr>
      <vt:lpstr>P02</vt:lpstr>
      <vt:lpstr>P03</vt:lpstr>
      <vt:lpstr>P04</vt:lpstr>
      <vt:lpstr>P05</vt:lpstr>
      <vt:lpstr>P06</vt:lpstr>
      <vt:lpstr>P07</vt:lpstr>
      <vt:lpstr>P08</vt:lpstr>
      <vt:lpstr>P09</vt:lpstr>
      <vt:lpstr>P10</vt:lpstr>
      <vt:lpstr>P11</vt:lpstr>
      <vt:lpstr>P12</vt:lpstr>
      <vt:lpstr>P13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Oria</dc:creator>
  <cp:lastModifiedBy>S4-202</cp:lastModifiedBy>
  <dcterms:created xsi:type="dcterms:W3CDTF">2020-06-08T14:09:21Z</dcterms:created>
  <dcterms:modified xsi:type="dcterms:W3CDTF">2025-09-09T00:59:57Z</dcterms:modified>
</cp:coreProperties>
</file>