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ICLO 2025 02\GE605U 2025 02\Semana 05\"/>
    </mc:Choice>
  </mc:AlternateContent>
  <xr:revisionPtr revIDLastSave="0" documentId="13_ncr:1_{17DB71AE-9345-48E8-BBF6-334A68C287D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01" sheetId="6" r:id="rId1"/>
    <sheet name="P02" sheetId="3" r:id="rId2"/>
    <sheet name="P03" sheetId="8" r:id="rId3"/>
    <sheet name="P04" sheetId="9" r:id="rId4"/>
    <sheet name="P05" sheetId="10" r:id="rId5"/>
    <sheet name="P06" sheetId="11" r:id="rId6"/>
    <sheet name="P07" sheetId="4" r:id="rId7"/>
    <sheet name="P08" sheetId="5" r:id="rId8"/>
    <sheet name="P09" sheetId="12" r:id="rId9"/>
    <sheet name="P10" sheetId="13" r:id="rId10"/>
    <sheet name="P11" sheetId="14" r:id="rId11"/>
    <sheet name="P12" sheetId="1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3" l="1"/>
  <c r="M43" i="3"/>
  <c r="M40" i="3"/>
  <c r="M36" i="3"/>
  <c r="M35" i="3"/>
  <c r="L35" i="3"/>
  <c r="M34" i="3"/>
  <c r="Q30" i="3"/>
  <c r="U28" i="3"/>
  <c r="S28" i="3"/>
  <c r="U26" i="3"/>
  <c r="S26" i="3"/>
  <c r="Q21" i="3"/>
  <c r="V20" i="3"/>
  <c r="U29" i="3" s="1"/>
  <c r="V19" i="3"/>
  <c r="T28" i="3" s="1"/>
  <c r="V28" i="3" s="1"/>
  <c r="V18" i="3"/>
  <c r="U27" i="3" s="1"/>
  <c r="V17" i="3"/>
  <c r="T26" i="3" s="1"/>
  <c r="V26" i="3" s="1"/>
  <c r="V16" i="3"/>
  <c r="U25" i="3" s="1"/>
  <c r="U30" i="3" s="1"/>
  <c r="M18" i="3" s="1"/>
  <c r="N18" i="3" s="1"/>
  <c r="N36" i="3" s="1"/>
  <c r="N12" i="3"/>
  <c r="N11" i="3"/>
  <c r="N10" i="3"/>
  <c r="N6" i="3"/>
  <c r="L36" i="3" s="1"/>
  <c r="N5" i="3"/>
  <c r="N4" i="3"/>
  <c r="L34" i="3" s="1"/>
  <c r="O36" i="3" l="1"/>
  <c r="S25" i="3"/>
  <c r="S27" i="3"/>
  <c r="V27" i="3" s="1"/>
  <c r="S29" i="3"/>
  <c r="T25" i="3"/>
  <c r="T27" i="3"/>
  <c r="T29" i="3"/>
  <c r="T30" i="3" l="1"/>
  <c r="M17" i="3" s="1"/>
  <c r="N17" i="3" s="1"/>
  <c r="N35" i="3" s="1"/>
  <c r="O35" i="3" s="1"/>
  <c r="S35" i="3" s="1"/>
  <c r="V29" i="3"/>
  <c r="V25" i="3"/>
  <c r="V30" i="3" s="1"/>
  <c r="S30" i="3"/>
  <c r="M16" i="3" s="1"/>
  <c r="N16" i="3" s="1"/>
  <c r="N34" i="3" s="1"/>
  <c r="O34" i="3" s="1"/>
  <c r="S34" i="3" s="1"/>
  <c r="M41" i="3" s="1"/>
  <c r="M42" i="3" s="1"/>
  <c r="M45" i="3" s="1"/>
  <c r="F66" i="6"/>
  <c r="I24" i="6"/>
  <c r="B61" i="6" s="1"/>
  <c r="E58" i="6"/>
  <c r="D49" i="6"/>
  <c r="C44" i="6"/>
  <c r="D44" i="6" s="1"/>
  <c r="D52" i="6" s="1"/>
  <c r="C43" i="6"/>
  <c r="D43" i="6" s="1"/>
  <c r="D51" i="6" s="1"/>
  <c r="C42" i="6"/>
  <c r="D42" i="6" s="1"/>
  <c r="D50" i="6" s="1"/>
  <c r="C41" i="6"/>
  <c r="C40" i="6"/>
  <c r="D40" i="6" s="1"/>
  <c r="D48" i="6" s="1"/>
  <c r="D41" i="6"/>
  <c r="D36" i="6"/>
  <c r="C52" i="6" s="1"/>
  <c r="D35" i="6"/>
  <c r="C51" i="6" s="1"/>
  <c r="D34" i="6"/>
  <c r="C50" i="6" s="1"/>
  <c r="D33" i="6"/>
  <c r="C49" i="6" s="1"/>
  <c r="D32" i="6"/>
  <c r="C48" i="6" s="1"/>
  <c r="C53" i="6" s="1"/>
  <c r="F64" i="6" s="1"/>
  <c r="D28" i="6"/>
  <c r="B52" i="6" s="1"/>
  <c r="D27" i="6"/>
  <c r="B51" i="6" s="1"/>
  <c r="D26" i="6"/>
  <c r="B50" i="6" s="1"/>
  <c r="D25" i="6"/>
  <c r="B49" i="6" s="1"/>
  <c r="D24" i="6"/>
  <c r="B48" i="6" s="1"/>
  <c r="B53" i="6" l="1"/>
  <c r="F63" i="6" s="1"/>
  <c r="D53" i="6"/>
  <c r="F65" i="6" s="1"/>
  <c r="E53" i="6"/>
  <c r="E50" i="6"/>
  <c r="E52" i="6"/>
  <c r="E55" i="6" s="1"/>
  <c r="E49" i="6"/>
  <c r="E51" i="6"/>
  <c r="E48" i="6"/>
  <c r="E57" i="6" l="1"/>
  <c r="B62" i="6" s="1"/>
  <c r="B63" i="6" s="1"/>
  <c r="B65" i="6" s="1"/>
  <c r="B66" i="6" s="1"/>
  <c r="E56" i="6"/>
  <c r="F67" i="6"/>
  <c r="G63" i="6" s="1"/>
  <c r="G64" i="6" l="1"/>
  <c r="G67" i="6" s="1"/>
  <c r="G66" i="6"/>
  <c r="G65" i="6"/>
</calcChain>
</file>

<file path=xl/sharedStrings.xml><?xml version="1.0" encoding="utf-8"?>
<sst xmlns="http://schemas.openxmlformats.org/spreadsheetml/2006/main" count="169" uniqueCount="82">
  <si>
    <t>PREGUNTA 01:</t>
  </si>
  <si>
    <t>PREGUNTA 02:</t>
  </si>
  <si>
    <t>PREGUNTA 03:</t>
  </si>
  <si>
    <t>PREGUNTA 04:</t>
  </si>
  <si>
    <t>PREGUNTA 05:</t>
  </si>
  <si>
    <t>PREGUNTA 06:</t>
  </si>
  <si>
    <t>PREGUNTA 07:</t>
  </si>
  <si>
    <t>PREGUNTA 08:</t>
  </si>
  <si>
    <t>PREGUNTA 09:</t>
  </si>
  <si>
    <t>PREGUNTA 10:</t>
  </si>
  <si>
    <t>PREGUNTA 11:</t>
  </si>
  <si>
    <t>PREGUNTA 12:</t>
  </si>
  <si>
    <t>SOLUCION:</t>
  </si>
  <si>
    <t>CALCULO DEL COSTO DE MATERIAL DIRECTO POR OT</t>
  </si>
  <si>
    <t>OT</t>
  </si>
  <si>
    <t>costo total S/</t>
  </si>
  <si>
    <t>Costo mes S/</t>
  </si>
  <si>
    <t>L1670</t>
  </si>
  <si>
    <t>J901</t>
  </si>
  <si>
    <t>Inv inicial S/</t>
  </si>
  <si>
    <t>H702</t>
  </si>
  <si>
    <t>G901</t>
  </si>
  <si>
    <t>B168</t>
  </si>
  <si>
    <t>CALCULO DEL COSTO DEL PERSONAL DIRECTO POR OT</t>
  </si>
  <si>
    <t>CALCULO DEL COSTO INDIRECTO POR OT</t>
  </si>
  <si>
    <t>HOJA COSTOS</t>
  </si>
  <si>
    <t>CMD</t>
  </si>
  <si>
    <t>CPD</t>
  </si>
  <si>
    <t>CIF</t>
  </si>
  <si>
    <t>TOTAL</t>
  </si>
  <si>
    <t>ESTADO</t>
  </si>
  <si>
    <t>T V</t>
  </si>
  <si>
    <t>P</t>
  </si>
  <si>
    <t>INV FINAL PROD PROCESO</t>
  </si>
  <si>
    <t>COSTO PROD TERMINADA</t>
  </si>
  <si>
    <t>COSTO VENTAS</t>
  </si>
  <si>
    <t>COSTO PRODUCCION</t>
  </si>
  <si>
    <t>ESTADO DE RESULTADOS</t>
  </si>
  <si>
    <t>VENTAS</t>
  </si>
  <si>
    <t>COSTO VENTA</t>
  </si>
  <si>
    <t>UTILIDAD BRUTA</t>
  </si>
  <si>
    <t>GA Y GV</t>
  </si>
  <si>
    <t>UTILIDAD OPERATIVA</t>
  </si>
  <si>
    <t>UTILIDAD OPERATIVA %</t>
  </si>
  <si>
    <t>ESTRUCTURA DE COSTOS Y GASTOS</t>
  </si>
  <si>
    <t>CONCEPTO</t>
  </si>
  <si>
    <t>S/</t>
  </si>
  <si>
    <t>%</t>
  </si>
  <si>
    <t>MAS RELEVANTE</t>
  </si>
  <si>
    <t>DEL CONCEPTO MAS RELEVANTE COMO SE REDUCIRIA EL COSTO</t>
  </si>
  <si>
    <t>REDUCIR EL COSTO DE ADQUISICIÓN CON LA NEGOCIACION CON EL PROVEEDOR</t>
  </si>
  <si>
    <t>REDUCIR LA CANTIDAD SIENDO MAS EFICIENTE EN EL CONSUMO ES DECIR MENOS DESPERDICIO</t>
  </si>
  <si>
    <t>CALCULO DEL COSTO DE MATERIALES DIRECTOS</t>
  </si>
  <si>
    <t>INV INIC</t>
  </si>
  <si>
    <t>AÑO</t>
  </si>
  <si>
    <t>0T 101</t>
  </si>
  <si>
    <t>OT 102</t>
  </si>
  <si>
    <t>OT 103</t>
  </si>
  <si>
    <t>CALCULO DEL COSTO DE MANO OBRA DIRECTA</t>
  </si>
  <si>
    <t>CALCULO DEL COSTO DE INDIRECTO</t>
  </si>
  <si>
    <t>CALCULAR EL COSTO INDIRECTO DEL AÑO</t>
  </si>
  <si>
    <t>COSTO IND</t>
  </si>
  <si>
    <t>Costo S/</t>
  </si>
  <si>
    <t>Criterio</t>
  </si>
  <si>
    <t>Total</t>
  </si>
  <si>
    <t>Sueldo sup</t>
  </si>
  <si>
    <t>HMOD</t>
  </si>
  <si>
    <t>Mater Ind</t>
  </si>
  <si>
    <t>EE H20 Otros</t>
  </si>
  <si>
    <t>Deprec</t>
  </si>
  <si>
    <t>Indeminza</t>
  </si>
  <si>
    <t>HOJA DE COSTOS</t>
  </si>
  <si>
    <t>CMOD</t>
  </si>
  <si>
    <t>PROD</t>
  </si>
  <si>
    <t>PROCESO</t>
  </si>
  <si>
    <t>INV PT</t>
  </si>
  <si>
    <t>CTO UNIT</t>
  </si>
  <si>
    <t>CV</t>
  </si>
  <si>
    <t>UTIL BRUT</t>
  </si>
  <si>
    <t>GA</t>
  </si>
  <si>
    <t>GV</t>
  </si>
  <si>
    <t>UTIL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</si>
</sst>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_ ;[Red]\-#,##0\ "/>
    <numFmt numFmtId="165" formatCode="#,##0.00_ ;[Red]\-#,##0.00\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 applyFont="0" applyFill="0" applyBorder="0" applyAlignment="0" applyProtection="0"/>
    <xf numFmtId="0" fontId="4" fillId="0" borderId="0"/>
    <xf numFmtId="0" fontId="3" fillId="0" borderId="0"/>
  </cellStyleXfs>
  <cellXfs count="15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2" borderId="0" xfId="0" applyNumberFormat="1" applyFill="1"/>
    <xf numFmtId="9" fontId="0" fillId="2" borderId="0" xfId="0" applyNumberFormat="1" applyFill="1"/>
    <xf numFmtId="9" fontId="0" fillId="2" borderId="0" xfId="3" applyFont="1" applyFill="1"/>
    <xf numFmtId="0" fontId="0" fillId="2" borderId="0" xfId="0" applyFill="1" applyAlignment="1">
      <alignment horizontal="center"/>
    </xf>
    <xf numFmtId="3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ill="1"/>
    <xf numFmtId="10" fontId="0" fillId="2" borderId="0" xfId="0" applyNumberFormat="1" applyFill="1"/>
    <xf numFmtId="9" fontId="0" fillId="2" borderId="0" xfId="0" applyNumberFormat="1" applyFill="1" applyAlignment="1">
      <alignment horizontal="center"/>
    </xf>
    <xf numFmtId="165" fontId="0" fillId="2" borderId="0" xfId="0" applyNumberFormat="1" applyFill="1"/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right"/>
    </xf>
  </cellXfs>
  <cellStyles count="6">
    <cellStyle name="Normal" xfId="0" builtinId="0"/>
    <cellStyle name="Normal 2" xfId="4" xr:uid="{842635F7-499E-48FD-9CB7-E1D7E34D26AF}"/>
    <cellStyle name="Normal 2 2" xfId="5" xr:uid="{DDFDCE6B-B205-46AF-B268-9295618CD80A}"/>
    <cellStyle name="Normal 3" xfId="2" xr:uid="{00000000-0005-0000-0000-000001000000}"/>
    <cellStyle name="Normal 4 2" xfId="1" xr:uid="{00000000-0005-0000-0000-000002000000}"/>
    <cellStyle name="Porcentaje" xfId="3" builtinId="5"/>
  </cellStyles>
  <dxfs count="0"/>
  <tableStyles count="1" defaultTableStyle="TableStyleMedium2" defaultPivotStyle="PivotStyleLight16">
    <tableStyle name="Invisible" pivot="0" table="0" count="0" xr9:uid="{D7FA83C5-38F2-41C5-8A85-DA14B8FF627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175260</xdr:rowOff>
    </xdr:from>
    <xdr:to>
      <xdr:col>7</xdr:col>
      <xdr:colOff>250566</xdr:colOff>
      <xdr:row>19</xdr:row>
      <xdr:rowOff>59055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5FA346-735F-4D93-911B-33F3147B1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175260"/>
          <a:ext cx="6261735" cy="3358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</xdr:row>
      <xdr:rowOff>0</xdr:rowOff>
    </xdr:from>
    <xdr:to>
      <xdr:col>8</xdr:col>
      <xdr:colOff>161925</xdr:colOff>
      <xdr:row>39</xdr:row>
      <xdr:rowOff>171450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C78924E1-FE66-45C8-AF6F-8A1C5D1D9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0"/>
          <a:ext cx="6038850" cy="741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171450</xdr:rowOff>
    </xdr:from>
    <xdr:to>
      <xdr:col>7</xdr:col>
      <xdr:colOff>9525</xdr:colOff>
      <xdr:row>23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C2B3666-BBB6-400F-97BA-1C9019773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71450"/>
          <a:ext cx="5762625" cy="425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7620</xdr:rowOff>
    </xdr:from>
    <xdr:to>
      <xdr:col>6</xdr:col>
      <xdr:colOff>647700</xdr:colOff>
      <xdr:row>14</xdr:row>
      <xdr:rowOff>64770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46D841-E274-40A2-83F4-E5FF4FB7D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0"/>
          <a:ext cx="6278880" cy="2434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9525</xdr:rowOff>
    </xdr:from>
    <xdr:to>
      <xdr:col>6</xdr:col>
      <xdr:colOff>361950</xdr:colOff>
      <xdr:row>18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C1EA58A-67B7-435F-BBCF-48347C2EF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00025"/>
          <a:ext cx="6057900" cy="3248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447675</xdr:colOff>
      <xdr:row>13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5F0DFE-140D-45E2-8600-8353556AF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057900" cy="2409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342900</xdr:colOff>
      <xdr:row>25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78E4BD-E12E-4CF1-9470-588597825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115050" cy="466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609600</xdr:colOff>
      <xdr:row>33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27B57B0-3C7A-481A-9568-CD7F05B3E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391275" cy="6181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0</xdr:rowOff>
    </xdr:from>
    <xdr:to>
      <xdr:col>7</xdr:col>
      <xdr:colOff>485775</xdr:colOff>
      <xdr:row>18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E126B4-4305-4476-960A-8903AF1DD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90500"/>
          <a:ext cx="6057900" cy="3343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0</xdr:rowOff>
    </xdr:from>
    <xdr:to>
      <xdr:col>7</xdr:col>
      <xdr:colOff>742950</xdr:colOff>
      <xdr:row>14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28711F-6145-4C12-8584-499BE17BD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00"/>
          <a:ext cx="6057900" cy="2524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0</xdr:rowOff>
    </xdr:from>
    <xdr:to>
      <xdr:col>7</xdr:col>
      <xdr:colOff>571500</xdr:colOff>
      <xdr:row>17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8542F16-73DC-4E75-9CF4-DA3727C05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0"/>
          <a:ext cx="5876925" cy="310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0</xdr:rowOff>
    </xdr:from>
    <xdr:to>
      <xdr:col>7</xdr:col>
      <xdr:colOff>590550</xdr:colOff>
      <xdr:row>22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04F889C-4E7B-4D26-9F34-E6008FB0A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0"/>
          <a:ext cx="5876925" cy="401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3591D-2216-423A-A34B-066BEB50A4FB}">
  <dimension ref="A1:I71"/>
  <sheetViews>
    <sheetView topLeftCell="A56" zoomScale="120" zoomScaleNormal="120" workbookViewId="0">
      <selection activeCell="E73" sqref="E73"/>
    </sheetView>
  </sheetViews>
  <sheetFormatPr baseColWidth="10" defaultColWidth="9.109375" defaultRowHeight="14.4" x14ac:dyDescent="0.3"/>
  <cols>
    <col min="1" max="1" width="15.109375" style="2" customWidth="1"/>
    <col min="2" max="2" width="19.6640625" style="2" customWidth="1"/>
    <col min="3" max="3" width="12.44140625" style="2" bestFit="1" customWidth="1"/>
    <col min="4" max="4" width="13.33203125" style="2" customWidth="1"/>
    <col min="5" max="5" width="10.109375" style="2" customWidth="1"/>
    <col min="6" max="16384" width="9.109375" style="2"/>
  </cols>
  <sheetData>
    <row r="1" spans="1:1" x14ac:dyDescent="0.3">
      <c r="A1" s="1" t="s">
        <v>0</v>
      </c>
    </row>
    <row r="21" spans="1:9" x14ac:dyDescent="0.3">
      <c r="A21" s="2" t="s">
        <v>12</v>
      </c>
    </row>
    <row r="22" spans="1:9" x14ac:dyDescent="0.3">
      <c r="A22" s="2" t="s">
        <v>13</v>
      </c>
    </row>
    <row r="23" spans="1:9" x14ac:dyDescent="0.3">
      <c r="A23" s="2" t="s">
        <v>14</v>
      </c>
      <c r="B23" s="6" t="s">
        <v>19</v>
      </c>
      <c r="C23" s="6" t="s">
        <v>16</v>
      </c>
      <c r="D23" s="6" t="s">
        <v>15</v>
      </c>
    </row>
    <row r="24" spans="1:9" x14ac:dyDescent="0.3">
      <c r="A24" s="2" t="s">
        <v>17</v>
      </c>
      <c r="B24" s="8">
        <v>1500</v>
      </c>
      <c r="C24" s="8">
        <v>0</v>
      </c>
      <c r="D24" s="8">
        <f>B24+C24</f>
        <v>1500</v>
      </c>
      <c r="I24" s="2">
        <f>18000+45000+28000+25000</f>
        <v>116000</v>
      </c>
    </row>
    <row r="25" spans="1:9" x14ac:dyDescent="0.3">
      <c r="A25" s="2" t="s">
        <v>18</v>
      </c>
      <c r="B25" s="8">
        <v>5000</v>
      </c>
      <c r="C25" s="8">
        <v>0</v>
      </c>
      <c r="D25" s="8">
        <f t="shared" ref="D25:D28" si="0">B25+C25</f>
        <v>5000</v>
      </c>
    </row>
    <row r="26" spans="1:9" x14ac:dyDescent="0.3">
      <c r="A26" s="2" t="s">
        <v>20</v>
      </c>
      <c r="B26" s="8">
        <v>0</v>
      </c>
      <c r="C26" s="8">
        <v>16872</v>
      </c>
      <c r="D26" s="8">
        <f t="shared" si="0"/>
        <v>16872</v>
      </c>
    </row>
    <row r="27" spans="1:9" x14ac:dyDescent="0.3">
      <c r="A27" s="2" t="s">
        <v>21</v>
      </c>
      <c r="B27" s="8">
        <v>0</v>
      </c>
      <c r="C27" s="8">
        <v>10980</v>
      </c>
      <c r="D27" s="8">
        <f t="shared" si="0"/>
        <v>10980</v>
      </c>
    </row>
    <row r="28" spans="1:9" x14ac:dyDescent="0.3">
      <c r="A28" s="2" t="s">
        <v>22</v>
      </c>
      <c r="B28" s="8">
        <v>0</v>
      </c>
      <c r="C28" s="8">
        <v>5670</v>
      </c>
      <c r="D28" s="8">
        <f t="shared" si="0"/>
        <v>5670</v>
      </c>
    </row>
    <row r="29" spans="1:9" x14ac:dyDescent="0.3">
      <c r="B29" s="6"/>
      <c r="C29" s="6"/>
      <c r="D29" s="6"/>
    </row>
    <row r="30" spans="1:9" x14ac:dyDescent="0.3">
      <c r="A30" s="2" t="s">
        <v>23</v>
      </c>
    </row>
    <row r="31" spans="1:9" x14ac:dyDescent="0.3">
      <c r="A31" s="2" t="s">
        <v>14</v>
      </c>
      <c r="B31" s="6" t="s">
        <v>19</v>
      </c>
      <c r="C31" s="6" t="s">
        <v>16</v>
      </c>
      <c r="D31" s="6" t="s">
        <v>15</v>
      </c>
    </row>
    <row r="32" spans="1:9" x14ac:dyDescent="0.3">
      <c r="A32" s="2" t="s">
        <v>17</v>
      </c>
      <c r="B32" s="8">
        <v>6000</v>
      </c>
      <c r="C32" s="8">
        <v>800</v>
      </c>
      <c r="D32" s="8">
        <f>B32+C32</f>
        <v>6800</v>
      </c>
    </row>
    <row r="33" spans="1:6" x14ac:dyDescent="0.3">
      <c r="A33" s="2" t="s">
        <v>18</v>
      </c>
      <c r="B33" s="8">
        <v>8000</v>
      </c>
      <c r="C33" s="8">
        <v>9600</v>
      </c>
      <c r="D33" s="8">
        <f t="shared" ref="D33:D36" si="1">B33+C33</f>
        <v>17600</v>
      </c>
    </row>
    <row r="34" spans="1:6" x14ac:dyDescent="0.3">
      <c r="A34" s="2" t="s">
        <v>20</v>
      </c>
      <c r="B34" s="8">
        <v>0</v>
      </c>
      <c r="C34" s="8">
        <v>1575</v>
      </c>
      <c r="D34" s="8">
        <f t="shared" si="1"/>
        <v>1575</v>
      </c>
    </row>
    <row r="35" spans="1:6" x14ac:dyDescent="0.3">
      <c r="A35" s="2" t="s">
        <v>21</v>
      </c>
      <c r="B35" s="8">
        <v>0</v>
      </c>
      <c r="C35" s="8">
        <v>1200</v>
      </c>
      <c r="D35" s="8">
        <f t="shared" si="1"/>
        <v>1200</v>
      </c>
    </row>
    <row r="36" spans="1:6" x14ac:dyDescent="0.3">
      <c r="A36" s="2" t="s">
        <v>22</v>
      </c>
      <c r="B36" s="8">
        <v>0</v>
      </c>
      <c r="C36" s="8">
        <v>180</v>
      </c>
      <c r="D36" s="8">
        <f t="shared" si="1"/>
        <v>180</v>
      </c>
    </row>
    <row r="38" spans="1:6" x14ac:dyDescent="0.3">
      <c r="A38" s="2" t="s">
        <v>24</v>
      </c>
    </row>
    <row r="39" spans="1:6" x14ac:dyDescent="0.3">
      <c r="A39" s="2" t="s">
        <v>14</v>
      </c>
      <c r="B39" s="6" t="s">
        <v>19</v>
      </c>
      <c r="C39" s="6" t="s">
        <v>16</v>
      </c>
      <c r="D39" s="6" t="s">
        <v>15</v>
      </c>
    </row>
    <row r="40" spans="1:6" x14ac:dyDescent="0.3">
      <c r="A40" s="2" t="s">
        <v>17</v>
      </c>
      <c r="B40" s="8">
        <v>8000</v>
      </c>
      <c r="C40" s="8">
        <f>200*2</f>
        <v>400</v>
      </c>
      <c r="D40" s="8">
        <f>B40+C40</f>
        <v>8400</v>
      </c>
    </row>
    <row r="41" spans="1:6" x14ac:dyDescent="0.3">
      <c r="A41" s="2" t="s">
        <v>18</v>
      </c>
      <c r="B41" s="8">
        <v>4000</v>
      </c>
      <c r="C41" s="8">
        <f>3000*2</f>
        <v>6000</v>
      </c>
      <c r="D41" s="8">
        <f t="shared" ref="D41:D44" si="2">B41+C41</f>
        <v>10000</v>
      </c>
    </row>
    <row r="42" spans="1:6" x14ac:dyDescent="0.3">
      <c r="A42" s="2" t="s">
        <v>20</v>
      </c>
      <c r="B42" s="8">
        <v>0</v>
      </c>
      <c r="C42" s="8">
        <f>500*2</f>
        <v>1000</v>
      </c>
      <c r="D42" s="8">
        <f t="shared" si="2"/>
        <v>1000</v>
      </c>
    </row>
    <row r="43" spans="1:6" x14ac:dyDescent="0.3">
      <c r="A43" s="2" t="s">
        <v>21</v>
      </c>
      <c r="B43" s="8">
        <v>0</v>
      </c>
      <c r="C43" s="8">
        <f>600*2</f>
        <v>1200</v>
      </c>
      <c r="D43" s="8">
        <f t="shared" si="2"/>
        <v>1200</v>
      </c>
    </row>
    <row r="44" spans="1:6" x14ac:dyDescent="0.3">
      <c r="A44" s="2" t="s">
        <v>22</v>
      </c>
      <c r="B44" s="8">
        <v>0</v>
      </c>
      <c r="C44" s="8">
        <f>90*2</f>
        <v>180</v>
      </c>
      <c r="D44" s="8">
        <f t="shared" si="2"/>
        <v>180</v>
      </c>
    </row>
    <row r="46" spans="1:6" x14ac:dyDescent="0.3">
      <c r="A46" s="2" t="s">
        <v>25</v>
      </c>
    </row>
    <row r="47" spans="1:6" x14ac:dyDescent="0.3">
      <c r="A47" s="2" t="s">
        <v>14</v>
      </c>
      <c r="B47" s="6" t="s">
        <v>26</v>
      </c>
      <c r="C47" s="6" t="s">
        <v>27</v>
      </c>
      <c r="D47" s="6" t="s">
        <v>28</v>
      </c>
      <c r="E47" s="6" t="s">
        <v>29</v>
      </c>
      <c r="F47" s="6" t="s">
        <v>30</v>
      </c>
    </row>
    <row r="48" spans="1:6" x14ac:dyDescent="0.3">
      <c r="A48" s="2" t="s">
        <v>17</v>
      </c>
      <c r="B48" s="8">
        <f>D24</f>
        <v>1500</v>
      </c>
      <c r="C48" s="8">
        <f>D32</f>
        <v>6800</v>
      </c>
      <c r="D48" s="8">
        <f>D40</f>
        <v>8400</v>
      </c>
      <c r="E48" s="8">
        <f>SUM(B48:D48)</f>
        <v>16700</v>
      </c>
      <c r="F48" s="8" t="s">
        <v>31</v>
      </c>
    </row>
    <row r="49" spans="1:8" x14ac:dyDescent="0.3">
      <c r="A49" s="2" t="s">
        <v>18</v>
      </c>
      <c r="B49" s="8">
        <f t="shared" ref="B49:B52" si="3">D25</f>
        <v>5000</v>
      </c>
      <c r="C49" s="8">
        <f t="shared" ref="C49:C52" si="4">D33</f>
        <v>17600</v>
      </c>
      <c r="D49" s="8">
        <f t="shared" ref="D49:D52" si="5">D41</f>
        <v>10000</v>
      </c>
      <c r="E49" s="8">
        <f t="shared" ref="E49:E52" si="6">SUM(B49:D49)</f>
        <v>32600</v>
      </c>
      <c r="F49" s="8" t="s">
        <v>31</v>
      </c>
    </row>
    <row r="50" spans="1:8" x14ac:dyDescent="0.3">
      <c r="A50" s="2" t="s">
        <v>20</v>
      </c>
      <c r="B50" s="8">
        <f t="shared" si="3"/>
        <v>16872</v>
      </c>
      <c r="C50" s="8">
        <f t="shared" si="4"/>
        <v>1575</v>
      </c>
      <c r="D50" s="8">
        <f t="shared" si="5"/>
        <v>1000</v>
      </c>
      <c r="E50" s="8">
        <f t="shared" si="6"/>
        <v>19447</v>
      </c>
      <c r="F50" s="8" t="s">
        <v>31</v>
      </c>
    </row>
    <row r="51" spans="1:8" x14ac:dyDescent="0.3">
      <c r="A51" s="2" t="s">
        <v>21</v>
      </c>
      <c r="B51" s="8">
        <f t="shared" si="3"/>
        <v>10980</v>
      </c>
      <c r="C51" s="8">
        <f t="shared" si="4"/>
        <v>1200</v>
      </c>
      <c r="D51" s="8">
        <f t="shared" si="5"/>
        <v>1200</v>
      </c>
      <c r="E51" s="8">
        <f t="shared" si="6"/>
        <v>13380</v>
      </c>
      <c r="F51" s="8" t="s">
        <v>31</v>
      </c>
    </row>
    <row r="52" spans="1:8" x14ac:dyDescent="0.3">
      <c r="A52" s="2" t="s">
        <v>22</v>
      </c>
      <c r="B52" s="8">
        <f t="shared" si="3"/>
        <v>5670</v>
      </c>
      <c r="C52" s="8">
        <f t="shared" si="4"/>
        <v>180</v>
      </c>
      <c r="D52" s="8">
        <f t="shared" si="5"/>
        <v>180</v>
      </c>
      <c r="E52" s="8">
        <f t="shared" si="6"/>
        <v>6030</v>
      </c>
      <c r="F52" s="8" t="s">
        <v>32</v>
      </c>
    </row>
    <row r="53" spans="1:8" x14ac:dyDescent="0.3">
      <c r="A53" s="2" t="s">
        <v>29</v>
      </c>
      <c r="B53" s="8">
        <f>SUM(B48:B52)</f>
        <v>40022</v>
      </c>
      <c r="C53" s="8">
        <f>SUM(C48:C52)</f>
        <v>27355</v>
      </c>
      <c r="D53" s="8">
        <f>SUM(D48:D52)</f>
        <v>20780</v>
      </c>
      <c r="E53" s="8">
        <f t="shared" ref="E53" si="7">SUM(B53:D53)</f>
        <v>88157</v>
      </c>
    </row>
    <row r="55" spans="1:8" x14ac:dyDescent="0.3">
      <c r="C55" s="2" t="s">
        <v>33</v>
      </c>
      <c r="E55" s="9">
        <f>E52</f>
        <v>6030</v>
      </c>
    </row>
    <row r="56" spans="1:8" x14ac:dyDescent="0.3">
      <c r="C56" s="2" t="s">
        <v>34</v>
      </c>
      <c r="E56" s="9">
        <f>E48+E49+E50+E51</f>
        <v>82127</v>
      </c>
    </row>
    <row r="57" spans="1:8" x14ac:dyDescent="0.3">
      <c r="C57" s="2" t="s">
        <v>35</v>
      </c>
      <c r="E57" s="9">
        <f>E48+E49+E50+E51</f>
        <v>82127</v>
      </c>
    </row>
    <row r="58" spans="1:8" x14ac:dyDescent="0.3">
      <c r="C58" s="2" t="s">
        <v>36</v>
      </c>
      <c r="E58" s="9">
        <f>SUM(C24:C28)+SUM(C32:C36)+SUM(C40:C44)</f>
        <v>55657</v>
      </c>
    </row>
    <row r="60" spans="1:8" x14ac:dyDescent="0.3">
      <c r="A60" s="2" t="s">
        <v>37</v>
      </c>
    </row>
    <row r="61" spans="1:8" x14ac:dyDescent="0.3">
      <c r="A61" s="2" t="s">
        <v>38</v>
      </c>
      <c r="B61" s="9">
        <f>I24</f>
        <v>116000</v>
      </c>
      <c r="E61" s="2" t="s">
        <v>44</v>
      </c>
    </row>
    <row r="62" spans="1:8" x14ac:dyDescent="0.3">
      <c r="A62" s="2" t="s">
        <v>39</v>
      </c>
      <c r="B62" s="9">
        <f>E57</f>
        <v>82127</v>
      </c>
      <c r="E62" s="2" t="s">
        <v>45</v>
      </c>
      <c r="F62" s="6" t="s">
        <v>46</v>
      </c>
      <c r="G62" s="6" t="s">
        <v>47</v>
      </c>
    </row>
    <row r="63" spans="1:8" x14ac:dyDescent="0.3">
      <c r="A63" s="2" t="s">
        <v>40</v>
      </c>
      <c r="B63" s="9">
        <f>B61-B62</f>
        <v>33873</v>
      </c>
      <c r="E63" s="2" t="s">
        <v>26</v>
      </c>
      <c r="F63" s="9">
        <f>B53</f>
        <v>40022</v>
      </c>
      <c r="G63" s="10">
        <f>F63/$F$67</f>
        <v>0.35209867419743635</v>
      </c>
      <c r="H63" s="2" t="s">
        <v>48</v>
      </c>
    </row>
    <row r="64" spans="1:8" x14ac:dyDescent="0.3">
      <c r="A64" s="2" t="s">
        <v>41</v>
      </c>
      <c r="B64" s="9">
        <v>25510</v>
      </c>
      <c r="E64" s="2" t="s">
        <v>27</v>
      </c>
      <c r="F64" s="9">
        <f>C53</f>
        <v>27355</v>
      </c>
      <c r="G64" s="10">
        <f t="shared" ref="G64:G66" si="8">F64/$F$67</f>
        <v>0.24065911830170586</v>
      </c>
    </row>
    <row r="65" spans="1:7" x14ac:dyDescent="0.3">
      <c r="A65" s="2" t="s">
        <v>42</v>
      </c>
      <c r="B65" s="9">
        <f>B63-B64</f>
        <v>8363</v>
      </c>
      <c r="E65" s="2" t="s">
        <v>28</v>
      </c>
      <c r="F65" s="9">
        <f>D53</f>
        <v>20780</v>
      </c>
      <c r="G65" s="10">
        <f t="shared" si="8"/>
        <v>0.18281471315333386</v>
      </c>
    </row>
    <row r="66" spans="1:7" x14ac:dyDescent="0.3">
      <c r="A66" s="2" t="s">
        <v>43</v>
      </c>
      <c r="B66" s="10">
        <f>B65/B61</f>
        <v>7.2094827586206903E-2</v>
      </c>
      <c r="E66" s="2" t="s">
        <v>41</v>
      </c>
      <c r="F66" s="9">
        <f>B64</f>
        <v>25510</v>
      </c>
      <c r="G66" s="10">
        <f t="shared" si="8"/>
        <v>0.2244274943475239</v>
      </c>
    </row>
    <row r="67" spans="1:7" x14ac:dyDescent="0.3">
      <c r="B67" s="9"/>
      <c r="E67" s="2" t="s">
        <v>29</v>
      </c>
      <c r="F67" s="9">
        <f>SUM(F63:F66)</f>
        <v>113667</v>
      </c>
      <c r="G67" s="10">
        <f>SUM(G63:G66)</f>
        <v>1</v>
      </c>
    </row>
    <row r="69" spans="1:7" x14ac:dyDescent="0.3">
      <c r="E69" s="2" t="s">
        <v>49</v>
      </c>
    </row>
    <row r="70" spans="1:7" x14ac:dyDescent="0.3">
      <c r="E70" s="2" t="s">
        <v>50</v>
      </c>
    </row>
    <row r="71" spans="1:7" x14ac:dyDescent="0.3">
      <c r="E71" s="2" t="s">
        <v>51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6"/>
  <sheetViews>
    <sheetView tabSelected="1" workbookViewId="0">
      <selection activeCell="N22" sqref="N22"/>
    </sheetView>
  </sheetViews>
  <sheetFormatPr baseColWidth="10" defaultColWidth="9.109375" defaultRowHeight="14.4" x14ac:dyDescent="0.3"/>
  <cols>
    <col min="1" max="1" width="9.109375" style="2"/>
    <col min="2" max="2" width="18.88671875" style="2" customWidth="1"/>
    <col min="3" max="3" width="9.109375" style="2"/>
    <col min="4" max="4" width="15.44140625" style="2" bestFit="1" customWidth="1"/>
    <col min="5" max="8" width="9.109375" style="2"/>
    <col min="9" max="9" width="3.5546875" style="2" customWidth="1"/>
    <col min="10" max="16384" width="9.109375" style="2"/>
  </cols>
  <sheetData>
    <row r="1" spans="1:22" x14ac:dyDescent="0.3">
      <c r="A1" s="1" t="s">
        <v>1</v>
      </c>
      <c r="K1" s="2" t="s">
        <v>12</v>
      </c>
    </row>
    <row r="2" spans="1:22" x14ac:dyDescent="0.3">
      <c r="K2" s="2" t="s">
        <v>52</v>
      </c>
    </row>
    <row r="3" spans="1:22" x14ac:dyDescent="0.3">
      <c r="K3" s="2" t="s">
        <v>14</v>
      </c>
      <c r="L3" s="6" t="s">
        <v>53</v>
      </c>
      <c r="M3" s="6" t="s">
        <v>54</v>
      </c>
      <c r="N3" s="6" t="s">
        <v>29</v>
      </c>
    </row>
    <row r="4" spans="1:22" x14ac:dyDescent="0.3">
      <c r="K4" s="2" t="s">
        <v>55</v>
      </c>
      <c r="L4" s="7">
        <v>6375</v>
      </c>
      <c r="M4" s="7">
        <v>18875</v>
      </c>
      <c r="N4" s="7">
        <f>L4+M4</f>
        <v>25250</v>
      </c>
    </row>
    <row r="5" spans="1:22" x14ac:dyDescent="0.3">
      <c r="K5" s="2" t="s">
        <v>56</v>
      </c>
      <c r="L5" s="7">
        <v>1610</v>
      </c>
      <c r="M5" s="7">
        <v>9737</v>
      </c>
      <c r="N5" s="7">
        <f t="shared" ref="N5:N6" si="0">L5+M5</f>
        <v>11347</v>
      </c>
    </row>
    <row r="6" spans="1:22" x14ac:dyDescent="0.3">
      <c r="K6" s="2" t="s">
        <v>57</v>
      </c>
      <c r="L6" s="6">
        <v>0</v>
      </c>
      <c r="M6" s="7">
        <v>6263</v>
      </c>
      <c r="N6" s="7">
        <f t="shared" si="0"/>
        <v>6263</v>
      </c>
    </row>
    <row r="8" spans="1:22" x14ac:dyDescent="0.3">
      <c r="K8" s="2" t="s">
        <v>58</v>
      </c>
    </row>
    <row r="9" spans="1:22" x14ac:dyDescent="0.3">
      <c r="K9" s="2" t="s">
        <v>14</v>
      </c>
      <c r="L9" s="6" t="s">
        <v>53</v>
      </c>
      <c r="M9" s="6" t="s">
        <v>54</v>
      </c>
      <c r="N9" s="6" t="s">
        <v>29</v>
      </c>
    </row>
    <row r="10" spans="1:22" x14ac:dyDescent="0.3">
      <c r="K10" s="2" t="s">
        <v>55</v>
      </c>
      <c r="L10" s="7">
        <v>1945</v>
      </c>
      <c r="M10" s="7">
        <v>6436</v>
      </c>
      <c r="N10" s="7">
        <f>L10+M10</f>
        <v>8381</v>
      </c>
    </row>
    <row r="11" spans="1:22" x14ac:dyDescent="0.3">
      <c r="K11" s="2" t="s">
        <v>56</v>
      </c>
      <c r="L11" s="7">
        <v>560</v>
      </c>
      <c r="M11" s="7">
        <v>4044</v>
      </c>
      <c r="N11" s="7">
        <f t="shared" ref="N11:N12" si="1">L11+M11</f>
        <v>4604</v>
      </c>
    </row>
    <row r="12" spans="1:22" x14ac:dyDescent="0.3">
      <c r="K12" s="2" t="s">
        <v>57</v>
      </c>
      <c r="L12" s="6">
        <v>0</v>
      </c>
      <c r="M12" s="7">
        <v>2066</v>
      </c>
      <c r="N12" s="7">
        <f t="shared" si="1"/>
        <v>2066</v>
      </c>
    </row>
    <row r="14" spans="1:22" x14ac:dyDescent="0.3">
      <c r="K14" s="2" t="s">
        <v>59</v>
      </c>
      <c r="P14" s="2" t="s">
        <v>60</v>
      </c>
    </row>
    <row r="15" spans="1:22" x14ac:dyDescent="0.3">
      <c r="K15" s="2" t="s">
        <v>14</v>
      </c>
      <c r="L15" s="6" t="s">
        <v>53</v>
      </c>
      <c r="M15" s="6" t="s">
        <v>54</v>
      </c>
      <c r="N15" s="6" t="s">
        <v>29</v>
      </c>
      <c r="P15" s="2" t="s">
        <v>61</v>
      </c>
      <c r="Q15" s="6" t="s">
        <v>62</v>
      </c>
      <c r="R15" s="6" t="s">
        <v>63</v>
      </c>
      <c r="S15" s="6" t="s">
        <v>55</v>
      </c>
      <c r="T15" s="6" t="s">
        <v>56</v>
      </c>
      <c r="U15" s="6" t="s">
        <v>57</v>
      </c>
      <c r="V15" s="6" t="s">
        <v>64</v>
      </c>
    </row>
    <row r="16" spans="1:22" x14ac:dyDescent="0.3">
      <c r="K16" s="2" t="s">
        <v>55</v>
      </c>
      <c r="L16" s="7">
        <v>2305</v>
      </c>
      <c r="M16" s="7">
        <f>S30</f>
        <v>6061.01</v>
      </c>
      <c r="N16" s="7">
        <f>L16+M16</f>
        <v>8366.01</v>
      </c>
      <c r="P16" s="2" t="s">
        <v>65</v>
      </c>
      <c r="Q16" s="7">
        <v>2480</v>
      </c>
      <c r="R16" s="6" t="s">
        <v>66</v>
      </c>
      <c r="S16" s="7">
        <v>1498</v>
      </c>
      <c r="T16" s="6">
        <v>998</v>
      </c>
      <c r="U16" s="6">
        <v>504</v>
      </c>
      <c r="V16" s="7">
        <f>SUM(S16:U16)</f>
        <v>3000</v>
      </c>
    </row>
    <row r="17" spans="11:22" x14ac:dyDescent="0.3">
      <c r="K17" s="2" t="s">
        <v>56</v>
      </c>
      <c r="L17" s="7">
        <v>740</v>
      </c>
      <c r="M17" s="7">
        <f>T30</f>
        <v>3738.5099999999998</v>
      </c>
      <c r="N17" s="7">
        <f t="shared" ref="N17:N18" si="2">L17+M17</f>
        <v>4478.51</v>
      </c>
      <c r="P17" s="2" t="s">
        <v>67</v>
      </c>
      <c r="Q17" s="7">
        <v>4099</v>
      </c>
      <c r="R17" s="6" t="s">
        <v>66</v>
      </c>
      <c r="S17" s="7">
        <v>1498</v>
      </c>
      <c r="T17" s="6">
        <v>998</v>
      </c>
      <c r="U17" s="6">
        <v>504</v>
      </c>
      <c r="V17" s="7">
        <f t="shared" ref="V17:V18" si="3">SUM(S17:U17)</f>
        <v>3000</v>
      </c>
    </row>
    <row r="18" spans="11:22" x14ac:dyDescent="0.3">
      <c r="K18" s="2" t="s">
        <v>57</v>
      </c>
      <c r="L18" s="6">
        <v>0</v>
      </c>
      <c r="M18" s="7">
        <f>U30</f>
        <v>1935.4799999999998</v>
      </c>
      <c r="N18" s="7">
        <f t="shared" si="2"/>
        <v>1935.4799999999998</v>
      </c>
      <c r="P18" s="2" t="s">
        <v>68</v>
      </c>
      <c r="Q18" s="7">
        <v>1456</v>
      </c>
      <c r="R18" s="6" t="s">
        <v>66</v>
      </c>
      <c r="S18" s="7">
        <v>1498</v>
      </c>
      <c r="T18" s="6">
        <v>998</v>
      </c>
      <c r="U18" s="6">
        <v>504</v>
      </c>
      <c r="V18" s="7">
        <f t="shared" si="3"/>
        <v>3000</v>
      </c>
    </row>
    <row r="19" spans="11:22" x14ac:dyDescent="0.3">
      <c r="P19" s="2" t="s">
        <v>69</v>
      </c>
      <c r="Q19" s="7">
        <v>2000</v>
      </c>
      <c r="R19" s="6" t="s">
        <v>47</v>
      </c>
      <c r="S19" s="11">
        <v>0.6</v>
      </c>
      <c r="T19" s="11">
        <v>0.25</v>
      </c>
      <c r="U19" s="11">
        <v>0.15</v>
      </c>
      <c r="V19" s="11">
        <f>SUM(S19:U19)</f>
        <v>1</v>
      </c>
    </row>
    <row r="20" spans="11:22" x14ac:dyDescent="0.3">
      <c r="P20" s="2" t="s">
        <v>70</v>
      </c>
      <c r="Q20" s="7">
        <v>1700</v>
      </c>
      <c r="R20" s="6" t="s">
        <v>66</v>
      </c>
      <c r="S20" s="7">
        <v>1498</v>
      </c>
      <c r="T20" s="6">
        <v>998</v>
      </c>
      <c r="U20" s="6">
        <v>504</v>
      </c>
      <c r="V20" s="7">
        <f>SUM(S20:U20)</f>
        <v>3000</v>
      </c>
    </row>
    <row r="21" spans="11:22" x14ac:dyDescent="0.3">
      <c r="P21" s="2" t="s">
        <v>64</v>
      </c>
      <c r="Q21" s="7">
        <f>SUM(Q16:Q20)</f>
        <v>11735</v>
      </c>
      <c r="R21" s="6"/>
      <c r="S21" s="6"/>
      <c r="T21" s="6"/>
      <c r="U21" s="6"/>
      <c r="V21" s="6"/>
    </row>
    <row r="24" spans="11:22" x14ac:dyDescent="0.3">
      <c r="P24" s="2" t="s">
        <v>61</v>
      </c>
      <c r="Q24" s="6" t="s">
        <v>62</v>
      </c>
      <c r="R24" s="6" t="s">
        <v>63</v>
      </c>
      <c r="S24" s="6" t="s">
        <v>55</v>
      </c>
      <c r="T24" s="6" t="s">
        <v>56</v>
      </c>
      <c r="U24" s="6" t="s">
        <v>57</v>
      </c>
      <c r="V24" s="6" t="s">
        <v>64</v>
      </c>
    </row>
    <row r="25" spans="11:22" x14ac:dyDescent="0.3">
      <c r="P25" s="2" t="s">
        <v>65</v>
      </c>
      <c r="Q25" s="7">
        <v>2480</v>
      </c>
      <c r="R25" s="6" t="s">
        <v>66</v>
      </c>
      <c r="S25" s="8">
        <f>$Q16/$V16*S16</f>
        <v>1238.3466666666666</v>
      </c>
      <c r="T25" s="8">
        <f t="shared" ref="T25:U25" si="4">$Q16/$V16*T16</f>
        <v>825.01333333333332</v>
      </c>
      <c r="U25" s="8">
        <f t="shared" si="4"/>
        <v>416.64</v>
      </c>
      <c r="V25" s="8">
        <f>SUM(S25:U25)</f>
        <v>2479.9999999999995</v>
      </c>
    </row>
    <row r="26" spans="11:22" x14ac:dyDescent="0.3">
      <c r="P26" s="2" t="s">
        <v>67</v>
      </c>
      <c r="Q26" s="7">
        <v>4099</v>
      </c>
      <c r="R26" s="6" t="s">
        <v>66</v>
      </c>
      <c r="S26" s="8">
        <f t="shared" ref="S26:U29" si="5">$Q17/$V17*S17</f>
        <v>2046.7673333333335</v>
      </c>
      <c r="T26" s="8">
        <f t="shared" si="5"/>
        <v>1363.6006666666667</v>
      </c>
      <c r="U26" s="8">
        <f t="shared" si="5"/>
        <v>688.63200000000006</v>
      </c>
      <c r="V26" s="8">
        <f t="shared" ref="V26:V27" si="6">SUM(S26:U26)</f>
        <v>4099</v>
      </c>
    </row>
    <row r="27" spans="11:22" x14ac:dyDescent="0.3">
      <c r="P27" s="2" t="s">
        <v>68</v>
      </c>
      <c r="Q27" s="7">
        <v>1456</v>
      </c>
      <c r="R27" s="6" t="s">
        <v>66</v>
      </c>
      <c r="S27" s="8">
        <f t="shared" si="5"/>
        <v>727.0293333333334</v>
      </c>
      <c r="T27" s="8">
        <f t="shared" si="5"/>
        <v>484.36266666666666</v>
      </c>
      <c r="U27" s="8">
        <f t="shared" si="5"/>
        <v>244.608</v>
      </c>
      <c r="V27" s="8">
        <f t="shared" si="6"/>
        <v>1456</v>
      </c>
    </row>
    <row r="28" spans="11:22" x14ac:dyDescent="0.3">
      <c r="P28" s="2" t="s">
        <v>69</v>
      </c>
      <c r="Q28" s="7">
        <v>2000</v>
      </c>
      <c r="R28" s="6" t="s">
        <v>47</v>
      </c>
      <c r="S28" s="8">
        <f t="shared" si="5"/>
        <v>1200</v>
      </c>
      <c r="T28" s="8">
        <f t="shared" si="5"/>
        <v>500</v>
      </c>
      <c r="U28" s="8">
        <f t="shared" si="5"/>
        <v>300</v>
      </c>
      <c r="V28" s="8">
        <f>SUM(S28:U28)</f>
        <v>2000</v>
      </c>
    </row>
    <row r="29" spans="11:22" x14ac:dyDescent="0.3">
      <c r="P29" s="2" t="s">
        <v>70</v>
      </c>
      <c r="Q29" s="7">
        <v>1700</v>
      </c>
      <c r="R29" s="6" t="s">
        <v>66</v>
      </c>
      <c r="S29" s="8">
        <f t="shared" si="5"/>
        <v>848.86666666666667</v>
      </c>
      <c r="T29" s="8">
        <f t="shared" si="5"/>
        <v>565.5333333333333</v>
      </c>
      <c r="U29" s="8">
        <f t="shared" si="5"/>
        <v>285.59999999999997</v>
      </c>
      <c r="V29" s="8">
        <f>SUM(S29:U29)</f>
        <v>1700</v>
      </c>
    </row>
    <row r="30" spans="11:22" x14ac:dyDescent="0.3">
      <c r="P30" s="2" t="s">
        <v>64</v>
      </c>
      <c r="Q30" s="7">
        <f>SUM(Q25:Q29)</f>
        <v>11735</v>
      </c>
      <c r="R30" s="6"/>
      <c r="S30" s="8">
        <f t="shared" ref="S30:V30" si="7">SUM(S25:S29)</f>
        <v>6061.01</v>
      </c>
      <c r="T30" s="8">
        <f t="shared" si="7"/>
        <v>3738.5099999999998</v>
      </c>
      <c r="U30" s="8">
        <f t="shared" si="7"/>
        <v>1935.4799999999998</v>
      </c>
      <c r="V30" s="8">
        <f t="shared" si="7"/>
        <v>11735</v>
      </c>
    </row>
    <row r="32" spans="11:22" x14ac:dyDescent="0.3">
      <c r="K32" s="2" t="s">
        <v>71</v>
      </c>
    </row>
    <row r="33" spans="11:19" x14ac:dyDescent="0.3">
      <c r="K33" s="2" t="s">
        <v>14</v>
      </c>
      <c r="L33" s="6" t="s">
        <v>26</v>
      </c>
      <c r="M33" s="6" t="s">
        <v>72</v>
      </c>
      <c r="N33" s="6" t="s">
        <v>28</v>
      </c>
      <c r="O33" s="6" t="s">
        <v>29</v>
      </c>
      <c r="P33" s="6" t="s">
        <v>73</v>
      </c>
      <c r="Q33" s="6" t="s">
        <v>74</v>
      </c>
      <c r="R33" s="6" t="s">
        <v>75</v>
      </c>
      <c r="S33" s="2" t="s">
        <v>76</v>
      </c>
    </row>
    <row r="34" spans="11:19" x14ac:dyDescent="0.3">
      <c r="K34" s="2" t="s">
        <v>55</v>
      </c>
      <c r="L34" s="7">
        <f>N4</f>
        <v>25250</v>
      </c>
      <c r="M34" s="7">
        <f>N10</f>
        <v>8381</v>
      </c>
      <c r="N34" s="7">
        <f>N16</f>
        <v>8366.01</v>
      </c>
      <c r="O34" s="7">
        <f>SUM(L34:N34)</f>
        <v>41997.01</v>
      </c>
      <c r="P34" s="6">
        <v>100</v>
      </c>
      <c r="Q34" s="6"/>
      <c r="R34" s="6">
        <v>20</v>
      </c>
      <c r="S34" s="12">
        <f>O34/P34</f>
        <v>419.9701</v>
      </c>
    </row>
    <row r="35" spans="11:19" x14ac:dyDescent="0.3">
      <c r="K35" s="2" t="s">
        <v>56</v>
      </c>
      <c r="L35" s="7">
        <f t="shared" ref="L35:L36" si="8">N5</f>
        <v>11347</v>
      </c>
      <c r="M35" s="7">
        <f t="shared" ref="M35:M36" si="9">N11</f>
        <v>4604</v>
      </c>
      <c r="N35" s="7">
        <f t="shared" ref="N35:N36" si="10">N17</f>
        <v>4478.51</v>
      </c>
      <c r="O35" s="7">
        <f t="shared" ref="O35:O36" si="11">SUM(L35:N35)</f>
        <v>20429.510000000002</v>
      </c>
      <c r="P35" s="6">
        <v>50</v>
      </c>
      <c r="Q35" s="6"/>
      <c r="R35" s="6"/>
      <c r="S35" s="12">
        <f>O35/P35</f>
        <v>408.59020000000004</v>
      </c>
    </row>
    <row r="36" spans="11:19" x14ac:dyDescent="0.3">
      <c r="K36" s="2" t="s">
        <v>57</v>
      </c>
      <c r="L36" s="7">
        <f t="shared" si="8"/>
        <v>6263</v>
      </c>
      <c r="M36" s="7">
        <f t="shared" si="9"/>
        <v>2066</v>
      </c>
      <c r="N36" s="7">
        <f t="shared" si="10"/>
        <v>1935.4799999999998</v>
      </c>
      <c r="O36" s="7">
        <f t="shared" si="11"/>
        <v>10264.48</v>
      </c>
      <c r="P36" s="6"/>
      <c r="Q36" s="6">
        <v>50</v>
      </c>
      <c r="R36" s="6"/>
    </row>
    <row r="37" spans="11:19" x14ac:dyDescent="0.3">
      <c r="L37" s="6"/>
      <c r="M37" s="6"/>
      <c r="N37" s="6"/>
      <c r="O37" s="6"/>
    </row>
    <row r="38" spans="11:19" x14ac:dyDescent="0.3">
      <c r="K38" s="2" t="s">
        <v>37</v>
      </c>
    </row>
    <row r="39" spans="11:19" x14ac:dyDescent="0.3">
      <c r="K39" s="2" t="s">
        <v>45</v>
      </c>
      <c r="M39" s="13" t="s">
        <v>46</v>
      </c>
    </row>
    <row r="40" spans="11:19" x14ac:dyDescent="0.3">
      <c r="K40" s="2" t="s">
        <v>38</v>
      </c>
      <c r="M40" s="14">
        <f>57600+20000</f>
        <v>77600</v>
      </c>
    </row>
    <row r="41" spans="11:19" x14ac:dyDescent="0.3">
      <c r="K41" s="2" t="s">
        <v>77</v>
      </c>
      <c r="M41" s="14">
        <f>80*S34+50*S35</f>
        <v>54027.118000000002</v>
      </c>
    </row>
    <row r="42" spans="11:19" x14ac:dyDescent="0.3">
      <c r="K42" s="2" t="s">
        <v>78</v>
      </c>
      <c r="M42" s="14">
        <f>M40-M41</f>
        <v>23572.881999999998</v>
      </c>
    </row>
    <row r="43" spans="11:19" x14ac:dyDescent="0.3">
      <c r="K43" s="2" t="s">
        <v>79</v>
      </c>
      <c r="M43" s="14">
        <f>6109+3575+1287+1324</f>
        <v>12295</v>
      </c>
    </row>
    <row r="44" spans="11:19" x14ac:dyDescent="0.3">
      <c r="K44" s="2" t="s">
        <v>80</v>
      </c>
      <c r="M44" s="14">
        <f>4035+2850+1125+695</f>
        <v>8705</v>
      </c>
    </row>
    <row r="45" spans="11:19" x14ac:dyDescent="0.3">
      <c r="K45" s="2" t="s">
        <v>81</v>
      </c>
      <c r="M45" s="14">
        <f>M42-M43-M44</f>
        <v>2572.8819999999978</v>
      </c>
    </row>
    <row r="46" spans="11:19" x14ac:dyDescent="0.3">
      <c r="M46" s="1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FC9F2-9385-4EAB-9884-FF1355F4EFEB}">
  <dimension ref="A1"/>
  <sheetViews>
    <sheetView workbookViewId="0">
      <selection activeCell="B28" sqref="B28"/>
    </sheetView>
  </sheetViews>
  <sheetFormatPr baseColWidth="10" defaultColWidth="11.44140625" defaultRowHeight="14.4" x14ac:dyDescent="0.3"/>
  <cols>
    <col min="1" max="1" width="18.109375" style="2" customWidth="1"/>
    <col min="2" max="7" width="11.44140625" style="2"/>
    <col min="8" max="8" width="2.88671875" style="2" customWidth="1"/>
    <col min="9" max="16384" width="11.44140625" style="2"/>
  </cols>
  <sheetData>
    <row r="1" spans="1:1" x14ac:dyDescent="0.3">
      <c r="A1" s="1" t="s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96990-9C08-446D-A840-6EC145E00BC1}">
  <dimension ref="A1"/>
  <sheetViews>
    <sheetView workbookViewId="0">
      <selection activeCell="J7" sqref="J7"/>
    </sheetView>
  </sheetViews>
  <sheetFormatPr baseColWidth="10" defaultColWidth="11.44140625" defaultRowHeight="14.4" x14ac:dyDescent="0.3"/>
  <cols>
    <col min="1" max="1" width="25.44140625" style="2" customWidth="1"/>
    <col min="2" max="16384" width="11.44140625" style="2"/>
  </cols>
  <sheetData>
    <row r="1" spans="1:1" x14ac:dyDescent="0.3">
      <c r="A1" s="1" t="s">
        <v>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8915-62EA-4252-B1DA-33B9B520796A}">
  <dimension ref="A1"/>
  <sheetViews>
    <sheetView workbookViewId="0">
      <selection activeCell="J9" sqref="J9"/>
    </sheetView>
  </sheetViews>
  <sheetFormatPr baseColWidth="10" defaultColWidth="11.44140625" defaultRowHeight="14.4" x14ac:dyDescent="0.3"/>
  <cols>
    <col min="1" max="1" width="29.109375" style="2" customWidth="1"/>
    <col min="2" max="16384" width="11.44140625" style="2"/>
  </cols>
  <sheetData>
    <row r="1" spans="1:1" x14ac:dyDescent="0.3">
      <c r="A1" s="1" t="s">
        <v>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A10D2-7C24-43EA-8A28-07C21EA6A2E2}">
  <dimension ref="A1"/>
  <sheetViews>
    <sheetView workbookViewId="0">
      <selection activeCell="J9" sqref="J9"/>
    </sheetView>
  </sheetViews>
  <sheetFormatPr baseColWidth="10" defaultColWidth="11.44140625" defaultRowHeight="14.4" x14ac:dyDescent="0.3"/>
  <cols>
    <col min="1" max="1" width="27" style="2" customWidth="1"/>
    <col min="2" max="16384" width="11.44140625" style="2"/>
  </cols>
  <sheetData>
    <row r="1" spans="1:1" x14ac:dyDescent="0.3">
      <c r="A1" s="1" t="s">
        <v>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18" style="2" customWidth="1"/>
    <col min="2" max="16384" width="11.44140625" style="2"/>
  </cols>
  <sheetData>
    <row r="1" spans="1:1" x14ac:dyDescent="0.3">
      <c r="A1" s="1" t="s">
        <v>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18.109375" style="2" customWidth="1"/>
    <col min="2" max="16384" width="11.44140625" style="2"/>
  </cols>
  <sheetData>
    <row r="1" spans="1:1" x14ac:dyDescent="0.3">
      <c r="A1" s="1" t="s">
        <v>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324D-8AD8-400B-ABE0-4FE90EAF8239}">
  <dimension ref="A1:G27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15.109375" style="2" customWidth="1"/>
    <col min="2" max="16384" width="11.44140625" style="2"/>
  </cols>
  <sheetData>
    <row r="1" spans="1:7" x14ac:dyDescent="0.3">
      <c r="A1" s="1" t="s">
        <v>8</v>
      </c>
    </row>
    <row r="6" spans="1:7" x14ac:dyDescent="0.3">
      <c r="C6" s="3"/>
      <c r="D6" s="3"/>
      <c r="E6" s="4"/>
      <c r="F6" s="3"/>
      <c r="G6" s="4"/>
    </row>
    <row r="7" spans="1:7" x14ac:dyDescent="0.3">
      <c r="C7" s="3"/>
      <c r="D7" s="3"/>
      <c r="E7" s="5"/>
      <c r="F7" s="3"/>
      <c r="G7" s="5"/>
    </row>
    <row r="8" spans="1:7" x14ac:dyDescent="0.3">
      <c r="C8" s="3"/>
      <c r="D8" s="3"/>
      <c r="E8" s="4"/>
      <c r="F8" s="3"/>
      <c r="G8" s="4"/>
    </row>
    <row r="9" spans="1:7" x14ac:dyDescent="0.3">
      <c r="C9" s="3"/>
      <c r="D9" s="3"/>
      <c r="F9" s="3"/>
    </row>
    <row r="10" spans="1:7" x14ac:dyDescent="0.3">
      <c r="C10" s="3"/>
      <c r="D10" s="3"/>
      <c r="F10" s="3"/>
    </row>
    <row r="11" spans="1:7" x14ac:dyDescent="0.3">
      <c r="C11" s="3"/>
    </row>
    <row r="12" spans="1:7" x14ac:dyDescent="0.3">
      <c r="C12" s="3"/>
    </row>
    <row r="15" spans="1:7" x14ac:dyDescent="0.3">
      <c r="C15" s="6"/>
      <c r="D15" s="6"/>
    </row>
    <row r="16" spans="1:7" x14ac:dyDescent="0.3">
      <c r="C16" s="7"/>
      <c r="D16" s="7"/>
    </row>
    <row r="17" spans="3:4" x14ac:dyDescent="0.3">
      <c r="C17" s="7"/>
      <c r="D17" s="7"/>
    </row>
    <row r="18" spans="3:4" x14ac:dyDescent="0.3">
      <c r="C18" s="7"/>
      <c r="D18" s="7"/>
    </row>
    <row r="24" spans="3:4" x14ac:dyDescent="0.3">
      <c r="D24" s="3"/>
    </row>
    <row r="25" spans="3:4" x14ac:dyDescent="0.3">
      <c r="D25" s="3"/>
    </row>
    <row r="26" spans="3:4" x14ac:dyDescent="0.3">
      <c r="D26" s="3"/>
    </row>
    <row r="27" spans="3:4" x14ac:dyDescent="0.3">
      <c r="D27" s="3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CB10-89AC-4B3F-8046-387F14565DDA}">
  <dimension ref="A1"/>
  <sheetViews>
    <sheetView workbookViewId="0">
      <selection activeCell="A2" sqref="A2"/>
    </sheetView>
  </sheetViews>
  <sheetFormatPr baseColWidth="10" defaultColWidth="11.44140625" defaultRowHeight="14.4" x14ac:dyDescent="0.3"/>
  <cols>
    <col min="1" max="16384" width="11.44140625" style="2"/>
  </cols>
  <sheetData>
    <row r="1" spans="1:1" x14ac:dyDescent="0.3">
      <c r="A1" s="1" t="s">
        <v>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4B63-DD4F-4849-9839-8C039B544238}">
  <dimension ref="A1"/>
  <sheetViews>
    <sheetView workbookViewId="0">
      <selection activeCell="A2" sqref="A2"/>
    </sheetView>
  </sheetViews>
  <sheetFormatPr baseColWidth="10" defaultColWidth="11.44140625" defaultRowHeight="14.4" x14ac:dyDescent="0.3"/>
  <cols>
    <col min="1" max="16384" width="11.44140625" style="2"/>
  </cols>
  <sheetData>
    <row r="1" spans="1:1" x14ac:dyDescent="0.3">
      <c r="A1" s="1" t="s">
        <v>10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433B1-DA09-4B8B-B173-628A445BBDEC}">
  <dimension ref="A1"/>
  <sheetViews>
    <sheetView workbookViewId="0">
      <selection activeCell="A2" sqref="A2"/>
    </sheetView>
  </sheetViews>
  <sheetFormatPr baseColWidth="10" defaultColWidth="11.44140625" defaultRowHeight="14.4" x14ac:dyDescent="0.3"/>
  <cols>
    <col min="1" max="16384" width="11.44140625" style="2"/>
  </cols>
  <sheetData>
    <row r="1" spans="1:1" x14ac:dyDescent="0.3">
      <c r="A1" s="1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P01</vt:lpstr>
      <vt:lpstr>P02</vt:lpstr>
      <vt:lpstr>P03</vt:lpstr>
      <vt:lpstr>P04</vt:lpstr>
      <vt:lpstr>P05</vt:lpstr>
      <vt:lpstr>P06</vt:lpstr>
      <vt:lpstr>P07</vt:lpstr>
      <vt:lpstr>P08</vt:lpstr>
      <vt:lpstr>P09</vt:lpstr>
      <vt:lpstr>P10</vt:lpstr>
      <vt:lpstr>P11</vt:lpstr>
      <vt:lpstr>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Oria</dc:creator>
  <cp:lastModifiedBy>William Oria</cp:lastModifiedBy>
  <dcterms:created xsi:type="dcterms:W3CDTF">2020-06-08T14:09:21Z</dcterms:created>
  <dcterms:modified xsi:type="dcterms:W3CDTF">2025-10-30T22:50:25Z</dcterms:modified>
</cp:coreProperties>
</file>