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IIS UNI 2024 02\GE605U 2024 02\Semana 05\"/>
    </mc:Choice>
  </mc:AlternateContent>
  <xr:revisionPtr revIDLastSave="0" documentId="13_ncr:1_{054480DD-4FC4-4FCF-B328-859D24E59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" sheetId="1" r:id="rId1"/>
    <sheet name="Maestros" sheetId="2" r:id="rId2"/>
    <sheet name="Planilla Remunerac" sheetId="13" r:id="rId3"/>
    <sheet name="01 Material Directo" sheetId="7" r:id="rId4"/>
    <sheet name="02 Servicio Directo" sheetId="9" r:id="rId5"/>
    <sheet name="03 Mano Obra Directa" sheetId="8" r:id="rId6"/>
    <sheet name="Costeo Indirectos" sheetId="10" r:id="rId7"/>
    <sheet name="CI 4A" sheetId="3" r:id="rId8"/>
    <sheet name="CI 4B" sheetId="4" r:id="rId9"/>
    <sheet name="CI 4C" sheetId="14" r:id="rId10"/>
    <sheet name="CI 4D" sheetId="16" r:id="rId11"/>
    <sheet name="Resumen Costos" sheetId="1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6" l="1"/>
  <c r="C30" i="16"/>
  <c r="C22" i="16"/>
  <c r="C14" i="16"/>
  <c r="C6" i="16"/>
  <c r="G42" i="14" l="1"/>
  <c r="K42" i="14" s="1"/>
  <c r="F42" i="14"/>
  <c r="J41" i="14"/>
  <c r="I41" i="14"/>
  <c r="H41" i="14"/>
  <c r="J40" i="14"/>
  <c r="I40" i="14"/>
  <c r="H40" i="14"/>
  <c r="G40" i="14"/>
  <c r="F40" i="14"/>
  <c r="J39" i="14"/>
  <c r="I39" i="14"/>
  <c r="H39" i="14"/>
  <c r="J38" i="14"/>
  <c r="I38" i="14"/>
  <c r="H38" i="14"/>
  <c r="K38" i="14" s="1"/>
  <c r="J37" i="14"/>
  <c r="I37" i="14"/>
  <c r="H37" i="14"/>
  <c r="G37" i="14"/>
  <c r="F37" i="14"/>
  <c r="K37" i="14" s="1"/>
  <c r="J36" i="14"/>
  <c r="I36" i="14"/>
  <c r="H36" i="14"/>
  <c r="G36" i="14"/>
  <c r="K36" i="14" s="1"/>
  <c r="F36" i="14"/>
  <c r="K43" i="14"/>
  <c r="K41" i="14"/>
  <c r="C43" i="14"/>
  <c r="C42" i="14"/>
  <c r="C41" i="14"/>
  <c r="C40" i="14"/>
  <c r="C39" i="14"/>
  <c r="C38" i="14"/>
  <c r="C37" i="14"/>
  <c r="C36" i="14"/>
  <c r="N31" i="4"/>
  <c r="N30" i="4"/>
  <c r="N29" i="4"/>
  <c r="N28" i="4"/>
  <c r="C31" i="4"/>
  <c r="C30" i="4"/>
  <c r="C29" i="4"/>
  <c r="C28" i="4"/>
  <c r="K39" i="14" l="1"/>
  <c r="K40" i="14"/>
  <c r="W48" i="3"/>
  <c r="W47" i="3"/>
  <c r="W46" i="3"/>
  <c r="W45" i="3"/>
  <c r="W44" i="3"/>
  <c r="W43" i="3"/>
  <c r="W42" i="3"/>
  <c r="W41" i="3"/>
  <c r="W40" i="3"/>
  <c r="W39" i="3"/>
  <c r="C48" i="3"/>
  <c r="C47" i="3"/>
  <c r="C46" i="3"/>
  <c r="C45" i="3"/>
  <c r="C44" i="3"/>
  <c r="C43" i="3"/>
  <c r="C42" i="3"/>
  <c r="C41" i="3"/>
  <c r="C40" i="3"/>
  <c r="C39" i="3"/>
  <c r="M37" i="2"/>
  <c r="M36" i="2"/>
  <c r="M35" i="2"/>
  <c r="M34" i="2"/>
  <c r="M33" i="2"/>
  <c r="M32" i="2"/>
  <c r="M31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C47" i="2"/>
  <c r="B51" i="14" l="1"/>
  <c r="A40" i="14"/>
  <c r="A53" i="14" s="1"/>
  <c r="A38" i="14"/>
  <c r="A51" i="14" s="1"/>
  <c r="G12" i="14"/>
  <c r="J35" i="14" s="1"/>
  <c r="J48" i="14" s="1"/>
  <c r="F12" i="14"/>
  <c r="I35" i="14" s="1"/>
  <c r="I48" i="14" s="1"/>
  <c r="E12" i="14"/>
  <c r="H35" i="14" s="1"/>
  <c r="H48" i="14" s="1"/>
  <c r="D12" i="14"/>
  <c r="G35" i="14" s="1"/>
  <c r="G48" i="14" s="1"/>
  <c r="C12" i="14"/>
  <c r="F35" i="14" s="1"/>
  <c r="F48" i="14" s="1"/>
  <c r="G11" i="14"/>
  <c r="J34" i="14" s="1"/>
  <c r="J47" i="14" s="1"/>
  <c r="F11" i="14"/>
  <c r="I34" i="14" s="1"/>
  <c r="I47" i="14" s="1"/>
  <c r="E11" i="14"/>
  <c r="H34" i="14" s="1"/>
  <c r="H47" i="14" s="1"/>
  <c r="D11" i="14"/>
  <c r="G34" i="14" s="1"/>
  <c r="G47" i="14" s="1"/>
  <c r="C11" i="14"/>
  <c r="F34" i="14" s="1"/>
  <c r="F47" i="14" s="1"/>
  <c r="B20" i="14"/>
  <c r="A20" i="14"/>
  <c r="A31" i="14" s="1"/>
  <c r="A43" i="14" s="1"/>
  <c r="A56" i="14" s="1"/>
  <c r="B19" i="14"/>
  <c r="B30" i="14" s="1"/>
  <c r="B42" i="14" s="1"/>
  <c r="B55" i="14" s="1"/>
  <c r="A19" i="14"/>
  <c r="A30" i="14" s="1"/>
  <c r="A42" i="14" s="1"/>
  <c r="A55" i="14" s="1"/>
  <c r="B18" i="14"/>
  <c r="B29" i="14" s="1"/>
  <c r="B41" i="14" s="1"/>
  <c r="B54" i="14" s="1"/>
  <c r="A18" i="14"/>
  <c r="A29" i="14" s="1"/>
  <c r="A41" i="14" s="1"/>
  <c r="A54" i="14" s="1"/>
  <c r="B17" i="14"/>
  <c r="B28" i="14" s="1"/>
  <c r="B40" i="14" s="1"/>
  <c r="B53" i="14" s="1"/>
  <c r="A17" i="14"/>
  <c r="A28" i="14" s="1"/>
  <c r="B16" i="14"/>
  <c r="B27" i="14" s="1"/>
  <c r="B39" i="14" s="1"/>
  <c r="B52" i="14" s="1"/>
  <c r="A16" i="14"/>
  <c r="A27" i="14" s="1"/>
  <c r="A39" i="14" s="1"/>
  <c r="A52" i="14" s="1"/>
  <c r="B15" i="14"/>
  <c r="B26" i="14" s="1"/>
  <c r="B38" i="14" s="1"/>
  <c r="A15" i="14"/>
  <c r="A26" i="14" s="1"/>
  <c r="B14" i="14"/>
  <c r="A14" i="14"/>
  <c r="B13" i="14"/>
  <c r="B24" i="14" s="1"/>
  <c r="B36" i="14" s="1"/>
  <c r="A13" i="14"/>
  <c r="A24" i="14" s="1"/>
  <c r="A36" i="14" s="1"/>
  <c r="I36" i="4"/>
  <c r="B39" i="4"/>
  <c r="A39" i="4"/>
  <c r="F26" i="4"/>
  <c r="F35" i="4" s="1"/>
  <c r="J12" i="4"/>
  <c r="M27" i="4" s="1"/>
  <c r="M36" i="4" s="1"/>
  <c r="I12" i="4"/>
  <c r="L27" i="4" s="1"/>
  <c r="L36" i="4" s="1"/>
  <c r="H12" i="4"/>
  <c r="K27" i="4" s="1"/>
  <c r="K36" i="4" s="1"/>
  <c r="G12" i="4"/>
  <c r="J27" i="4" s="1"/>
  <c r="J36" i="4" s="1"/>
  <c r="F12" i="4"/>
  <c r="I27" i="4" s="1"/>
  <c r="E12" i="4"/>
  <c r="H27" i="4" s="1"/>
  <c r="H36" i="4" s="1"/>
  <c r="D12" i="4"/>
  <c r="G27" i="4" s="1"/>
  <c r="G36" i="4" s="1"/>
  <c r="C12" i="4"/>
  <c r="F27" i="4" s="1"/>
  <c r="F36" i="4" s="1"/>
  <c r="J11" i="4"/>
  <c r="M26" i="4" s="1"/>
  <c r="M35" i="4" s="1"/>
  <c r="I11" i="4"/>
  <c r="L26" i="4" s="1"/>
  <c r="L35" i="4" s="1"/>
  <c r="H11" i="4"/>
  <c r="K26" i="4" s="1"/>
  <c r="K35" i="4" s="1"/>
  <c r="G11" i="4"/>
  <c r="J26" i="4" s="1"/>
  <c r="J35" i="4" s="1"/>
  <c r="F11" i="4"/>
  <c r="I26" i="4" s="1"/>
  <c r="I35" i="4" s="1"/>
  <c r="E11" i="4"/>
  <c r="H26" i="4" s="1"/>
  <c r="H35" i="4" s="1"/>
  <c r="D11" i="4"/>
  <c r="G26" i="4" s="1"/>
  <c r="G35" i="4" s="1"/>
  <c r="C11" i="4"/>
  <c r="B16" i="4"/>
  <c r="B23" i="4" s="1"/>
  <c r="B31" i="4" s="1"/>
  <c r="B40" i="4" s="1"/>
  <c r="B15" i="4"/>
  <c r="B22" i="4" s="1"/>
  <c r="B30" i="4" s="1"/>
  <c r="B14" i="4"/>
  <c r="B21" i="4" s="1"/>
  <c r="B29" i="4" s="1"/>
  <c r="B38" i="4" s="1"/>
  <c r="B13" i="4"/>
  <c r="B20" i="4" s="1"/>
  <c r="B28" i="4" s="1"/>
  <c r="B37" i="4" s="1"/>
  <c r="A16" i="4"/>
  <c r="A23" i="4" s="1"/>
  <c r="A31" i="4" s="1"/>
  <c r="A40" i="4" s="1"/>
  <c r="A15" i="4"/>
  <c r="A22" i="4" s="1"/>
  <c r="A30" i="4" s="1"/>
  <c r="A14" i="4"/>
  <c r="A21" i="4" s="1"/>
  <c r="A29" i="4" s="1"/>
  <c r="A38" i="4" s="1"/>
  <c r="A13" i="4"/>
  <c r="A20" i="4" s="1"/>
  <c r="A28" i="4" s="1"/>
  <c r="A37" i="4" s="1"/>
  <c r="B34" i="3"/>
  <c r="B47" i="3" s="1"/>
  <c r="B22" i="3"/>
  <c r="B35" i="3" s="1"/>
  <c r="B48" i="3" s="1"/>
  <c r="B21" i="3"/>
  <c r="B20" i="3"/>
  <c r="B33" i="3" s="1"/>
  <c r="B46" i="3" s="1"/>
  <c r="B19" i="3"/>
  <c r="B32" i="3" s="1"/>
  <c r="B45" i="3" s="1"/>
  <c r="B18" i="3"/>
  <c r="B31" i="3" s="1"/>
  <c r="B44" i="3" s="1"/>
  <c r="B17" i="3"/>
  <c r="B30" i="3" s="1"/>
  <c r="B43" i="3" s="1"/>
  <c r="B16" i="3"/>
  <c r="B29" i="3" s="1"/>
  <c r="B42" i="3" s="1"/>
  <c r="B15" i="3"/>
  <c r="B28" i="3" s="1"/>
  <c r="B41" i="3" s="1"/>
  <c r="B14" i="3"/>
  <c r="B27" i="3" s="1"/>
  <c r="B40" i="3" s="1"/>
  <c r="B13" i="3"/>
  <c r="B26" i="3" s="1"/>
  <c r="B39" i="3" s="1"/>
  <c r="G10" i="9"/>
  <c r="G27" i="9" s="1"/>
  <c r="C41" i="16" s="1"/>
  <c r="F9" i="9"/>
  <c r="F27" i="9" s="1"/>
  <c r="C33" i="16" s="1"/>
  <c r="E11" i="9"/>
  <c r="E8" i="9"/>
  <c r="E27" i="9" s="1"/>
  <c r="C25" i="16" s="1"/>
  <c r="D12" i="9"/>
  <c r="D10" i="9"/>
  <c r="D7" i="9"/>
  <c r="C11" i="9"/>
  <c r="C8" i="9"/>
  <c r="C7" i="9"/>
  <c r="C6" i="9"/>
  <c r="B12" i="9"/>
  <c r="B26" i="9" s="1"/>
  <c r="B11" i="9"/>
  <c r="B25" i="9" s="1"/>
  <c r="B10" i="9"/>
  <c r="B24" i="9" s="1"/>
  <c r="B9" i="9"/>
  <c r="B23" i="9" s="1"/>
  <c r="B8" i="9"/>
  <c r="B22" i="9" s="1"/>
  <c r="B7" i="9"/>
  <c r="B21" i="9" s="1"/>
  <c r="B6" i="9"/>
  <c r="B20" i="9" s="1"/>
  <c r="A12" i="9"/>
  <c r="A11" i="9"/>
  <c r="A10" i="9"/>
  <c r="A24" i="9" s="1"/>
  <c r="A9" i="9"/>
  <c r="A23" i="9" s="1"/>
  <c r="A8" i="9"/>
  <c r="A7" i="9"/>
  <c r="A6" i="9"/>
  <c r="A20" i="9" s="1"/>
  <c r="H51" i="13"/>
  <c r="J26" i="8" s="1"/>
  <c r="K26" i="8" s="1"/>
  <c r="H50" i="13"/>
  <c r="J25" i="8" s="1"/>
  <c r="K25" i="8" s="1"/>
  <c r="H49" i="13"/>
  <c r="J24" i="8" s="1"/>
  <c r="K24" i="8" s="1"/>
  <c r="H48" i="13"/>
  <c r="J23" i="8" s="1"/>
  <c r="K23" i="8" s="1"/>
  <c r="H47" i="13"/>
  <c r="H46" i="13"/>
  <c r="J22" i="8" s="1"/>
  <c r="K22" i="8" s="1"/>
  <c r="H45" i="13"/>
  <c r="J21" i="8" s="1"/>
  <c r="K21" i="8" s="1"/>
  <c r="H44" i="13"/>
  <c r="J20" i="8" s="1"/>
  <c r="K20" i="8" s="1"/>
  <c r="H43" i="13"/>
  <c r="H42" i="13"/>
  <c r="J19" i="8" s="1"/>
  <c r="K19" i="8" s="1"/>
  <c r="H41" i="13"/>
  <c r="J18" i="8" s="1"/>
  <c r="K18" i="8" s="1"/>
  <c r="H40" i="13"/>
  <c r="J17" i="8" s="1"/>
  <c r="K17" i="8" s="1"/>
  <c r="H39" i="13"/>
  <c r="H38" i="13"/>
  <c r="J16" i="8" s="1"/>
  <c r="K16" i="8" s="1"/>
  <c r="H37" i="13"/>
  <c r="H36" i="13"/>
  <c r="J15" i="8" s="1"/>
  <c r="K15" i="8" s="1"/>
  <c r="H35" i="13"/>
  <c r="H34" i="13"/>
  <c r="J14" i="8" s="1"/>
  <c r="K14" i="8" s="1"/>
  <c r="H33" i="13"/>
  <c r="J13" i="8" s="1"/>
  <c r="K13" i="8" s="1"/>
  <c r="H32" i="13"/>
  <c r="H31" i="13"/>
  <c r="J12" i="8" s="1"/>
  <c r="K12" i="8" s="1"/>
  <c r="H30" i="13"/>
  <c r="J11" i="8" s="1"/>
  <c r="K11" i="8" s="1"/>
  <c r="H29" i="13"/>
  <c r="H28" i="13"/>
  <c r="J10" i="8" s="1"/>
  <c r="K10" i="8" s="1"/>
  <c r="H27" i="13"/>
  <c r="J9" i="8" s="1"/>
  <c r="K9" i="8" s="1"/>
  <c r="H26" i="13"/>
  <c r="J8" i="8" s="1"/>
  <c r="K8" i="8" s="1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G46" i="13"/>
  <c r="G38" i="13"/>
  <c r="G35" i="13"/>
  <c r="G33" i="13"/>
  <c r="G32" i="13"/>
  <c r="G30" i="13"/>
  <c r="G25" i="13"/>
  <c r="G22" i="13"/>
  <c r="G14" i="13"/>
  <c r="G6" i="13"/>
  <c r="G47" i="13"/>
  <c r="G39" i="13"/>
  <c r="G31" i="13"/>
  <c r="G23" i="13"/>
  <c r="G15" i="13"/>
  <c r="G7" i="13"/>
  <c r="G51" i="13"/>
  <c r="G50" i="13"/>
  <c r="G49" i="13"/>
  <c r="G48" i="13"/>
  <c r="G45" i="13"/>
  <c r="G43" i="13"/>
  <c r="G42" i="13"/>
  <c r="G41" i="13"/>
  <c r="G40" i="13"/>
  <c r="G37" i="13"/>
  <c r="G34" i="13"/>
  <c r="G29" i="13"/>
  <c r="G27" i="13"/>
  <c r="G26" i="13"/>
  <c r="G24" i="13"/>
  <c r="G21" i="13"/>
  <c r="G19" i="13"/>
  <c r="G18" i="13"/>
  <c r="G17" i="13"/>
  <c r="G16" i="13"/>
  <c r="G13" i="13"/>
  <c r="G11" i="13"/>
  <c r="G10" i="13"/>
  <c r="G9" i="13"/>
  <c r="G8" i="13"/>
  <c r="G5" i="13"/>
  <c r="G3" i="13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X55" i="3" l="1"/>
  <c r="X58" i="3"/>
  <c r="C27" i="9"/>
  <c r="D27" i="9"/>
  <c r="X56" i="3"/>
  <c r="X54" i="3"/>
  <c r="X59" i="3"/>
  <c r="X62" i="3"/>
  <c r="X60" i="3"/>
  <c r="X61" i="3"/>
  <c r="X57" i="3"/>
  <c r="B49" i="14"/>
  <c r="A25" i="14"/>
  <c r="B25" i="14"/>
  <c r="A49" i="14"/>
  <c r="B31" i="14"/>
  <c r="A25" i="9"/>
  <c r="A21" i="9"/>
  <c r="A22" i="9"/>
  <c r="A26" i="9"/>
  <c r="G4" i="13"/>
  <c r="G12" i="13"/>
  <c r="G20" i="13"/>
  <c r="G28" i="13"/>
  <c r="G36" i="13"/>
  <c r="G44" i="13"/>
  <c r="C17" i="16" l="1"/>
  <c r="F30" i="9"/>
  <c r="C9" i="16"/>
  <c r="F31" i="9"/>
  <c r="X53" i="3"/>
  <c r="B37" i="14"/>
  <c r="B50" i="14" s="1"/>
  <c r="A37" i="14"/>
  <c r="A50" i="14" s="1"/>
  <c r="B43" i="14"/>
  <c r="B56" i="14" s="1"/>
  <c r="C18" i="2"/>
  <c r="C8" i="16" l="1"/>
  <c r="C7" i="16"/>
  <c r="C15" i="16"/>
  <c r="C16" i="16" l="1"/>
  <c r="C23" i="16"/>
  <c r="C32" i="16" l="1"/>
  <c r="C24" i="16"/>
  <c r="C34" i="16"/>
  <c r="I59" i="14"/>
  <c r="C42" i="16"/>
  <c r="C31" i="16"/>
  <c r="C39" i="16"/>
  <c r="C40" i="16" l="1"/>
  <c r="C26" i="16"/>
  <c r="H59" i="14"/>
  <c r="C10" i="16"/>
  <c r="I62" i="14"/>
  <c r="F59" i="14"/>
  <c r="C18" i="16"/>
  <c r="I61" i="14"/>
  <c r="G55" i="8"/>
  <c r="C35" i="16"/>
  <c r="C36" i="16" s="1"/>
  <c r="G56" i="8"/>
  <c r="C43" i="16" l="1"/>
  <c r="C11" i="16"/>
  <c r="C12" i="16" s="1"/>
  <c r="C19" i="16"/>
  <c r="K7" i="17"/>
  <c r="C27" i="16"/>
  <c r="C28" i="16" s="1"/>
  <c r="K6" i="17" l="1"/>
  <c r="K8" i="17"/>
  <c r="K5" i="17"/>
  <c r="I11" i="17"/>
  <c r="K4" i="17"/>
  <c r="I10" i="17"/>
</calcChain>
</file>

<file path=xl/sharedStrings.xml><?xml version="1.0" encoding="utf-8"?>
<sst xmlns="http://schemas.openxmlformats.org/spreadsheetml/2006/main" count="1067" uniqueCount="299">
  <si>
    <t>DATA PARA CALCULO:</t>
  </si>
  <si>
    <t>TABLA DE ELEMENTO DE COSTO</t>
  </si>
  <si>
    <t>Código</t>
  </si>
  <si>
    <t>Descripción</t>
  </si>
  <si>
    <t xml:space="preserve">PERIODO DE COSTEO: </t>
  </si>
  <si>
    <t>MES</t>
  </si>
  <si>
    <t>Costo S/.</t>
  </si>
  <si>
    <t>EC1</t>
  </si>
  <si>
    <t>EC2</t>
  </si>
  <si>
    <t>EC3</t>
  </si>
  <si>
    <t>EC4</t>
  </si>
  <si>
    <t>EC5</t>
  </si>
  <si>
    <t>EC6</t>
  </si>
  <si>
    <t>EC7</t>
  </si>
  <si>
    <t>EC8</t>
  </si>
  <si>
    <t>EC9</t>
  </si>
  <si>
    <t>EC10</t>
  </si>
  <si>
    <t>Mano Obra Indirecta</t>
  </si>
  <si>
    <t>Materiales indirectos</t>
  </si>
  <si>
    <t>Energía eléctrica</t>
  </si>
  <si>
    <t>Agua</t>
  </si>
  <si>
    <t>Teléfono</t>
  </si>
  <si>
    <t>Internet</t>
  </si>
  <si>
    <t>Mantenimiento</t>
  </si>
  <si>
    <t>Seguros</t>
  </si>
  <si>
    <t>Alquileres</t>
  </si>
  <si>
    <t>Impuestos prediales</t>
  </si>
  <si>
    <t>Total</t>
  </si>
  <si>
    <t>TABLA DE OBJETOS DE COSTOS</t>
  </si>
  <si>
    <t>Cocina chica</t>
  </si>
  <si>
    <t>Cocina grande</t>
  </si>
  <si>
    <t>Refrigeradora chica</t>
  </si>
  <si>
    <t>Refrigeradora mediana</t>
  </si>
  <si>
    <t>Refrigeradora grande</t>
  </si>
  <si>
    <t>Procedimiento:</t>
  </si>
  <si>
    <t>TOTAL</t>
  </si>
  <si>
    <t>COSTO TOTAL</t>
  </si>
  <si>
    <t>RESUMEN DE COSTOS</t>
  </si>
  <si>
    <t>METODOLOGIA DE COSTEO TRADICIONAL</t>
  </si>
  <si>
    <t>PROCESO 1: CALCULO DEL COSTO DE LOS MATERIALES DIRECTOS A CADA ORDEN DE TRABAJO</t>
  </si>
  <si>
    <t>PROCESO 2: CALCULO DEL COSTO DE LOS SERVICIOS DIRECTOS A CADA ORDEN DE TRABAJO</t>
  </si>
  <si>
    <t>PROCESO 3: CALCULO DEL COSTO DE LA MANO DE OBRA DIRECTA A CADA ORDEN DE TRABAJO</t>
  </si>
  <si>
    <t>PROCESO 4: CALCULO DEL COSTO DE LOS COSTOS INDIRECTOS A CADA ORDEN DE TRABAJO</t>
  </si>
  <si>
    <t xml:space="preserve">                        PROCESO 4A: CALCULO DEL ELEMENTO DE COSTO A CADA CENTRO DE COSTO (Función Contable)</t>
  </si>
  <si>
    <t xml:space="preserve">                        PROCESO 4c: CALCULO DEL COSTO DE CADA OT A CADA OBJETO DE COSTO SEGÚN NECESIDAD (Función Costos)</t>
  </si>
  <si>
    <t>METODOLOGIA DE COSTEO TRADICIONAL: SISTEMA DE COSTEO POR ORDENES DE TRABAJO</t>
  </si>
  <si>
    <t>TABLA DE CENTROS DE COSTOS</t>
  </si>
  <si>
    <t>CCA1</t>
  </si>
  <si>
    <t>CCA2</t>
  </si>
  <si>
    <t>CCV1</t>
  </si>
  <si>
    <t>CCV2</t>
  </si>
  <si>
    <t>CCP1</t>
  </si>
  <si>
    <t>CCP2</t>
  </si>
  <si>
    <t>CCP3</t>
  </si>
  <si>
    <t>Gerencia General</t>
  </si>
  <si>
    <t>Administración</t>
  </si>
  <si>
    <t>Gerencia Ventas</t>
  </si>
  <si>
    <t>Ventas</t>
  </si>
  <si>
    <t>Gerencia Producción</t>
  </si>
  <si>
    <t>Almacenes fábrica</t>
  </si>
  <si>
    <t>OT1</t>
  </si>
  <si>
    <t>OT2</t>
  </si>
  <si>
    <t>OT3</t>
  </si>
  <si>
    <t>Estado</t>
  </si>
  <si>
    <t>Terminado</t>
  </si>
  <si>
    <t>Proceso</t>
  </si>
  <si>
    <t>HH</t>
  </si>
  <si>
    <t>HM</t>
  </si>
  <si>
    <t>Unidades</t>
  </si>
  <si>
    <t>1) Elaborar matriz de configuración de EC - CC</t>
  </si>
  <si>
    <t xml:space="preserve">    Identificar que centros de costos consumen cada elemento de costo, o que elementos de costos son consumidos por los centros de costos</t>
  </si>
  <si>
    <t>2) Identificar los criterios de reparto para cada EC (criterios de reparto de los elementos de costos hacía los centros de costos)</t>
  </si>
  <si>
    <t>3) Identificar los valores del criterio de reparto de cada elemento de costo por cada centro de costo</t>
  </si>
  <si>
    <t>Matriz de configuración EC-CC</t>
  </si>
  <si>
    <t>Matriz de Criterios de Reparto por Elemento de Costo</t>
  </si>
  <si>
    <t>Matriz de Valores de Criterios de Reparto por EC</t>
  </si>
  <si>
    <t>CALCULO DEL COSTO DE CADA ELEMENTO DE COSTO EN CADA CENTRO DE COSTO</t>
  </si>
  <si>
    <t xml:space="preserve">                        PROCESO 4b: CALCULO DEL COSTO DEL ELEMENTO DE COSTO DE CADA CENTRO DE COSTO APOYO A CADA CADA CC PRODUCTIVO (Función Costos)</t>
  </si>
  <si>
    <t xml:space="preserve">                        PROCESO 4b: CALCULO DEL COSTO DEL ELEMENTO DE COSTO DE CADA CENTRO DE COSTO PRODUCTIVO A CADA OT (Función Costos)</t>
  </si>
  <si>
    <t>OT4</t>
  </si>
  <si>
    <t>OT5</t>
  </si>
  <si>
    <t>Materiales</t>
  </si>
  <si>
    <t>Unidad Consumo</t>
  </si>
  <si>
    <t>Unid</t>
  </si>
  <si>
    <t>Incluye desperdicios</t>
  </si>
  <si>
    <t>EMPRESA: METAL MECANICA DE ELECTROMESTICOS</t>
  </si>
  <si>
    <t>PRODUCCION DE DIVERSOS MODELOS DE REFRIGERADORAS Y COCINAS</t>
  </si>
  <si>
    <t>CCA3</t>
  </si>
  <si>
    <t>Planeamiento Producción</t>
  </si>
  <si>
    <t>CCV3</t>
  </si>
  <si>
    <t>Almacen Productos</t>
  </si>
  <si>
    <t>Mecanica</t>
  </si>
  <si>
    <t>Pintura</t>
  </si>
  <si>
    <t>Plasticos</t>
  </si>
  <si>
    <t>Aislamiento</t>
  </si>
  <si>
    <t>CCP4</t>
  </si>
  <si>
    <t>Sub conjuntos</t>
  </si>
  <si>
    <t>CCP5</t>
  </si>
  <si>
    <t>Ensamble Refrigeradoras</t>
  </si>
  <si>
    <t>CCP6</t>
  </si>
  <si>
    <t>Ensamble Cocinas</t>
  </si>
  <si>
    <t>CCP7</t>
  </si>
  <si>
    <t>Acabado y Embalajes</t>
  </si>
  <si>
    <t>OT 1</t>
  </si>
  <si>
    <t>Cocina Chica</t>
  </si>
  <si>
    <t>Cocina Grande</t>
  </si>
  <si>
    <t>Refrigeradora Chica</t>
  </si>
  <si>
    <t>Refrigeradora Mediana</t>
  </si>
  <si>
    <t>Refrigeradora Grande</t>
  </si>
  <si>
    <t>CONSUMO DE MATERIALES DIRECTOS POR ORDEN DE TRABAJO</t>
  </si>
  <si>
    <t>CALCULO DEL COSTO TOTAL DE MATERIAL DIRECTO POR ORDEN DE TRABAJO</t>
  </si>
  <si>
    <t>Plancha de acero</t>
  </si>
  <si>
    <t>Kg</t>
  </si>
  <si>
    <t>Soldadura</t>
  </si>
  <si>
    <t>Hornillas</t>
  </si>
  <si>
    <t>Poliuretano</t>
  </si>
  <si>
    <t>Tornillos</t>
  </si>
  <si>
    <t>Remaches</t>
  </si>
  <si>
    <t>Conjunto eléctrico</t>
  </si>
  <si>
    <t>Vidrio</t>
  </si>
  <si>
    <t>Etiquetas</t>
  </si>
  <si>
    <t>Caja Refrigeradora Grande</t>
  </si>
  <si>
    <t>Caja Refrigeradora Chica</t>
  </si>
  <si>
    <t>Caja Refrigeradora Mediana</t>
  </si>
  <si>
    <t>Caja Cocina Grande</t>
  </si>
  <si>
    <t>Caja Cocina Chica</t>
  </si>
  <si>
    <t>Manual de uso cocina</t>
  </si>
  <si>
    <t>Manual de uso refrigeradora</t>
  </si>
  <si>
    <t>Horno chico</t>
  </si>
  <si>
    <t>Horno grande</t>
  </si>
  <si>
    <t>Resorte</t>
  </si>
  <si>
    <t>Conj</t>
  </si>
  <si>
    <t>Pieza</t>
  </si>
  <si>
    <t>TABLA MAESTRO DE MATERIALES</t>
  </si>
  <si>
    <t>UC</t>
  </si>
  <si>
    <t>US</t>
  </si>
  <si>
    <t>Cto Unit S/.</t>
  </si>
  <si>
    <t>Conversion</t>
  </si>
  <si>
    <t>Ciento</t>
  </si>
  <si>
    <t>Und</t>
  </si>
  <si>
    <t>Cto S/. UC</t>
  </si>
  <si>
    <t>Bolsa (100)</t>
  </si>
  <si>
    <t>Bolsa (50)</t>
  </si>
  <si>
    <t>Envase (50)</t>
  </si>
  <si>
    <t>Pl (75)</t>
  </si>
  <si>
    <t>Pza</t>
  </si>
  <si>
    <t>Paq (100)</t>
  </si>
  <si>
    <t>Paq (12)</t>
  </si>
  <si>
    <t>PLANILLA DE REMUNERACIONES MENSUAL</t>
  </si>
  <si>
    <t>Personal</t>
  </si>
  <si>
    <t>Gerente General</t>
  </si>
  <si>
    <t>Cargas</t>
  </si>
  <si>
    <t>Beneficios</t>
  </si>
  <si>
    <t>Horas Efectivas</t>
  </si>
  <si>
    <t>Costo Hora S/.</t>
  </si>
  <si>
    <t>Secretaria</t>
  </si>
  <si>
    <t>Contador</t>
  </si>
  <si>
    <t>Analista sistemas</t>
  </si>
  <si>
    <t>Jefe Personal</t>
  </si>
  <si>
    <t>Gerente Ventas</t>
  </si>
  <si>
    <t>Facturador</t>
  </si>
  <si>
    <t>Cobrador</t>
  </si>
  <si>
    <t>Jefe Almacén</t>
  </si>
  <si>
    <t>Remunerac</t>
  </si>
  <si>
    <t>Asistente 1</t>
  </si>
  <si>
    <t>Asistente 2</t>
  </si>
  <si>
    <t>Gerente Produccion</t>
  </si>
  <si>
    <t>Asistente Gerencia</t>
  </si>
  <si>
    <t>Jefe Planeamiento</t>
  </si>
  <si>
    <t>Planificador maestro</t>
  </si>
  <si>
    <t>Almacenero 1</t>
  </si>
  <si>
    <t>Almacenero 2</t>
  </si>
  <si>
    <t>Mecanico</t>
  </si>
  <si>
    <t>Electricista</t>
  </si>
  <si>
    <t>Supervisor M1</t>
  </si>
  <si>
    <t>Operario M1</t>
  </si>
  <si>
    <t>Operario M2</t>
  </si>
  <si>
    <t>Operario M3</t>
  </si>
  <si>
    <t>Supervisor P1</t>
  </si>
  <si>
    <t>Operario P1</t>
  </si>
  <si>
    <t>Operario P2</t>
  </si>
  <si>
    <t>Supervisor S1</t>
  </si>
  <si>
    <t>Operario S1</t>
  </si>
  <si>
    <t>Operario S2</t>
  </si>
  <si>
    <t>Supervisor A1</t>
  </si>
  <si>
    <t>Operario A1</t>
  </si>
  <si>
    <t>Supervisor C1</t>
  </si>
  <si>
    <t>Operario C1</t>
  </si>
  <si>
    <t>Supervisor R1</t>
  </si>
  <si>
    <t>Operario R1</t>
  </si>
  <si>
    <t>Operario R2</t>
  </si>
  <si>
    <t>Supervisor O1</t>
  </si>
  <si>
    <t>Operario R3</t>
  </si>
  <si>
    <t>Operario O1</t>
  </si>
  <si>
    <t>Operario O2</t>
  </si>
  <si>
    <t>Operario O3</t>
  </si>
  <si>
    <t>Supervisor B1</t>
  </si>
  <si>
    <t>Operario B1</t>
  </si>
  <si>
    <t>Operario B2</t>
  </si>
  <si>
    <t>Operario B3</t>
  </si>
  <si>
    <t>CONSUMO DE SERVICIOS DIRECTOS POR ORDEN DE TRABAJO</t>
  </si>
  <si>
    <t>TABLA MAESTRO DE SERVICIOS DIRECTOS</t>
  </si>
  <si>
    <t>Docena (12)</t>
  </si>
  <si>
    <t>Enlozado cocina chica</t>
  </si>
  <si>
    <t>Enlozado cocina grande</t>
  </si>
  <si>
    <t>Serigrafiado de Caja Chica</t>
  </si>
  <si>
    <t>Serigrafiado de Caja Mediana</t>
  </si>
  <si>
    <t>Serigrafiado de Caja Grande</t>
  </si>
  <si>
    <t>Grillado Horno Chico</t>
  </si>
  <si>
    <t>Ciento (100)</t>
  </si>
  <si>
    <t>Grillado Horno Grande</t>
  </si>
  <si>
    <t>Costo Total Servicio Directo</t>
  </si>
  <si>
    <t>Costo Total Mat Directo</t>
  </si>
  <si>
    <t>CALCULO DEL COSTO DE LA MANO DE OBRA DIRECTA</t>
  </si>
  <si>
    <t>UM</t>
  </si>
  <si>
    <t>HORAS EFECTIVAS DE OPERARIO POR ORDEN DE TRABAJO</t>
  </si>
  <si>
    <t>COSTO MANO DE OBRA DIRECTA POR ORDEN DE TRABAJO</t>
  </si>
  <si>
    <t>PROCESO 4A: CALCULO DEL COSTO DEL ELEMENTO DE COSTO A LOS CENTROS DE COSTOS</t>
  </si>
  <si>
    <t>PROCESO 4B: CALCULO DEL COSTO DE CADA CENTRO DE COSTO APOYO A CADA CENTRO DE COSTO PRODUCTIVO</t>
  </si>
  <si>
    <t>1) Elaborar matriz de configuración de CCA - CCO</t>
  </si>
  <si>
    <t>Matriz de configuración CCA-CCO</t>
  </si>
  <si>
    <t>CCA4</t>
  </si>
  <si>
    <t>CCP8</t>
  </si>
  <si>
    <t>Criterio Reparto</t>
  </si>
  <si>
    <t xml:space="preserve">    Identificar la relación entre los centos de costos de apoyo a la producción con los centros de costos operativos en produccion.</t>
  </si>
  <si>
    <t>2) Identificar los criterios de reparto para cada CCA.</t>
  </si>
  <si>
    <t>3) Identificar los valores de los criterios de cada centro de costo de apoyo.</t>
  </si>
  <si>
    <t>Criterio de Reparto</t>
  </si>
  <si>
    <t>Matriz de Criterios de Reparto por Centro de Costo de Aoyo a la Producción</t>
  </si>
  <si>
    <t>Matriz de Criterioss de Reparto por Centro de Costo de Apoyo a la Producción</t>
  </si>
  <si>
    <t>CALCULO DEL COSTO DE CADA CENTRO DE COSTO DE APOYO A LOS CENTROS DE COSTOS DE PRODUCCION</t>
  </si>
  <si>
    <t>PROCESO 4C: CALCULO DEL COSTO DE CADA CENTRO DE COSTO PRODUCTIVO A CADA ORDEN DE TRABAJO</t>
  </si>
  <si>
    <t>1) Elaborar matriz de configuración de CCO - OT</t>
  </si>
  <si>
    <t xml:space="preserve">    Identificar la relación entre los centos de costos productivos a las ordenes de trabajo.</t>
  </si>
  <si>
    <t>2) Identificar los criterios de reparto para cada CCO.</t>
  </si>
  <si>
    <t>3) Identificar los valores de los criterios de cada centro de costo operativo.</t>
  </si>
  <si>
    <t>Matriz de configuración CCO - OT</t>
  </si>
  <si>
    <t>Matriz de Criterios de Reparto por Centro de Costo de Producción a las OT</t>
  </si>
  <si>
    <t>CALCULO DEL COSTO DE CADA CENTRO DE COSTO PRODUCCION A LAS OT</t>
  </si>
  <si>
    <t>PROCESO 4D: CALCULO DEL COSTO DE CADA ORDEN DE TRABAJO A CADA PRODUCTO</t>
  </si>
  <si>
    <t>Saco (75)</t>
  </si>
  <si>
    <t>Costo producción terminada</t>
  </si>
  <si>
    <t xml:space="preserve">Costo producción en proceso de materiales </t>
  </si>
  <si>
    <t>Costo producción en proceso SD</t>
  </si>
  <si>
    <t>Costo produccion terminada SD</t>
  </si>
  <si>
    <t>Operario B4</t>
  </si>
  <si>
    <t>HORAS</t>
  </si>
  <si>
    <t>Cuadre</t>
  </si>
  <si>
    <t>Costo producción proceso MOD</t>
  </si>
  <si>
    <t>Costo producción terminada MOD</t>
  </si>
  <si>
    <t>MODELO II</t>
  </si>
  <si>
    <t>4) Realizar el proceso de reparto proporcioanl del elemento de costo a todos los centros de costos según la matriz de configuración.</t>
  </si>
  <si>
    <t>x</t>
  </si>
  <si>
    <t>No personas indirectas</t>
  </si>
  <si>
    <t>% Asignación</t>
  </si>
  <si>
    <t>Kws</t>
  </si>
  <si>
    <t>No personas totales</t>
  </si>
  <si>
    <t>No anexos</t>
  </si>
  <si>
    <t>No Pcs</t>
  </si>
  <si>
    <t>Valor Maq y equipo</t>
  </si>
  <si>
    <t>M2</t>
  </si>
  <si>
    <t>4) Realizar el proceso de reparto proporcioanl de los costos de los centros de costos de apoyo a los centros de costos productivos.</t>
  </si>
  <si>
    <t>No OT</t>
  </si>
  <si>
    <t>No reparaciones</t>
  </si>
  <si>
    <t>4) Realizar el proceso de reparto proporcional del costo de los centros de costos productivos a las ordenes de trabajo.</t>
  </si>
  <si>
    <t>No piezas totales</t>
  </si>
  <si>
    <t>Tiempo de pintado estandar</t>
  </si>
  <si>
    <t>Kg inyectados</t>
  </si>
  <si>
    <t>No sub conjuntos</t>
  </si>
  <si>
    <t>No piezas a ensamblar</t>
  </si>
  <si>
    <t>No unidades</t>
  </si>
  <si>
    <t>ELABORAR UNA HOJA DE COSTO POR CADA ORDEN</t>
  </si>
  <si>
    <t>Y CALCULAR EL COSTO UNITARIO</t>
  </si>
  <si>
    <t>CMD</t>
  </si>
  <si>
    <t>CMOD</t>
  </si>
  <si>
    <t>CSD</t>
  </si>
  <si>
    <t>CIF</t>
  </si>
  <si>
    <t>COSTO UNITARIO</t>
  </si>
  <si>
    <t>COCINA CHICA (TERMINADO)</t>
  </si>
  <si>
    <t>OT 2</t>
  </si>
  <si>
    <t>COCINA GRANDE (PROCESO)</t>
  </si>
  <si>
    <t>OT 3</t>
  </si>
  <si>
    <t>REFRIGERADORA CHICA (TERMINADO)</t>
  </si>
  <si>
    <t>OT 4</t>
  </si>
  <si>
    <t>REFRIGERADORA MEDIANA (TERMINADO)</t>
  </si>
  <si>
    <t>OT 5</t>
  </si>
  <si>
    <t>REFRIGERADORA GRANDE (PROCESO)</t>
  </si>
  <si>
    <t>Cantidad</t>
  </si>
  <si>
    <t>Cto Unit</t>
  </si>
  <si>
    <t>Costo Productos Terminados</t>
  </si>
  <si>
    <t>Costo Producción en Proceso</t>
  </si>
  <si>
    <t>TERMINADO</t>
  </si>
  <si>
    <t>PROCESO</t>
  </si>
  <si>
    <t>COSTO UNIT CIF</t>
  </si>
  <si>
    <t>Costo total Mano Obra Directa</t>
  </si>
  <si>
    <t>Costo producción proceso CIF</t>
  </si>
  <si>
    <t>Costo producción terminada CIF</t>
  </si>
  <si>
    <t>Servicios</t>
  </si>
  <si>
    <t>CALCULO DEL COSTO TOTAL DE SERVICIO DIRECTO POR ORDEN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</si>
</sst>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 * #,##0.00_ ;_ * \-#,##0.00_ ;_ * &quot;-&quot;??_ ;_ @_ "/>
    <numFmt numFmtId="165" formatCode="#,##0_ ;[Red]\-#,##0\ "/>
    <numFmt numFmtId="166" formatCode="#,##0.0_ ;[Red]\-#,##0.0\ "/>
    <numFmt numFmtId="167" formatCode="#,##0.00_ ;[Red]\-#,##0.00\ "/>
    <numFmt numFmtId="168" formatCode="0.0%"/>
  </numFmts>
  <fonts count="1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20"/>
      <color theme="1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164" fontId="6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0" fillId="4" borderId="0" xfId="0" applyFill="1"/>
    <xf numFmtId="0" fontId="2" fillId="4" borderId="0" xfId="0" applyFont="1" applyFill="1"/>
    <xf numFmtId="0" fontId="5" fillId="4" borderId="0" xfId="0" applyFont="1" applyFill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horizontal="left" vertical="center" wrapText="1"/>
    </xf>
    <xf numFmtId="0" fontId="1" fillId="0" borderId="1" xfId="0" applyFont="1" applyBorder="1"/>
    <xf numFmtId="165" fontId="0" fillId="0" borderId="1" xfId="0" applyNumberFormat="1" applyBorder="1"/>
    <xf numFmtId="165" fontId="1" fillId="0" borderId="1" xfId="0" applyNumberFormat="1" applyFont="1" applyBorder="1"/>
    <xf numFmtId="0" fontId="7" fillId="0" borderId="0" xfId="1" applyFont="1"/>
    <xf numFmtId="0" fontId="6" fillId="0" borderId="0" xfId="1"/>
    <xf numFmtId="0" fontId="9" fillId="0" borderId="1" xfId="1" applyFont="1" applyBorder="1" applyAlignment="1">
      <alignment horizontal="center"/>
    </xf>
    <xf numFmtId="0" fontId="9" fillId="0" borderId="0" xfId="1" applyFont="1"/>
    <xf numFmtId="0" fontId="8" fillId="0" borderId="0" xfId="1" applyFont="1"/>
    <xf numFmtId="0" fontId="8" fillId="6" borderId="1" xfId="1" applyFont="1" applyFill="1" applyBorder="1"/>
    <xf numFmtId="0" fontId="0" fillId="7" borderId="0" xfId="0" applyFill="1"/>
    <xf numFmtId="0" fontId="9" fillId="0" borderId="1" xfId="1" applyFont="1" applyBorder="1"/>
    <xf numFmtId="0" fontId="7" fillId="6" borderId="1" xfId="1" applyFont="1" applyFill="1" applyBorder="1"/>
    <xf numFmtId="40" fontId="7" fillId="6" borderId="1" xfId="1" applyNumberFormat="1" applyFont="1" applyFill="1" applyBorder="1"/>
    <xf numFmtId="0" fontId="9" fillId="0" borderId="1" xfId="1" applyFont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40" fontId="9" fillId="0" borderId="1" xfId="2" applyNumberFormat="1" applyFont="1" applyFill="1" applyBorder="1" applyAlignment="1">
      <alignment horizontal="center" vertical="center"/>
    </xf>
    <xf numFmtId="40" fontId="9" fillId="0" borderId="1" xfId="1" applyNumberFormat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0" fillId="0" borderId="1" xfId="0" applyFont="1" applyBorder="1"/>
    <xf numFmtId="0" fontId="0" fillId="0" borderId="1" xfId="0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166" fontId="1" fillId="0" borderId="1" xfId="0" applyNumberFormat="1" applyFont="1" applyBorder="1" applyAlignment="1">
      <alignment horizontal="center"/>
    </xf>
    <xf numFmtId="0" fontId="0" fillId="4" borderId="1" xfId="0" applyFill="1" applyBorder="1"/>
    <xf numFmtId="0" fontId="0" fillId="0" borderId="6" xfId="0" applyBorder="1" applyAlignment="1">
      <alignment horizontal="center"/>
    </xf>
    <xf numFmtId="167" fontId="0" fillId="0" borderId="1" xfId="0" applyNumberFormat="1" applyBorder="1"/>
    <xf numFmtId="167" fontId="6" fillId="0" borderId="0" xfId="1" applyNumberFormat="1"/>
    <xf numFmtId="165" fontId="6" fillId="0" borderId="0" xfId="1" applyNumberFormat="1"/>
    <xf numFmtId="167" fontId="1" fillId="0" borderId="0" xfId="0" applyNumberFormat="1" applyFont="1"/>
    <xf numFmtId="166" fontId="9" fillId="0" borderId="0" xfId="1" applyNumberFormat="1" applyFont="1"/>
    <xf numFmtId="167" fontId="9" fillId="0" borderId="0" xfId="1" applyNumberFormat="1" applyFont="1"/>
    <xf numFmtId="167" fontId="8" fillId="0" borderId="0" xfId="1" applyNumberFormat="1" applyFont="1"/>
    <xf numFmtId="0" fontId="11" fillId="2" borderId="0" xfId="0" applyFont="1" applyFill="1"/>
    <xf numFmtId="9" fontId="0" fillId="0" borderId="1" xfId="0" applyNumberFormat="1" applyBorder="1" applyAlignment="1">
      <alignment horizontal="center"/>
    </xf>
    <xf numFmtId="168" fontId="1" fillId="2" borderId="1" xfId="0" applyNumberFormat="1" applyFont="1" applyFill="1" applyBorder="1" applyAlignment="1">
      <alignment horizontal="center"/>
    </xf>
    <xf numFmtId="166" fontId="0" fillId="0" borderId="0" xfId="0" applyNumberFormat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168" fontId="1" fillId="0" borderId="1" xfId="3" applyNumberFormat="1" applyFon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7" fontId="0" fillId="4" borderId="1" xfId="0" applyNumberForma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7" fontId="1" fillId="2" borderId="1" xfId="0" applyNumberFormat="1" applyFont="1" applyFill="1" applyBorder="1" applyAlignment="1">
      <alignment horizontal="center"/>
    </xf>
    <xf numFmtId="0" fontId="6" fillId="0" borderId="1" xfId="1" applyBorder="1"/>
    <xf numFmtId="167" fontId="0" fillId="3" borderId="1" xfId="0" applyNumberFormat="1" applyFill="1" applyBorder="1"/>
    <xf numFmtId="167" fontId="0" fillId="0" borderId="0" xfId="0" applyNumberFormat="1"/>
    <xf numFmtId="166" fontId="1" fillId="4" borderId="1" xfId="0" applyNumberFormat="1" applyFont="1" applyFill="1" applyBorder="1"/>
    <xf numFmtId="2" fontId="0" fillId="0" borderId="0" xfId="0" applyNumberFormat="1" applyAlignment="1">
      <alignment horizontal="center"/>
    </xf>
    <xf numFmtId="0" fontId="6" fillId="0" borderId="0" xfId="1" applyAlignment="1">
      <alignment horizontal="center"/>
    </xf>
    <xf numFmtId="0" fontId="0" fillId="3" borderId="1" xfId="0" applyFill="1" applyBorder="1"/>
    <xf numFmtId="167" fontId="0" fillId="3" borderId="1" xfId="0" applyNumberFormat="1" applyFill="1" applyBorder="1" applyAlignment="1">
      <alignment horizontal="center" vertical="center"/>
    </xf>
    <xf numFmtId="0" fontId="1" fillId="3" borderId="1" xfId="0" applyFont="1" applyFill="1" applyBorder="1"/>
    <xf numFmtId="0" fontId="1" fillId="9" borderId="1" xfId="0" applyFont="1" applyFill="1" applyBorder="1"/>
    <xf numFmtId="0" fontId="1" fillId="9" borderId="1" xfId="0" applyFont="1" applyFill="1" applyBorder="1" applyAlignment="1">
      <alignment horizontal="center"/>
    </xf>
    <xf numFmtId="40" fontId="9" fillId="0" borderId="1" xfId="2" applyNumberFormat="1" applyFont="1" applyFill="1" applyBorder="1" applyAlignment="1">
      <alignment horizontal="center"/>
    </xf>
    <xf numFmtId="40" fontId="9" fillId="0" borderId="1" xfId="1" applyNumberFormat="1" applyFont="1" applyBorder="1" applyAlignment="1">
      <alignment horizontal="center"/>
    </xf>
    <xf numFmtId="167" fontId="9" fillId="0" borderId="1" xfId="2" applyNumberFormat="1" applyFont="1" applyBorder="1" applyAlignment="1">
      <alignment horizontal="center"/>
    </xf>
    <xf numFmtId="40" fontId="9" fillId="4" borderId="1" xfId="2" applyNumberFormat="1" applyFont="1" applyFill="1" applyBorder="1" applyAlignment="1">
      <alignment horizontal="center"/>
    </xf>
    <xf numFmtId="40" fontId="7" fillId="6" borderId="1" xfId="1" applyNumberFormat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left"/>
    </xf>
    <xf numFmtId="0" fontId="8" fillId="0" borderId="8" xfId="1" applyFont="1" applyBorder="1" applyAlignment="1">
      <alignment horizontal="left"/>
    </xf>
    <xf numFmtId="0" fontId="8" fillId="0" borderId="6" xfId="1" applyFont="1" applyBorder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4">
    <cellStyle name="Millares 2" xfId="2" xr:uid="{00000000-0005-0000-0000-000000000000}"/>
    <cellStyle name="Normal" xfId="0" builtinId="0"/>
    <cellStyle name="Normal 2" xfId="1" xr:uid="{00000000-0005-0000-0000-000002000000}"/>
    <cellStyle name="Porcentaje" xfId="3" builtinId="5"/>
  </cellStyles>
  <dxfs count="0"/>
  <tableStyles count="1" defaultTableStyle="TableStyleMedium2" defaultPivotStyle="PivotStyleLight16">
    <tableStyle name="Invisible" pivot="0" table="0" count="0" xr9:uid="{C0F4456C-6673-4BA4-8211-F534484657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19050</xdr:rowOff>
    </xdr:from>
    <xdr:to>
      <xdr:col>9</xdr:col>
      <xdr:colOff>152400</xdr:colOff>
      <xdr:row>26</xdr:row>
      <xdr:rowOff>47625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2105025"/>
          <a:ext cx="7696200" cy="14763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0</xdr:col>
      <xdr:colOff>114300</xdr:colOff>
      <xdr:row>11</xdr:row>
      <xdr:rowOff>123825</xdr:rowOff>
    </xdr:from>
    <xdr:ext cx="1647825" cy="800219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300" y="1057275"/>
          <a:ext cx="1647825" cy="800219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ELEMENTO DE COSTO</a:t>
          </a:r>
        </a:p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(EC)</a:t>
          </a:r>
        </a:p>
      </xdr:txBody>
    </xdr:sp>
    <xdr:clientData/>
  </xdr:oneCellAnchor>
  <xdr:oneCellAnchor>
    <xdr:from>
      <xdr:col>5</xdr:col>
      <xdr:colOff>19050</xdr:colOff>
      <xdr:row>11</xdr:row>
      <xdr:rowOff>76200</xdr:rowOff>
    </xdr:from>
    <xdr:ext cx="1171575" cy="800219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210050" y="1009650"/>
          <a:ext cx="1171575" cy="800219"/>
        </a:xfrm>
        <a:prstGeom prst="rect">
          <a:avLst/>
        </a:prstGeom>
        <a:solidFill>
          <a:srgbClr val="92D050"/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ORDEN</a:t>
          </a:r>
          <a:r>
            <a:rPr lang="es-PE" sz="1600" b="1" baseline="0">
              <a:latin typeface="Arial" pitchFamily="34" charset="0"/>
              <a:cs typeface="Arial" pitchFamily="34" charset="0"/>
            </a:rPr>
            <a:t> TRABAJO (UCC)</a:t>
          </a:r>
          <a:endParaRPr lang="es-PE" sz="16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7</xdr:col>
      <xdr:colOff>295275</xdr:colOff>
      <xdr:row>11</xdr:row>
      <xdr:rowOff>76200</xdr:rowOff>
    </xdr:from>
    <xdr:ext cx="1390649" cy="800219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162675" y="2343150"/>
          <a:ext cx="1390649" cy="80021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OBJETO</a:t>
          </a:r>
          <a:r>
            <a:rPr lang="es-PE" sz="1600" b="1" baseline="0">
              <a:latin typeface="Arial" pitchFamily="34" charset="0"/>
              <a:cs typeface="Arial" pitchFamily="34" charset="0"/>
            </a:rPr>
            <a:t> DE COSTO</a:t>
          </a:r>
          <a:endParaRPr lang="es-PE" sz="1600" b="1">
            <a:latin typeface="Arial" pitchFamily="34" charset="0"/>
            <a:cs typeface="Arial" pitchFamily="34" charset="0"/>
          </a:endParaRPr>
        </a:p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(OC)</a:t>
          </a:r>
        </a:p>
      </xdr:txBody>
    </xdr:sp>
    <xdr:clientData/>
  </xdr:oneCellAnchor>
  <xdr:twoCellAnchor>
    <xdr:from>
      <xdr:col>2</xdr:col>
      <xdr:colOff>142875</xdr:colOff>
      <xdr:row>12</xdr:row>
      <xdr:rowOff>66675</xdr:rowOff>
    </xdr:from>
    <xdr:to>
      <xdr:col>2</xdr:col>
      <xdr:colOff>638175</xdr:colOff>
      <xdr:row>17</xdr:row>
      <xdr:rowOff>8382</xdr:rowOff>
    </xdr:to>
    <xdr:sp macro="" textlink="">
      <xdr:nvSpPr>
        <xdr:cNvPr id="6" name="5 Flecha derecha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819275" y="1181100"/>
          <a:ext cx="495300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710184</xdr:colOff>
      <xdr:row>15</xdr:row>
      <xdr:rowOff>89916</xdr:rowOff>
    </xdr:from>
    <xdr:to>
      <xdr:col>5</xdr:col>
      <xdr:colOff>356616</xdr:colOff>
      <xdr:row>24</xdr:row>
      <xdr:rowOff>80391</xdr:rowOff>
    </xdr:to>
    <xdr:sp macro="" textlink="">
      <xdr:nvSpPr>
        <xdr:cNvPr id="7" name="6 Flecha derecha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18763597">
          <a:off x="3495675" y="3505200"/>
          <a:ext cx="1619250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1</xdr:col>
      <xdr:colOff>781050</xdr:colOff>
      <xdr:row>24</xdr:row>
      <xdr:rowOff>85725</xdr:rowOff>
    </xdr:from>
    <xdr:ext cx="1658596" cy="254557"/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19250" y="1924050"/>
          <a:ext cx="1658596" cy="25455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Criterio Reparto EC-OT</a:t>
          </a:r>
          <a:endParaRPr lang="es-PE" sz="1100">
            <a:ln>
              <a:solidFill>
                <a:schemeClr val="tx1"/>
              </a:solidFill>
            </a:ln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419100</xdr:colOff>
      <xdr:row>24</xdr:row>
      <xdr:rowOff>85725</xdr:rowOff>
    </xdr:from>
    <xdr:ext cx="1823191" cy="254557"/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771900" y="3257550"/>
          <a:ext cx="1823191" cy="25455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Criterio Reparto UCC-OC </a:t>
          </a:r>
        </a:p>
      </xdr:txBody>
    </xdr:sp>
    <xdr:clientData/>
  </xdr:oneCellAnchor>
  <xdr:twoCellAnchor>
    <xdr:from>
      <xdr:col>4</xdr:col>
      <xdr:colOff>152400</xdr:colOff>
      <xdr:row>7</xdr:row>
      <xdr:rowOff>114299</xdr:rowOff>
    </xdr:from>
    <xdr:to>
      <xdr:col>4</xdr:col>
      <xdr:colOff>438150</xdr:colOff>
      <xdr:row>9</xdr:row>
      <xdr:rowOff>104774</xdr:rowOff>
    </xdr:to>
    <xdr:sp macro="" textlink="">
      <xdr:nvSpPr>
        <xdr:cNvPr id="10" name="9 Elips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505200" y="1638299"/>
          <a:ext cx="285750" cy="371475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1</a:t>
          </a:r>
        </a:p>
      </xdr:txBody>
    </xdr:sp>
    <xdr:clientData/>
  </xdr:twoCellAnchor>
  <xdr:twoCellAnchor>
    <xdr:from>
      <xdr:col>5</xdr:col>
      <xdr:colOff>419100</xdr:colOff>
      <xdr:row>7</xdr:row>
      <xdr:rowOff>19049</xdr:rowOff>
    </xdr:from>
    <xdr:to>
      <xdr:col>5</xdr:col>
      <xdr:colOff>704850</xdr:colOff>
      <xdr:row>9</xdr:row>
      <xdr:rowOff>9524</xdr:rowOff>
    </xdr:to>
    <xdr:sp macro="" textlink="">
      <xdr:nvSpPr>
        <xdr:cNvPr id="11" name="10 Elips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610100" y="1543049"/>
          <a:ext cx="285750" cy="371475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2</a:t>
          </a:r>
        </a:p>
      </xdr:txBody>
    </xdr:sp>
    <xdr:clientData/>
  </xdr:twoCellAnchor>
  <xdr:oneCellAnchor>
    <xdr:from>
      <xdr:col>2</xdr:col>
      <xdr:colOff>685800</xdr:colOff>
      <xdr:row>10</xdr:row>
      <xdr:rowOff>57150</xdr:rowOff>
    </xdr:from>
    <xdr:ext cx="1171575" cy="387286"/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362200" y="2000250"/>
          <a:ext cx="1171575" cy="387286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000" b="1">
              <a:latin typeface="Arial" pitchFamily="34" charset="0"/>
              <a:cs typeface="Arial" pitchFamily="34" charset="0"/>
            </a:rPr>
            <a:t>CENTRO DE COSTO ADM</a:t>
          </a:r>
        </a:p>
      </xdr:txBody>
    </xdr:sp>
    <xdr:clientData/>
  </xdr:oneCellAnchor>
  <xdr:twoCellAnchor>
    <xdr:from>
      <xdr:col>6</xdr:col>
      <xdr:colOff>495300</xdr:colOff>
      <xdr:row>11</xdr:row>
      <xdr:rowOff>171450</xdr:rowOff>
    </xdr:from>
    <xdr:to>
      <xdr:col>7</xdr:col>
      <xdr:colOff>152400</xdr:colOff>
      <xdr:row>14</xdr:row>
      <xdr:rowOff>113157</xdr:rowOff>
    </xdr:to>
    <xdr:sp macro="" textlink="">
      <xdr:nvSpPr>
        <xdr:cNvPr id="13" name="12 Flecha derecha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524500" y="1104900"/>
          <a:ext cx="495300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466725</xdr:colOff>
      <xdr:row>7</xdr:row>
      <xdr:rowOff>76199</xdr:rowOff>
    </xdr:from>
    <xdr:to>
      <xdr:col>7</xdr:col>
      <xdr:colOff>752475</xdr:colOff>
      <xdr:row>9</xdr:row>
      <xdr:rowOff>66674</xdr:rowOff>
    </xdr:to>
    <xdr:sp macro="" textlink="">
      <xdr:nvSpPr>
        <xdr:cNvPr id="14" name="13 Elips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334125" y="1600199"/>
          <a:ext cx="285750" cy="371475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3</a:t>
          </a:r>
        </a:p>
      </xdr:txBody>
    </xdr:sp>
    <xdr:clientData/>
  </xdr:twoCellAnchor>
  <xdr:oneCellAnchor>
    <xdr:from>
      <xdr:col>3</xdr:col>
      <xdr:colOff>276225</xdr:colOff>
      <xdr:row>4</xdr:row>
      <xdr:rowOff>9525</xdr:rowOff>
    </xdr:from>
    <xdr:ext cx="1552575" cy="564257"/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790825" y="962025"/>
          <a:ext cx="1552575" cy="56425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MATERIALES</a:t>
          </a:r>
          <a:r>
            <a:rPr lang="es-PE" sz="1600" b="1" baseline="0">
              <a:latin typeface="Arial" pitchFamily="34" charset="0"/>
              <a:cs typeface="Arial" pitchFamily="34" charset="0"/>
            </a:rPr>
            <a:t> DIRECTOS</a:t>
          </a:r>
          <a:endParaRPr lang="es-PE" sz="16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5</xdr:col>
      <xdr:colOff>257175</xdr:colOff>
      <xdr:row>4</xdr:row>
      <xdr:rowOff>9525</xdr:rowOff>
    </xdr:from>
    <xdr:ext cx="1552575" cy="564257"/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448175" y="962025"/>
          <a:ext cx="1552575" cy="56425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SERVICIOS </a:t>
          </a:r>
          <a:r>
            <a:rPr lang="es-PE" sz="1600" b="1" baseline="0">
              <a:latin typeface="Arial" pitchFamily="34" charset="0"/>
              <a:cs typeface="Arial" pitchFamily="34" charset="0"/>
            </a:rPr>
            <a:t>DIRECTOS</a:t>
          </a:r>
          <a:endParaRPr lang="es-PE" sz="16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7</xdr:col>
      <xdr:colOff>314325</xdr:colOff>
      <xdr:row>4</xdr:row>
      <xdr:rowOff>9525</xdr:rowOff>
    </xdr:from>
    <xdr:ext cx="1552575" cy="564257"/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181725" y="962025"/>
          <a:ext cx="1552575" cy="56425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 baseline="0">
              <a:latin typeface="Arial" pitchFamily="34" charset="0"/>
              <a:cs typeface="Arial" pitchFamily="34" charset="0"/>
            </a:rPr>
            <a:t>MANO OBRA DIRECTA</a:t>
          </a:r>
          <a:endParaRPr lang="es-PE" sz="16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719709</xdr:colOff>
      <xdr:row>8</xdr:row>
      <xdr:rowOff>89916</xdr:rowOff>
    </xdr:from>
    <xdr:to>
      <xdr:col>1</xdr:col>
      <xdr:colOff>366141</xdr:colOff>
      <xdr:row>11</xdr:row>
      <xdr:rowOff>32766</xdr:rowOff>
    </xdr:to>
    <xdr:sp macro="" textlink="">
      <xdr:nvSpPr>
        <xdr:cNvPr id="18" name="17 Flecha derecha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 rot="5400000">
          <a:off x="714375" y="1809750"/>
          <a:ext cx="495300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0</xdr:col>
      <xdr:colOff>238125</xdr:colOff>
      <xdr:row>5</xdr:row>
      <xdr:rowOff>0</xdr:rowOff>
    </xdr:from>
    <xdr:ext cx="1552575" cy="564257"/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38125" y="1143000"/>
          <a:ext cx="1552575" cy="564257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COSTOS</a:t>
          </a:r>
          <a:r>
            <a:rPr lang="es-PE" sz="1600" b="1" baseline="0">
              <a:latin typeface="Arial" pitchFamily="34" charset="0"/>
              <a:cs typeface="Arial" pitchFamily="34" charset="0"/>
            </a:rPr>
            <a:t> INDIRECTOS</a:t>
          </a:r>
          <a:endParaRPr lang="es-PE" sz="1600" b="1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4</xdr:col>
      <xdr:colOff>509096</xdr:colOff>
      <xdr:row>8</xdr:row>
      <xdr:rowOff>2216</xdr:rowOff>
    </xdr:from>
    <xdr:to>
      <xdr:col>5</xdr:col>
      <xdr:colOff>414785</xdr:colOff>
      <xdr:row>9</xdr:row>
      <xdr:rowOff>154616</xdr:rowOff>
    </xdr:to>
    <xdr:sp macro="" textlink="">
      <xdr:nvSpPr>
        <xdr:cNvPr id="20" name="19 Flecha derecha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 rot="2415731">
          <a:off x="3861896" y="1716716"/>
          <a:ext cx="743889" cy="3429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623867</xdr:colOff>
      <xdr:row>7</xdr:row>
      <xdr:rowOff>58896</xdr:rowOff>
    </xdr:from>
    <xdr:to>
      <xdr:col>6</xdr:col>
      <xdr:colOff>128567</xdr:colOff>
      <xdr:row>11</xdr:row>
      <xdr:rowOff>59835</xdr:rowOff>
    </xdr:to>
    <xdr:sp macro="" textlink="">
      <xdr:nvSpPr>
        <xdr:cNvPr id="21" name="20 Flecha derecha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 rot="7395167">
          <a:off x="4614372" y="1783391"/>
          <a:ext cx="743889" cy="3429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34864</xdr:colOff>
      <xdr:row>8</xdr:row>
      <xdr:rowOff>13110</xdr:rowOff>
    </xdr:from>
    <xdr:to>
      <xdr:col>7</xdr:col>
      <xdr:colOff>343669</xdr:colOff>
      <xdr:row>9</xdr:row>
      <xdr:rowOff>165510</xdr:rowOff>
    </xdr:to>
    <xdr:sp macro="" textlink="">
      <xdr:nvSpPr>
        <xdr:cNvPr id="22" name="21 Flecha derecha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 rot="9019986">
          <a:off x="5064064" y="1727610"/>
          <a:ext cx="1147005" cy="3429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685800</xdr:colOff>
      <xdr:row>24</xdr:row>
      <xdr:rowOff>95250</xdr:rowOff>
    </xdr:from>
    <xdr:ext cx="1713418" cy="254557"/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5715000" y="3305175"/>
          <a:ext cx="1713418" cy="25455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Criterio Reparto OT-OC </a:t>
          </a:r>
        </a:p>
      </xdr:txBody>
    </xdr:sp>
    <xdr:clientData/>
  </xdr:oneCellAnchor>
  <xdr:twoCellAnchor>
    <xdr:from>
      <xdr:col>2</xdr:col>
      <xdr:colOff>95250</xdr:colOff>
      <xdr:row>10</xdr:row>
      <xdr:rowOff>47624</xdr:rowOff>
    </xdr:from>
    <xdr:to>
      <xdr:col>2</xdr:col>
      <xdr:colOff>647699</xdr:colOff>
      <xdr:row>12</xdr:row>
      <xdr:rowOff>114300</xdr:rowOff>
    </xdr:to>
    <xdr:sp macro="" textlink="">
      <xdr:nvSpPr>
        <xdr:cNvPr id="24" name="23 Elips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771650" y="2133599"/>
          <a:ext cx="552449" cy="428626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4a</a:t>
          </a:r>
        </a:p>
      </xdr:txBody>
    </xdr:sp>
    <xdr:clientData/>
  </xdr:twoCellAnchor>
  <xdr:twoCellAnchor>
    <xdr:from>
      <xdr:col>3</xdr:col>
      <xdr:colOff>647700</xdr:colOff>
      <xdr:row>18</xdr:row>
      <xdr:rowOff>95249</xdr:rowOff>
    </xdr:from>
    <xdr:to>
      <xdr:col>4</xdr:col>
      <xdr:colOff>361949</xdr:colOff>
      <xdr:row>20</xdr:row>
      <xdr:rowOff>161925</xdr:rowOff>
    </xdr:to>
    <xdr:sp macro="" textlink="">
      <xdr:nvSpPr>
        <xdr:cNvPr id="25" name="24 Elips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162300" y="3486149"/>
          <a:ext cx="552449" cy="428626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4b</a:t>
          </a:r>
        </a:p>
      </xdr:txBody>
    </xdr:sp>
    <xdr:clientData/>
  </xdr:twoCellAnchor>
  <xdr:twoCellAnchor>
    <xdr:from>
      <xdr:col>4</xdr:col>
      <xdr:colOff>438150</xdr:colOff>
      <xdr:row>16</xdr:row>
      <xdr:rowOff>38099</xdr:rowOff>
    </xdr:from>
    <xdr:to>
      <xdr:col>5</xdr:col>
      <xdr:colOff>152399</xdr:colOff>
      <xdr:row>18</xdr:row>
      <xdr:rowOff>104775</xdr:rowOff>
    </xdr:to>
    <xdr:sp macro="" textlink="">
      <xdr:nvSpPr>
        <xdr:cNvPr id="26" name="25 Elips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790950" y="3067049"/>
          <a:ext cx="552449" cy="428626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4c</a:t>
          </a:r>
        </a:p>
      </xdr:txBody>
    </xdr:sp>
    <xdr:clientData/>
  </xdr:twoCellAnchor>
  <xdr:oneCellAnchor>
    <xdr:from>
      <xdr:col>2</xdr:col>
      <xdr:colOff>676275</xdr:colOff>
      <xdr:row>12</xdr:row>
      <xdr:rowOff>133350</xdr:rowOff>
    </xdr:from>
    <xdr:ext cx="1171575" cy="387286"/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2352675" y="2438400"/>
          <a:ext cx="1171575" cy="387286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000" b="1">
              <a:latin typeface="Arial" pitchFamily="34" charset="0"/>
              <a:cs typeface="Arial" pitchFamily="34" charset="0"/>
            </a:rPr>
            <a:t>CENTRO DE COSTO COM</a:t>
          </a:r>
        </a:p>
      </xdr:txBody>
    </xdr:sp>
    <xdr:clientData/>
  </xdr:oneCellAnchor>
  <xdr:oneCellAnchor>
    <xdr:from>
      <xdr:col>2</xdr:col>
      <xdr:colOff>676275</xdr:colOff>
      <xdr:row>15</xdr:row>
      <xdr:rowOff>66675</xdr:rowOff>
    </xdr:from>
    <xdr:ext cx="1171575" cy="534762"/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2352675" y="2914650"/>
          <a:ext cx="1171575" cy="534762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000" b="1">
              <a:latin typeface="Arial" pitchFamily="34" charset="0"/>
              <a:cs typeface="Arial" pitchFamily="34" charset="0"/>
            </a:rPr>
            <a:t>CENTRO DE COSTO APOYO PRODUCCION</a:t>
          </a:r>
        </a:p>
      </xdr:txBody>
    </xdr:sp>
    <xdr:clientData/>
  </xdr:oneCellAnchor>
  <xdr:oneCellAnchor>
    <xdr:from>
      <xdr:col>2</xdr:col>
      <xdr:colOff>695325</xdr:colOff>
      <xdr:row>21</xdr:row>
      <xdr:rowOff>66675</xdr:rowOff>
    </xdr:from>
    <xdr:ext cx="1171575" cy="534762"/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2371725" y="3638550"/>
          <a:ext cx="1171575" cy="534762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000" b="1">
              <a:latin typeface="Arial" pitchFamily="34" charset="0"/>
              <a:cs typeface="Arial" pitchFamily="34" charset="0"/>
            </a:rPr>
            <a:t>CENTRO DE COSTO PRODUCTIVO</a:t>
          </a:r>
        </a:p>
      </xdr:txBody>
    </xdr:sp>
    <xdr:clientData/>
  </xdr:oneCellAnchor>
  <xdr:twoCellAnchor>
    <xdr:from>
      <xdr:col>3</xdr:col>
      <xdr:colOff>129159</xdr:colOff>
      <xdr:row>18</xdr:row>
      <xdr:rowOff>108966</xdr:rowOff>
    </xdr:from>
    <xdr:to>
      <xdr:col>3</xdr:col>
      <xdr:colOff>613791</xdr:colOff>
      <xdr:row>21</xdr:row>
      <xdr:rowOff>61341</xdr:rowOff>
    </xdr:to>
    <xdr:sp macro="" textlink="">
      <xdr:nvSpPr>
        <xdr:cNvPr id="30" name="29 Flecha derecha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 rot="5400000">
          <a:off x="2638425" y="3505200"/>
          <a:ext cx="495300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485775</xdr:colOff>
      <xdr:row>14</xdr:row>
      <xdr:rowOff>161924</xdr:rowOff>
    </xdr:from>
    <xdr:to>
      <xdr:col>7</xdr:col>
      <xdr:colOff>200024</xdr:colOff>
      <xdr:row>17</xdr:row>
      <xdr:rowOff>47625</xdr:rowOff>
    </xdr:to>
    <xdr:sp macro="" textlink="">
      <xdr:nvSpPr>
        <xdr:cNvPr id="31" name="30 Elips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5514975" y="2828924"/>
          <a:ext cx="552449" cy="428626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666749</xdr:colOff>
      <xdr:row>7</xdr:row>
      <xdr:rowOff>142875</xdr:rowOff>
    </xdr:from>
    <xdr:ext cx="6143625" cy="2481257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666749" y="1409700"/>
          <a:ext cx="6143625" cy="248125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5400" b="1">
              <a:latin typeface="Arial" pitchFamily="34" charset="0"/>
              <a:cs typeface="Arial" pitchFamily="34" charset="0"/>
            </a:rPr>
            <a:t>METODOLOGIA</a:t>
          </a:r>
          <a:r>
            <a:rPr lang="es-PE" sz="5400" b="1" baseline="0">
              <a:latin typeface="Arial" pitchFamily="34" charset="0"/>
              <a:cs typeface="Arial" pitchFamily="34" charset="0"/>
            </a:rPr>
            <a:t> DE COSTEO DE LOS INDIRECTOS</a:t>
          </a:r>
          <a:endParaRPr lang="es-PE" sz="54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90" zoomScaleNormal="90" workbookViewId="0">
      <selection activeCell="M5" sqref="M5"/>
    </sheetView>
  </sheetViews>
  <sheetFormatPr baseColWidth="10" defaultRowHeight="13.8" x14ac:dyDescent="0.25"/>
  <sheetData>
    <row r="1" spans="1:9" ht="17.399999999999999" x14ac:dyDescent="0.3">
      <c r="A1" s="7" t="s">
        <v>38</v>
      </c>
      <c r="B1" s="8"/>
      <c r="C1" s="8"/>
      <c r="D1" s="8"/>
      <c r="E1" s="6"/>
    </row>
    <row r="2" spans="1:9" x14ac:dyDescent="0.25">
      <c r="A2" s="1"/>
    </row>
    <row r="3" spans="1:9" ht="15.6" x14ac:dyDescent="0.3">
      <c r="A3" s="9" t="s">
        <v>45</v>
      </c>
      <c r="B3" s="10"/>
      <c r="C3" s="10"/>
      <c r="D3" s="10"/>
      <c r="E3" s="10"/>
      <c r="F3" s="10"/>
      <c r="G3" s="10"/>
      <c r="H3" s="10"/>
      <c r="I3" s="10"/>
    </row>
    <row r="4" spans="1:9" x14ac:dyDescent="0.25">
      <c r="A4" s="1"/>
    </row>
    <row r="5" spans="1:9" x14ac:dyDescent="0.25">
      <c r="A5" s="1"/>
    </row>
    <row r="6" spans="1:9" x14ac:dyDescent="0.25">
      <c r="A6" s="1"/>
    </row>
    <row r="7" spans="1:9" x14ac:dyDescent="0.25">
      <c r="A7" s="1"/>
    </row>
    <row r="8" spans="1:9" x14ac:dyDescent="0.25">
      <c r="A8" s="1"/>
    </row>
    <row r="9" spans="1:9" x14ac:dyDescent="0.25">
      <c r="A9" s="1"/>
    </row>
    <row r="28" spans="1:1" x14ac:dyDescent="0.25">
      <c r="A28" s="1" t="s">
        <v>39</v>
      </c>
    </row>
    <row r="29" spans="1:1" x14ac:dyDescent="0.25">
      <c r="A29" s="1" t="s">
        <v>40</v>
      </c>
    </row>
    <row r="30" spans="1:1" x14ac:dyDescent="0.25">
      <c r="A30" s="1" t="s">
        <v>41</v>
      </c>
    </row>
    <row r="31" spans="1:1" x14ac:dyDescent="0.25">
      <c r="A31" s="1" t="s">
        <v>42</v>
      </c>
    </row>
    <row r="32" spans="1:1" x14ac:dyDescent="0.25">
      <c r="A32" s="1" t="s">
        <v>43</v>
      </c>
    </row>
    <row r="33" spans="1:1" x14ac:dyDescent="0.25">
      <c r="A33" s="1" t="s">
        <v>77</v>
      </c>
    </row>
    <row r="34" spans="1:1" x14ac:dyDescent="0.25">
      <c r="A34" s="1" t="s">
        <v>78</v>
      </c>
    </row>
    <row r="35" spans="1:1" x14ac:dyDescent="0.25">
      <c r="A35" s="1" t="s">
        <v>44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zoomScaleNormal="100" workbookViewId="0">
      <selection activeCell="F14" sqref="F14"/>
    </sheetView>
  </sheetViews>
  <sheetFormatPr baseColWidth="10" defaultRowHeight="13.8" x14ac:dyDescent="0.25"/>
  <cols>
    <col min="2" max="2" width="23" customWidth="1"/>
    <col min="7" max="7" width="4.19921875" customWidth="1"/>
    <col min="8" max="8" width="22.09765625" customWidth="1"/>
  </cols>
  <sheetData>
    <row r="1" spans="1:13" x14ac:dyDescent="0.25">
      <c r="A1" s="1" t="s">
        <v>0</v>
      </c>
    </row>
    <row r="2" spans="1:13" x14ac:dyDescent="0.25">
      <c r="A2" s="1" t="s">
        <v>85</v>
      </c>
    </row>
    <row r="3" spans="1:13" x14ac:dyDescent="0.25">
      <c r="A3" s="1" t="s">
        <v>86</v>
      </c>
    </row>
    <row r="4" spans="1:13" x14ac:dyDescent="0.25">
      <c r="A4" s="1" t="s">
        <v>4</v>
      </c>
      <c r="D4" s="1" t="s">
        <v>5</v>
      </c>
    </row>
    <row r="6" spans="1:13" x14ac:dyDescent="0.25">
      <c r="A6" s="1" t="s">
        <v>1</v>
      </c>
      <c r="H6" s="1" t="s">
        <v>133</v>
      </c>
    </row>
    <row r="7" spans="1:13" x14ac:dyDescent="0.25">
      <c r="A7" s="26" t="s">
        <v>2</v>
      </c>
      <c r="B7" s="26" t="s">
        <v>3</v>
      </c>
      <c r="C7" s="27" t="s">
        <v>6</v>
      </c>
      <c r="H7" s="26" t="s">
        <v>3</v>
      </c>
      <c r="I7" s="29" t="s">
        <v>134</v>
      </c>
      <c r="J7" s="29" t="s">
        <v>140</v>
      </c>
      <c r="K7" s="26" t="s">
        <v>137</v>
      </c>
      <c r="L7" s="29" t="s">
        <v>135</v>
      </c>
      <c r="M7" s="29" t="s">
        <v>136</v>
      </c>
    </row>
    <row r="8" spans="1:13" x14ac:dyDescent="0.25">
      <c r="A8" s="3" t="s">
        <v>7</v>
      </c>
      <c r="B8" s="3" t="s">
        <v>17</v>
      </c>
      <c r="C8" s="13">
        <v>35000</v>
      </c>
      <c r="H8" s="22" t="s">
        <v>111</v>
      </c>
      <c r="I8" s="30" t="s">
        <v>144</v>
      </c>
      <c r="J8" s="30">
        <v>150</v>
      </c>
      <c r="K8" s="30">
        <v>75</v>
      </c>
      <c r="L8" s="17" t="s">
        <v>112</v>
      </c>
      <c r="M8" s="51">
        <f>J8/K8</f>
        <v>2</v>
      </c>
    </row>
    <row r="9" spans="1:13" x14ac:dyDescent="0.25">
      <c r="A9" s="3" t="s">
        <v>8</v>
      </c>
      <c r="B9" s="3" t="s">
        <v>18</v>
      </c>
      <c r="C9" s="13">
        <v>12600</v>
      </c>
      <c r="H9" s="22" t="s">
        <v>113</v>
      </c>
      <c r="I9" s="30" t="s">
        <v>143</v>
      </c>
      <c r="J9" s="30">
        <v>80</v>
      </c>
      <c r="K9" s="30">
        <v>50</v>
      </c>
      <c r="L9" s="17" t="s">
        <v>112</v>
      </c>
      <c r="M9" s="51">
        <f>J9/K9</f>
        <v>1.6</v>
      </c>
    </row>
    <row r="10" spans="1:13" x14ac:dyDescent="0.25">
      <c r="A10" s="3" t="s">
        <v>9</v>
      </c>
      <c r="B10" s="3" t="s">
        <v>19</v>
      </c>
      <c r="C10" s="13">
        <v>36500</v>
      </c>
      <c r="H10" s="22" t="s">
        <v>92</v>
      </c>
      <c r="I10" s="30" t="s">
        <v>142</v>
      </c>
      <c r="J10" s="30">
        <v>12</v>
      </c>
      <c r="K10" s="30">
        <v>50</v>
      </c>
      <c r="L10" s="17" t="s">
        <v>112</v>
      </c>
      <c r="M10" s="51">
        <f t="shared" ref="M10:M27" si="0">J10/K10</f>
        <v>0.24</v>
      </c>
    </row>
    <row r="11" spans="1:13" x14ac:dyDescent="0.25">
      <c r="A11" s="3" t="s">
        <v>10</v>
      </c>
      <c r="B11" s="3" t="s">
        <v>20</v>
      </c>
      <c r="C11" s="13">
        <v>49600</v>
      </c>
      <c r="H11" s="22" t="s">
        <v>114</v>
      </c>
      <c r="I11" s="30" t="s">
        <v>138</v>
      </c>
      <c r="J11" s="30">
        <v>300</v>
      </c>
      <c r="K11" s="30">
        <v>100</v>
      </c>
      <c r="L11" s="17" t="s">
        <v>83</v>
      </c>
      <c r="M11" s="51">
        <f t="shared" si="0"/>
        <v>3</v>
      </c>
    </row>
    <row r="12" spans="1:13" x14ac:dyDescent="0.25">
      <c r="A12" s="3" t="s">
        <v>11</v>
      </c>
      <c r="B12" s="3" t="s">
        <v>21</v>
      </c>
      <c r="C12" s="13">
        <v>35800</v>
      </c>
      <c r="H12" s="22" t="s">
        <v>115</v>
      </c>
      <c r="I12" s="30" t="s">
        <v>240</v>
      </c>
      <c r="J12" s="30">
        <v>120</v>
      </c>
      <c r="K12" s="30">
        <v>75</v>
      </c>
      <c r="L12" s="17" t="s">
        <v>112</v>
      </c>
      <c r="M12" s="51">
        <f t="shared" si="0"/>
        <v>1.6</v>
      </c>
    </row>
    <row r="13" spans="1:13" x14ac:dyDescent="0.25">
      <c r="A13" s="3" t="s">
        <v>12</v>
      </c>
      <c r="B13" s="3" t="s">
        <v>22</v>
      </c>
      <c r="C13" s="13">
        <v>12500</v>
      </c>
      <c r="H13" s="22" t="s">
        <v>116</v>
      </c>
      <c r="I13" s="30" t="s">
        <v>141</v>
      </c>
      <c r="J13" s="30">
        <v>10</v>
      </c>
      <c r="K13" s="30">
        <v>100</v>
      </c>
      <c r="L13" s="17" t="s">
        <v>83</v>
      </c>
      <c r="M13" s="51">
        <f t="shared" si="0"/>
        <v>0.1</v>
      </c>
    </row>
    <row r="14" spans="1:13" x14ac:dyDescent="0.25">
      <c r="A14" s="3" t="s">
        <v>13</v>
      </c>
      <c r="B14" s="3" t="s">
        <v>23</v>
      </c>
      <c r="C14" s="13">
        <v>45600</v>
      </c>
      <c r="H14" s="22" t="s">
        <v>117</v>
      </c>
      <c r="I14" s="30" t="s">
        <v>141</v>
      </c>
      <c r="J14" s="30">
        <v>8</v>
      </c>
      <c r="K14" s="30">
        <v>100</v>
      </c>
      <c r="L14" s="17" t="s">
        <v>83</v>
      </c>
      <c r="M14" s="51">
        <f t="shared" si="0"/>
        <v>0.08</v>
      </c>
    </row>
    <row r="15" spans="1:13" x14ac:dyDescent="0.25">
      <c r="A15" s="3" t="s">
        <v>14</v>
      </c>
      <c r="B15" s="3" t="s">
        <v>24</v>
      </c>
      <c r="C15" s="13">
        <v>7500</v>
      </c>
      <c r="H15" s="22" t="s">
        <v>118</v>
      </c>
      <c r="I15" s="30" t="s">
        <v>131</v>
      </c>
      <c r="J15" s="30">
        <v>50</v>
      </c>
      <c r="K15" s="30">
        <v>1</v>
      </c>
      <c r="L15" s="17" t="s">
        <v>131</v>
      </c>
      <c r="M15" s="51">
        <f t="shared" si="0"/>
        <v>50</v>
      </c>
    </row>
    <row r="16" spans="1:13" x14ac:dyDescent="0.25">
      <c r="A16" s="3" t="s">
        <v>15</v>
      </c>
      <c r="B16" s="3" t="s">
        <v>25</v>
      </c>
      <c r="C16" s="13">
        <v>25800</v>
      </c>
      <c r="H16" s="22" t="s">
        <v>128</v>
      </c>
      <c r="I16" s="30" t="s">
        <v>139</v>
      </c>
      <c r="J16" s="30">
        <v>26</v>
      </c>
      <c r="K16" s="30">
        <v>1</v>
      </c>
      <c r="L16" s="17" t="s">
        <v>83</v>
      </c>
      <c r="M16" s="51">
        <f t="shared" si="0"/>
        <v>26</v>
      </c>
    </row>
    <row r="17" spans="1:13" x14ac:dyDescent="0.25">
      <c r="A17" s="3" t="s">
        <v>16</v>
      </c>
      <c r="B17" s="3" t="s">
        <v>26</v>
      </c>
      <c r="C17" s="13">
        <v>54600</v>
      </c>
      <c r="H17" s="22" t="s">
        <v>129</v>
      </c>
      <c r="I17" s="30" t="s">
        <v>139</v>
      </c>
      <c r="J17" s="30">
        <v>42</v>
      </c>
      <c r="K17" s="30">
        <v>1</v>
      </c>
      <c r="L17" s="17" t="s">
        <v>83</v>
      </c>
      <c r="M17" s="51">
        <f t="shared" si="0"/>
        <v>42</v>
      </c>
    </row>
    <row r="18" spans="1:13" x14ac:dyDescent="0.25">
      <c r="A18" s="3"/>
      <c r="B18" s="12" t="s">
        <v>27</v>
      </c>
      <c r="C18" s="14">
        <f>SUM(C8:C17)</f>
        <v>315500</v>
      </c>
      <c r="H18" s="22" t="s">
        <v>119</v>
      </c>
      <c r="I18" s="30" t="s">
        <v>145</v>
      </c>
      <c r="J18" s="30">
        <v>16</v>
      </c>
      <c r="K18" s="30">
        <v>1</v>
      </c>
      <c r="L18" s="17" t="s">
        <v>132</v>
      </c>
      <c r="M18" s="51">
        <f t="shared" si="0"/>
        <v>16</v>
      </c>
    </row>
    <row r="19" spans="1:13" x14ac:dyDescent="0.25">
      <c r="H19" s="22" t="s">
        <v>120</v>
      </c>
      <c r="I19" s="30" t="s">
        <v>146</v>
      </c>
      <c r="J19" s="30">
        <v>5</v>
      </c>
      <c r="K19" s="30">
        <v>100</v>
      </c>
      <c r="L19" s="17" t="s">
        <v>83</v>
      </c>
      <c r="M19" s="51">
        <f t="shared" si="0"/>
        <v>0.05</v>
      </c>
    </row>
    <row r="20" spans="1:13" x14ac:dyDescent="0.25">
      <c r="A20" s="1" t="s">
        <v>46</v>
      </c>
      <c r="H20" s="22" t="s">
        <v>126</v>
      </c>
      <c r="I20" s="30" t="s">
        <v>138</v>
      </c>
      <c r="J20" s="30">
        <v>30</v>
      </c>
      <c r="K20" s="30">
        <v>100</v>
      </c>
      <c r="L20" s="17" t="s">
        <v>83</v>
      </c>
      <c r="M20" s="51">
        <f t="shared" si="0"/>
        <v>0.3</v>
      </c>
    </row>
    <row r="21" spans="1:13" x14ac:dyDescent="0.25">
      <c r="A21" s="26" t="s">
        <v>2</v>
      </c>
      <c r="B21" s="26" t="s">
        <v>3</v>
      </c>
      <c r="H21" s="22" t="s">
        <v>127</v>
      </c>
      <c r="I21" s="30" t="s">
        <v>138</v>
      </c>
      <c r="J21" s="30">
        <v>45</v>
      </c>
      <c r="K21" s="30">
        <v>100</v>
      </c>
      <c r="L21" s="17" t="s">
        <v>83</v>
      </c>
      <c r="M21" s="51">
        <f t="shared" si="0"/>
        <v>0.45</v>
      </c>
    </row>
    <row r="22" spans="1:13" x14ac:dyDescent="0.25">
      <c r="A22" s="3" t="s">
        <v>47</v>
      </c>
      <c r="B22" s="3" t="s">
        <v>54</v>
      </c>
      <c r="H22" s="22" t="s">
        <v>130</v>
      </c>
      <c r="I22" s="30" t="s">
        <v>146</v>
      </c>
      <c r="J22" s="30">
        <v>29</v>
      </c>
      <c r="K22" s="30">
        <v>100</v>
      </c>
      <c r="L22" s="17" t="s">
        <v>83</v>
      </c>
      <c r="M22" s="51">
        <f t="shared" si="0"/>
        <v>0.28999999999999998</v>
      </c>
    </row>
    <row r="23" spans="1:13" x14ac:dyDescent="0.25">
      <c r="A23" s="3" t="s">
        <v>48</v>
      </c>
      <c r="B23" s="3" t="s">
        <v>55</v>
      </c>
      <c r="H23" s="22" t="s">
        <v>125</v>
      </c>
      <c r="I23" s="30" t="s">
        <v>147</v>
      </c>
      <c r="J23" s="30">
        <v>18</v>
      </c>
      <c r="K23" s="30">
        <v>12</v>
      </c>
      <c r="L23" s="17" t="s">
        <v>83</v>
      </c>
      <c r="M23" s="51">
        <f t="shared" si="0"/>
        <v>1.5</v>
      </c>
    </row>
    <row r="24" spans="1:13" x14ac:dyDescent="0.25">
      <c r="A24" s="3" t="s">
        <v>49</v>
      </c>
      <c r="B24" s="3" t="s">
        <v>56</v>
      </c>
      <c r="H24" s="22" t="s">
        <v>124</v>
      </c>
      <c r="I24" s="30" t="s">
        <v>147</v>
      </c>
      <c r="J24" s="30">
        <v>27</v>
      </c>
      <c r="K24" s="30">
        <v>12</v>
      </c>
      <c r="L24" s="17" t="s">
        <v>83</v>
      </c>
      <c r="M24" s="51">
        <f t="shared" si="0"/>
        <v>2.25</v>
      </c>
    </row>
    <row r="25" spans="1:13" x14ac:dyDescent="0.25">
      <c r="A25" s="3" t="s">
        <v>50</v>
      </c>
      <c r="B25" s="3" t="s">
        <v>57</v>
      </c>
      <c r="H25" s="22" t="s">
        <v>122</v>
      </c>
      <c r="I25" s="30" t="s">
        <v>147</v>
      </c>
      <c r="J25" s="30">
        <v>30</v>
      </c>
      <c r="K25" s="30">
        <v>12</v>
      </c>
      <c r="L25" s="17" t="s">
        <v>83</v>
      </c>
      <c r="M25" s="51">
        <f t="shared" si="0"/>
        <v>2.5</v>
      </c>
    </row>
    <row r="26" spans="1:13" x14ac:dyDescent="0.25">
      <c r="A26" s="3" t="s">
        <v>89</v>
      </c>
      <c r="B26" s="3" t="s">
        <v>90</v>
      </c>
      <c r="H26" s="22" t="s">
        <v>123</v>
      </c>
      <c r="I26" s="30" t="s">
        <v>147</v>
      </c>
      <c r="J26" s="30">
        <v>45</v>
      </c>
      <c r="K26" s="30">
        <v>12</v>
      </c>
      <c r="L26" s="17" t="s">
        <v>83</v>
      </c>
      <c r="M26" s="51">
        <f t="shared" si="0"/>
        <v>3.75</v>
      </c>
    </row>
    <row r="27" spans="1:13" x14ac:dyDescent="0.25">
      <c r="A27" s="3" t="s">
        <v>47</v>
      </c>
      <c r="B27" s="3" t="s">
        <v>58</v>
      </c>
      <c r="H27" s="22" t="s">
        <v>121</v>
      </c>
      <c r="I27" s="30" t="s">
        <v>147</v>
      </c>
      <c r="J27" s="30">
        <v>50</v>
      </c>
      <c r="K27" s="30">
        <v>12</v>
      </c>
      <c r="L27" s="17" t="s">
        <v>83</v>
      </c>
      <c r="M27" s="51">
        <f t="shared" si="0"/>
        <v>4.166666666666667</v>
      </c>
    </row>
    <row r="28" spans="1:13" x14ac:dyDescent="0.25">
      <c r="A28" s="3" t="s">
        <v>48</v>
      </c>
      <c r="B28" s="3" t="s">
        <v>88</v>
      </c>
    </row>
    <row r="29" spans="1:13" x14ac:dyDescent="0.25">
      <c r="A29" s="3" t="s">
        <v>87</v>
      </c>
      <c r="B29" s="3" t="s">
        <v>59</v>
      </c>
      <c r="H29" s="1" t="s">
        <v>201</v>
      </c>
    </row>
    <row r="30" spans="1:13" x14ac:dyDescent="0.25">
      <c r="A30" s="3" t="s">
        <v>221</v>
      </c>
      <c r="B30" s="3" t="s">
        <v>23</v>
      </c>
      <c r="H30" s="26" t="s">
        <v>3</v>
      </c>
      <c r="I30" s="29" t="s">
        <v>134</v>
      </c>
      <c r="J30" s="29" t="s">
        <v>140</v>
      </c>
      <c r="K30" s="26" t="s">
        <v>137</v>
      </c>
      <c r="L30" s="29" t="s">
        <v>135</v>
      </c>
      <c r="M30" s="29" t="s">
        <v>136</v>
      </c>
    </row>
    <row r="31" spans="1:13" x14ac:dyDescent="0.25">
      <c r="A31" s="3" t="s">
        <v>51</v>
      </c>
      <c r="B31" s="3" t="s">
        <v>91</v>
      </c>
      <c r="H31" s="22" t="s">
        <v>203</v>
      </c>
      <c r="I31" s="30" t="s">
        <v>202</v>
      </c>
      <c r="J31" s="30">
        <v>36</v>
      </c>
      <c r="K31" s="30">
        <v>12</v>
      </c>
      <c r="L31" s="17" t="s">
        <v>145</v>
      </c>
      <c r="M31" s="51">
        <f t="shared" ref="M31:M37" si="1">J31/K31</f>
        <v>3</v>
      </c>
    </row>
    <row r="32" spans="1:13" x14ac:dyDescent="0.25">
      <c r="A32" s="3" t="s">
        <v>52</v>
      </c>
      <c r="B32" s="3" t="s">
        <v>92</v>
      </c>
      <c r="H32" s="22" t="s">
        <v>204</v>
      </c>
      <c r="I32" s="30" t="s">
        <v>202</v>
      </c>
      <c r="J32" s="30">
        <v>75</v>
      </c>
      <c r="K32" s="30">
        <v>12</v>
      </c>
      <c r="L32" s="17" t="s">
        <v>145</v>
      </c>
      <c r="M32" s="51">
        <f t="shared" si="1"/>
        <v>6.25</v>
      </c>
    </row>
    <row r="33" spans="1:13" x14ac:dyDescent="0.25">
      <c r="A33" s="3" t="s">
        <v>53</v>
      </c>
      <c r="B33" s="3" t="s">
        <v>93</v>
      </c>
      <c r="H33" s="22" t="s">
        <v>205</v>
      </c>
      <c r="I33" s="30" t="s">
        <v>209</v>
      </c>
      <c r="J33" s="30">
        <v>40</v>
      </c>
      <c r="K33" s="30">
        <v>100</v>
      </c>
      <c r="L33" s="17" t="s">
        <v>83</v>
      </c>
      <c r="M33" s="51">
        <f t="shared" si="1"/>
        <v>0.4</v>
      </c>
    </row>
    <row r="34" spans="1:13" x14ac:dyDescent="0.25">
      <c r="A34" s="3" t="s">
        <v>95</v>
      </c>
      <c r="B34" s="3" t="s">
        <v>94</v>
      </c>
      <c r="H34" s="22" t="s">
        <v>206</v>
      </c>
      <c r="I34" s="30" t="s">
        <v>209</v>
      </c>
      <c r="J34" s="30">
        <v>56</v>
      </c>
      <c r="K34" s="30">
        <v>100</v>
      </c>
      <c r="L34" s="17" t="s">
        <v>83</v>
      </c>
      <c r="M34" s="51">
        <f t="shared" si="1"/>
        <v>0.56000000000000005</v>
      </c>
    </row>
    <row r="35" spans="1:13" x14ac:dyDescent="0.25">
      <c r="A35" s="3" t="s">
        <v>97</v>
      </c>
      <c r="B35" s="3" t="s">
        <v>96</v>
      </c>
      <c r="H35" s="22" t="s">
        <v>207</v>
      </c>
      <c r="I35" s="30" t="s">
        <v>209</v>
      </c>
      <c r="J35" s="30">
        <v>80</v>
      </c>
      <c r="K35" s="30">
        <v>100</v>
      </c>
      <c r="L35" s="17" t="s">
        <v>83</v>
      </c>
      <c r="M35" s="51">
        <f t="shared" si="1"/>
        <v>0.8</v>
      </c>
    </row>
    <row r="36" spans="1:13" x14ac:dyDescent="0.25">
      <c r="A36" s="3" t="s">
        <v>99</v>
      </c>
      <c r="B36" s="3" t="s">
        <v>98</v>
      </c>
      <c r="H36" s="22" t="s">
        <v>208</v>
      </c>
      <c r="I36" s="30" t="s">
        <v>202</v>
      </c>
      <c r="J36" s="30">
        <v>120</v>
      </c>
      <c r="K36" s="30">
        <v>12</v>
      </c>
      <c r="L36" s="17" t="s">
        <v>145</v>
      </c>
      <c r="M36" s="51">
        <f t="shared" si="1"/>
        <v>10</v>
      </c>
    </row>
    <row r="37" spans="1:13" x14ac:dyDescent="0.25">
      <c r="A37" s="3" t="s">
        <v>101</v>
      </c>
      <c r="B37" s="3" t="s">
        <v>100</v>
      </c>
      <c r="H37" s="22" t="s">
        <v>210</v>
      </c>
      <c r="I37" s="30" t="s">
        <v>202</v>
      </c>
      <c r="J37" s="30">
        <v>160</v>
      </c>
      <c r="K37" s="30">
        <v>12</v>
      </c>
      <c r="L37" s="17" t="s">
        <v>145</v>
      </c>
      <c r="M37" s="51">
        <f t="shared" si="1"/>
        <v>13.333333333333334</v>
      </c>
    </row>
    <row r="38" spans="1:13" x14ac:dyDescent="0.25">
      <c r="A38" s="3" t="s">
        <v>222</v>
      </c>
      <c r="B38" s="3" t="s">
        <v>102</v>
      </c>
    </row>
    <row r="40" spans="1:13" x14ac:dyDescent="0.25">
      <c r="A40" s="1" t="s">
        <v>28</v>
      </c>
    </row>
    <row r="41" spans="1:13" x14ac:dyDescent="0.25">
      <c r="A41" s="26" t="s">
        <v>2</v>
      </c>
      <c r="B41" s="26" t="s">
        <v>3</v>
      </c>
      <c r="C41" s="28" t="s">
        <v>68</v>
      </c>
      <c r="D41" s="26" t="s">
        <v>63</v>
      </c>
      <c r="E41" s="28" t="s">
        <v>66</v>
      </c>
      <c r="F41" s="28" t="s">
        <v>67</v>
      </c>
    </row>
    <row r="42" spans="1:13" x14ac:dyDescent="0.25">
      <c r="A42" s="3" t="s">
        <v>60</v>
      </c>
      <c r="B42" s="11" t="s">
        <v>29</v>
      </c>
      <c r="C42" s="5">
        <v>300</v>
      </c>
      <c r="D42" s="3" t="s">
        <v>64</v>
      </c>
      <c r="E42" s="5">
        <v>25.4</v>
      </c>
      <c r="F42" s="5">
        <v>20.100000000000001</v>
      </c>
      <c r="G42" s="32"/>
    </row>
    <row r="43" spans="1:13" x14ac:dyDescent="0.25">
      <c r="A43" s="3" t="s">
        <v>61</v>
      </c>
      <c r="B43" s="11" t="s">
        <v>30</v>
      </c>
      <c r="C43" s="5">
        <v>500</v>
      </c>
      <c r="D43" s="3" t="s">
        <v>65</v>
      </c>
      <c r="E43" s="5">
        <v>15.1</v>
      </c>
      <c r="F43" s="5">
        <v>13.1</v>
      </c>
      <c r="G43" s="32"/>
    </row>
    <row r="44" spans="1:13" x14ac:dyDescent="0.25">
      <c r="A44" s="3" t="s">
        <v>62</v>
      </c>
      <c r="B44" s="11" t="s">
        <v>31</v>
      </c>
      <c r="C44" s="5">
        <v>450</v>
      </c>
      <c r="D44" s="3" t="s">
        <v>64</v>
      </c>
      <c r="E44" s="5">
        <v>22.9</v>
      </c>
      <c r="F44" s="5">
        <v>21.5</v>
      </c>
      <c r="G44" s="32"/>
    </row>
    <row r="45" spans="1:13" x14ac:dyDescent="0.25">
      <c r="A45" s="3" t="s">
        <v>79</v>
      </c>
      <c r="B45" s="11" t="s">
        <v>32</v>
      </c>
      <c r="C45" s="5">
        <v>600</v>
      </c>
      <c r="D45" s="3" t="s">
        <v>64</v>
      </c>
      <c r="E45" s="3"/>
      <c r="F45" s="3"/>
    </row>
    <row r="46" spans="1:13" x14ac:dyDescent="0.25">
      <c r="A46" s="3" t="s">
        <v>80</v>
      </c>
      <c r="B46" s="11" t="s">
        <v>33</v>
      </c>
      <c r="C46" s="5">
        <v>250</v>
      </c>
      <c r="D46" s="3" t="s">
        <v>65</v>
      </c>
      <c r="E46" s="3"/>
      <c r="F46" s="3"/>
    </row>
    <row r="47" spans="1:13" x14ac:dyDescent="0.25">
      <c r="C47" s="32">
        <f>SUM(C42:C46)</f>
        <v>2100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I45" sqref="I45"/>
    </sheetView>
  </sheetViews>
  <sheetFormatPr baseColWidth="10" defaultRowHeight="13.8" x14ac:dyDescent="0.25"/>
  <cols>
    <col min="1" max="1" width="7.59765625" customWidth="1"/>
    <col min="2" max="2" width="22.09765625" customWidth="1"/>
    <col min="3" max="3" width="17.69921875" bestFit="1" customWidth="1"/>
    <col min="5" max="5" width="7.09765625" bestFit="1" customWidth="1"/>
    <col min="6" max="6" width="10.3984375" bestFit="1" customWidth="1"/>
    <col min="7" max="7" width="9.3984375" bestFit="1" customWidth="1"/>
    <col min="8" max="8" width="14.8984375" bestFit="1" customWidth="1"/>
    <col min="9" max="9" width="13.59765625" bestFit="1" customWidth="1"/>
  </cols>
  <sheetData>
    <row r="1" spans="1:9" x14ac:dyDescent="0.25">
      <c r="A1" s="1" t="s">
        <v>148</v>
      </c>
    </row>
    <row r="2" spans="1:9" x14ac:dyDescent="0.25">
      <c r="A2" s="26" t="s">
        <v>2</v>
      </c>
      <c r="B2" s="26" t="s">
        <v>3</v>
      </c>
      <c r="C2" s="26" t="s">
        <v>149</v>
      </c>
      <c r="D2" s="29" t="s">
        <v>163</v>
      </c>
      <c r="E2" s="29" t="s">
        <v>151</v>
      </c>
      <c r="F2" s="29" t="s">
        <v>152</v>
      </c>
      <c r="G2" s="29" t="s">
        <v>27</v>
      </c>
      <c r="H2" s="29" t="s">
        <v>153</v>
      </c>
      <c r="I2" s="29" t="s">
        <v>154</v>
      </c>
    </row>
    <row r="3" spans="1:9" x14ac:dyDescent="0.25">
      <c r="A3" s="3" t="s">
        <v>47</v>
      </c>
      <c r="B3" s="3" t="s">
        <v>54</v>
      </c>
      <c r="C3" s="3" t="s">
        <v>150</v>
      </c>
      <c r="D3" s="31">
        <v>8500</v>
      </c>
      <c r="E3" s="31">
        <v>849</v>
      </c>
      <c r="F3" s="31">
        <v>1020</v>
      </c>
      <c r="G3" s="31">
        <f>SUM(D3:F3)</f>
        <v>10369</v>
      </c>
      <c r="H3" s="31">
        <f>11*6*4</f>
        <v>264</v>
      </c>
      <c r="I3" s="68"/>
    </row>
    <row r="4" spans="1:9" x14ac:dyDescent="0.25">
      <c r="A4" s="3"/>
      <c r="B4" s="3"/>
      <c r="C4" s="3" t="s">
        <v>155</v>
      </c>
      <c r="D4" s="31">
        <v>2300</v>
      </c>
      <c r="E4" s="31">
        <v>235</v>
      </c>
      <c r="F4" s="31">
        <v>280</v>
      </c>
      <c r="G4" s="31">
        <f t="shared" ref="G4:G51" si="0">SUM(D4:F4)</f>
        <v>2815</v>
      </c>
      <c r="H4" s="31">
        <f>9*6*4</f>
        <v>216</v>
      </c>
      <c r="I4" s="68"/>
    </row>
    <row r="5" spans="1:9" x14ac:dyDescent="0.25">
      <c r="A5" s="3" t="s">
        <v>48</v>
      </c>
      <c r="B5" s="3" t="s">
        <v>55</v>
      </c>
      <c r="C5" s="3" t="s">
        <v>156</v>
      </c>
      <c r="D5" s="31">
        <v>3500</v>
      </c>
      <c r="E5" s="31">
        <v>360</v>
      </c>
      <c r="F5" s="31">
        <v>410</v>
      </c>
      <c r="G5" s="31">
        <f t="shared" si="0"/>
        <v>4270</v>
      </c>
      <c r="H5" s="31">
        <f>10*6*4</f>
        <v>240</v>
      </c>
      <c r="I5" s="68"/>
    </row>
    <row r="6" spans="1:9" x14ac:dyDescent="0.25">
      <c r="A6" s="3"/>
      <c r="B6" s="3"/>
      <c r="C6" s="3" t="s">
        <v>157</v>
      </c>
      <c r="D6" s="31">
        <v>2200</v>
      </c>
      <c r="E6" s="31">
        <v>225</v>
      </c>
      <c r="F6" s="31">
        <v>268</v>
      </c>
      <c r="G6" s="31">
        <f t="shared" si="0"/>
        <v>2693</v>
      </c>
      <c r="H6" s="31">
        <f>8*6*4</f>
        <v>192</v>
      </c>
      <c r="I6" s="68"/>
    </row>
    <row r="7" spans="1:9" x14ac:dyDescent="0.25">
      <c r="A7" s="3"/>
      <c r="B7" s="3"/>
      <c r="C7" s="3" t="s">
        <v>158</v>
      </c>
      <c r="D7" s="31">
        <v>3100</v>
      </c>
      <c r="E7" s="31">
        <v>309</v>
      </c>
      <c r="F7" s="31">
        <v>371</v>
      </c>
      <c r="G7" s="31">
        <f t="shared" si="0"/>
        <v>3780</v>
      </c>
      <c r="H7" s="31">
        <f>9.5*6*4</f>
        <v>228</v>
      </c>
      <c r="I7" s="68"/>
    </row>
    <row r="8" spans="1:9" x14ac:dyDescent="0.25">
      <c r="A8" s="3" t="s">
        <v>49</v>
      </c>
      <c r="B8" s="3" t="s">
        <v>56</v>
      </c>
      <c r="C8" s="3" t="s">
        <v>159</v>
      </c>
      <c r="D8" s="31">
        <v>6500</v>
      </c>
      <c r="E8" s="31">
        <v>664</v>
      </c>
      <c r="F8" s="31">
        <v>781</v>
      </c>
      <c r="G8" s="31">
        <f t="shared" si="0"/>
        <v>7945</v>
      </c>
      <c r="H8" s="31">
        <f>10.5*6*4</f>
        <v>252</v>
      </c>
      <c r="I8" s="68"/>
    </row>
    <row r="9" spans="1:9" x14ac:dyDescent="0.25">
      <c r="A9" s="3"/>
      <c r="B9" s="3"/>
      <c r="C9" s="3" t="s">
        <v>155</v>
      </c>
      <c r="D9" s="31">
        <v>2000</v>
      </c>
      <c r="E9" s="31">
        <v>210</v>
      </c>
      <c r="F9" s="31">
        <v>236</v>
      </c>
      <c r="G9" s="31">
        <f t="shared" si="0"/>
        <v>2446</v>
      </c>
      <c r="H9" s="31">
        <f>8.5*6*4</f>
        <v>204</v>
      </c>
      <c r="I9" s="68"/>
    </row>
    <row r="10" spans="1:9" x14ac:dyDescent="0.25">
      <c r="A10" s="3" t="s">
        <v>50</v>
      </c>
      <c r="B10" s="3" t="s">
        <v>57</v>
      </c>
      <c r="C10" s="3" t="s">
        <v>160</v>
      </c>
      <c r="D10" s="31">
        <v>1680</v>
      </c>
      <c r="E10" s="31">
        <v>179</v>
      </c>
      <c r="F10" s="31">
        <v>210.6</v>
      </c>
      <c r="G10" s="31">
        <f t="shared" si="0"/>
        <v>2069.6</v>
      </c>
      <c r="H10" s="31">
        <f>8*6*4</f>
        <v>192</v>
      </c>
      <c r="I10" s="68"/>
    </row>
    <row r="11" spans="1:9" x14ac:dyDescent="0.25">
      <c r="A11" s="3"/>
      <c r="B11" s="3"/>
      <c r="C11" s="3" t="s">
        <v>161</v>
      </c>
      <c r="D11" s="31">
        <v>1200</v>
      </c>
      <c r="E11" s="31">
        <v>126</v>
      </c>
      <c r="F11" s="31">
        <v>134</v>
      </c>
      <c r="G11" s="31">
        <f t="shared" si="0"/>
        <v>1460</v>
      </c>
      <c r="H11" s="31">
        <f>8*6*4</f>
        <v>192</v>
      </c>
      <c r="I11" s="68"/>
    </row>
    <row r="12" spans="1:9" x14ac:dyDescent="0.25">
      <c r="A12" s="3" t="s">
        <v>89</v>
      </c>
      <c r="B12" s="3" t="s">
        <v>90</v>
      </c>
      <c r="C12" s="3" t="s">
        <v>162</v>
      </c>
      <c r="D12" s="31">
        <v>1500</v>
      </c>
      <c r="E12" s="31">
        <v>159</v>
      </c>
      <c r="F12" s="31">
        <v>181</v>
      </c>
      <c r="G12" s="31">
        <f t="shared" si="0"/>
        <v>1840</v>
      </c>
      <c r="H12" s="31">
        <f>10.5*6*4</f>
        <v>252</v>
      </c>
      <c r="I12" s="68"/>
    </row>
    <row r="13" spans="1:9" x14ac:dyDescent="0.25">
      <c r="A13" s="3"/>
      <c r="B13" s="3"/>
      <c r="C13" s="3" t="s">
        <v>164</v>
      </c>
      <c r="D13" s="31">
        <v>950</v>
      </c>
      <c r="E13" s="31">
        <v>94</v>
      </c>
      <c r="F13" s="31">
        <v>110</v>
      </c>
      <c r="G13" s="31">
        <f t="shared" si="0"/>
        <v>1154</v>
      </c>
      <c r="H13" s="31">
        <f>8*6*4</f>
        <v>192</v>
      </c>
      <c r="I13" s="68"/>
    </row>
    <row r="14" spans="1:9" x14ac:dyDescent="0.25">
      <c r="A14" s="3"/>
      <c r="B14" s="3"/>
      <c r="C14" s="3" t="s">
        <v>165</v>
      </c>
      <c r="D14" s="31">
        <v>960</v>
      </c>
      <c r="E14" s="31">
        <v>98</v>
      </c>
      <c r="F14" s="31">
        <v>118</v>
      </c>
      <c r="G14" s="31">
        <f t="shared" si="0"/>
        <v>1176</v>
      </c>
      <c r="H14" s="31">
        <f>8*6*4</f>
        <v>192</v>
      </c>
      <c r="I14" s="68"/>
    </row>
    <row r="15" spans="1:9" x14ac:dyDescent="0.25">
      <c r="A15" s="3" t="s">
        <v>47</v>
      </c>
      <c r="B15" s="3" t="s">
        <v>58</v>
      </c>
      <c r="C15" s="3" t="s">
        <v>166</v>
      </c>
      <c r="D15" s="31">
        <v>7500</v>
      </c>
      <c r="E15" s="31">
        <v>746</v>
      </c>
      <c r="F15" s="31">
        <v>842</v>
      </c>
      <c r="G15" s="31">
        <f t="shared" si="0"/>
        <v>9088</v>
      </c>
      <c r="H15" s="31">
        <f>11.5*6*4</f>
        <v>276</v>
      </c>
      <c r="I15" s="68"/>
    </row>
    <row r="16" spans="1:9" x14ac:dyDescent="0.25">
      <c r="A16" s="3"/>
      <c r="B16" s="3"/>
      <c r="C16" s="3" t="s">
        <v>167</v>
      </c>
      <c r="D16" s="31">
        <v>1250</v>
      </c>
      <c r="E16" s="31">
        <v>135</v>
      </c>
      <c r="F16" s="31">
        <v>168</v>
      </c>
      <c r="G16" s="31">
        <f t="shared" si="0"/>
        <v>1553</v>
      </c>
      <c r="H16" s="31">
        <f>9.2*6*4</f>
        <v>220.79999999999998</v>
      </c>
      <c r="I16" s="68"/>
    </row>
    <row r="17" spans="1:9" x14ac:dyDescent="0.25">
      <c r="A17" s="3" t="s">
        <v>48</v>
      </c>
      <c r="B17" s="3" t="s">
        <v>88</v>
      </c>
      <c r="C17" s="3" t="s">
        <v>168</v>
      </c>
      <c r="D17" s="31">
        <v>3280</v>
      </c>
      <c r="E17" s="31">
        <v>349</v>
      </c>
      <c r="F17" s="31">
        <v>410</v>
      </c>
      <c r="G17" s="31">
        <f t="shared" si="0"/>
        <v>4039</v>
      </c>
      <c r="H17" s="31">
        <f>9.8*6*4</f>
        <v>235.20000000000002</v>
      </c>
      <c r="I17" s="68"/>
    </row>
    <row r="18" spans="1:9" x14ac:dyDescent="0.25">
      <c r="A18" s="3"/>
      <c r="B18" s="3"/>
      <c r="C18" s="3" t="s">
        <v>169</v>
      </c>
      <c r="D18" s="31">
        <v>1900</v>
      </c>
      <c r="E18" s="31">
        <v>210</v>
      </c>
      <c r="F18" s="31">
        <v>341</v>
      </c>
      <c r="G18" s="31">
        <f t="shared" si="0"/>
        <v>2451</v>
      </c>
      <c r="H18" s="31">
        <f>8*6*4</f>
        <v>192</v>
      </c>
      <c r="I18" s="68"/>
    </row>
    <row r="19" spans="1:9" x14ac:dyDescent="0.25">
      <c r="A19" s="3"/>
      <c r="B19" s="3"/>
      <c r="C19" s="3" t="s">
        <v>164</v>
      </c>
      <c r="D19" s="31">
        <v>1100</v>
      </c>
      <c r="E19" s="31">
        <v>123</v>
      </c>
      <c r="F19" s="31">
        <v>154</v>
      </c>
      <c r="G19" s="31">
        <f t="shared" si="0"/>
        <v>1377</v>
      </c>
      <c r="H19" s="31">
        <f>8*6*4</f>
        <v>192</v>
      </c>
      <c r="I19" s="68"/>
    </row>
    <row r="20" spans="1:9" x14ac:dyDescent="0.25">
      <c r="A20" s="3" t="s">
        <v>48</v>
      </c>
      <c r="B20" s="3" t="s">
        <v>59</v>
      </c>
      <c r="C20" s="3" t="s">
        <v>162</v>
      </c>
      <c r="D20" s="31">
        <v>1750</v>
      </c>
      <c r="E20" s="31">
        <v>179</v>
      </c>
      <c r="F20" s="31">
        <v>225</v>
      </c>
      <c r="G20" s="31">
        <f t="shared" si="0"/>
        <v>2154</v>
      </c>
      <c r="H20" s="31">
        <f>9.4*6*4</f>
        <v>225.60000000000002</v>
      </c>
      <c r="I20" s="68"/>
    </row>
    <row r="21" spans="1:9" x14ac:dyDescent="0.25">
      <c r="A21" s="3"/>
      <c r="B21" s="3"/>
      <c r="C21" s="3" t="s">
        <v>170</v>
      </c>
      <c r="D21" s="31">
        <v>940</v>
      </c>
      <c r="E21" s="31">
        <v>105</v>
      </c>
      <c r="F21" s="31">
        <v>113</v>
      </c>
      <c r="G21" s="31">
        <f t="shared" si="0"/>
        <v>1158</v>
      </c>
      <c r="H21" s="31">
        <f>8*6*4</f>
        <v>192</v>
      </c>
      <c r="I21" s="68"/>
    </row>
    <row r="22" spans="1:9" x14ac:dyDescent="0.25">
      <c r="A22" s="3"/>
      <c r="B22" s="3"/>
      <c r="C22" s="3" t="s">
        <v>171</v>
      </c>
      <c r="D22" s="31">
        <v>1020</v>
      </c>
      <c r="E22" s="31">
        <v>112</v>
      </c>
      <c r="F22" s="31">
        <v>132</v>
      </c>
      <c r="G22" s="31">
        <f t="shared" si="0"/>
        <v>1264</v>
      </c>
      <c r="H22" s="31">
        <f>8*6*4</f>
        <v>192</v>
      </c>
      <c r="I22" s="68"/>
    </row>
    <row r="23" spans="1:9" x14ac:dyDescent="0.25">
      <c r="A23" s="3" t="s">
        <v>87</v>
      </c>
      <c r="B23" s="3" t="s">
        <v>23</v>
      </c>
      <c r="C23" s="3" t="s">
        <v>172</v>
      </c>
      <c r="D23" s="31">
        <v>1260</v>
      </c>
      <c r="E23" s="31">
        <v>128</v>
      </c>
      <c r="F23" s="31">
        <v>161</v>
      </c>
      <c r="G23" s="31">
        <f t="shared" si="0"/>
        <v>1549</v>
      </c>
      <c r="H23" s="31">
        <f>7.5*6*4</f>
        <v>180</v>
      </c>
      <c r="I23" s="68"/>
    </row>
    <row r="24" spans="1:9" x14ac:dyDescent="0.25">
      <c r="A24" s="3"/>
      <c r="B24" s="3"/>
      <c r="C24" s="3" t="s">
        <v>173</v>
      </c>
      <c r="D24" s="31">
        <v>1120</v>
      </c>
      <c r="E24" s="31">
        <v>122</v>
      </c>
      <c r="F24" s="31">
        <v>133</v>
      </c>
      <c r="G24" s="31">
        <f t="shared" si="0"/>
        <v>1375</v>
      </c>
      <c r="H24" s="31">
        <f>7.8*6*4</f>
        <v>187.2</v>
      </c>
      <c r="I24" s="68"/>
    </row>
    <row r="25" spans="1:9" x14ac:dyDescent="0.25">
      <c r="A25" s="3" t="s">
        <v>51</v>
      </c>
      <c r="B25" s="3" t="s">
        <v>91</v>
      </c>
      <c r="C25" s="3" t="s">
        <v>174</v>
      </c>
      <c r="D25" s="31">
        <v>2400</v>
      </c>
      <c r="E25" s="31">
        <v>246</v>
      </c>
      <c r="F25" s="31">
        <v>298</v>
      </c>
      <c r="G25" s="31">
        <f t="shared" si="0"/>
        <v>2944</v>
      </c>
      <c r="H25" s="31">
        <f>8.1*6*4</f>
        <v>194.39999999999998</v>
      </c>
      <c r="I25" s="68"/>
    </row>
    <row r="26" spans="1:9" x14ac:dyDescent="0.25">
      <c r="A26" s="3"/>
      <c r="B26" s="3"/>
      <c r="C26" s="79" t="s">
        <v>175</v>
      </c>
      <c r="D26" s="80">
        <v>960</v>
      </c>
      <c r="E26" s="80">
        <v>101</v>
      </c>
      <c r="F26" s="80">
        <v>116</v>
      </c>
      <c r="G26" s="80">
        <f t="shared" si="0"/>
        <v>1177</v>
      </c>
      <c r="H26" s="80">
        <f>7.1*6*4</f>
        <v>170.39999999999998</v>
      </c>
      <c r="I26" s="80"/>
    </row>
    <row r="27" spans="1:9" x14ac:dyDescent="0.25">
      <c r="A27" s="3"/>
      <c r="B27" s="3"/>
      <c r="C27" s="79" t="s">
        <v>176</v>
      </c>
      <c r="D27" s="80">
        <v>860</v>
      </c>
      <c r="E27" s="80">
        <v>88</v>
      </c>
      <c r="F27" s="80">
        <v>104</v>
      </c>
      <c r="G27" s="80">
        <f t="shared" si="0"/>
        <v>1052</v>
      </c>
      <c r="H27" s="80">
        <f>7.9*6*4</f>
        <v>189.60000000000002</v>
      </c>
      <c r="I27" s="80"/>
    </row>
    <row r="28" spans="1:9" x14ac:dyDescent="0.25">
      <c r="A28" s="3"/>
      <c r="B28" s="3"/>
      <c r="C28" s="79" t="s">
        <v>177</v>
      </c>
      <c r="D28" s="80">
        <v>810</v>
      </c>
      <c r="E28" s="80">
        <v>84</v>
      </c>
      <c r="F28" s="80">
        <v>102</v>
      </c>
      <c r="G28" s="80">
        <f t="shared" si="0"/>
        <v>996</v>
      </c>
      <c r="H28" s="80">
        <f>7.8*6*4</f>
        <v>187.2</v>
      </c>
      <c r="I28" s="80"/>
    </row>
    <row r="29" spans="1:9" x14ac:dyDescent="0.25">
      <c r="A29" s="3" t="s">
        <v>52</v>
      </c>
      <c r="B29" s="3" t="s">
        <v>92</v>
      </c>
      <c r="C29" s="3" t="s">
        <v>178</v>
      </c>
      <c r="D29" s="31">
        <v>1290</v>
      </c>
      <c r="E29" s="31">
        <v>134</v>
      </c>
      <c r="F29" s="31">
        <v>164</v>
      </c>
      <c r="G29" s="31">
        <f t="shared" si="0"/>
        <v>1588</v>
      </c>
      <c r="H29" s="31">
        <f>8*6*4</f>
        <v>192</v>
      </c>
      <c r="I29" s="68"/>
    </row>
    <row r="30" spans="1:9" x14ac:dyDescent="0.25">
      <c r="A30" s="3"/>
      <c r="B30" s="3"/>
      <c r="C30" s="79" t="s">
        <v>179</v>
      </c>
      <c r="D30" s="80">
        <v>850</v>
      </c>
      <c r="E30" s="80">
        <v>87</v>
      </c>
      <c r="F30" s="80">
        <v>112</v>
      </c>
      <c r="G30" s="80">
        <f t="shared" si="0"/>
        <v>1049</v>
      </c>
      <c r="H30" s="80">
        <f>7.9*6*4</f>
        <v>189.60000000000002</v>
      </c>
      <c r="I30" s="80"/>
    </row>
    <row r="31" spans="1:9" x14ac:dyDescent="0.25">
      <c r="A31" s="3"/>
      <c r="B31" s="3"/>
      <c r="C31" s="79" t="s">
        <v>180</v>
      </c>
      <c r="D31" s="80">
        <v>750</v>
      </c>
      <c r="E31" s="80">
        <v>83</v>
      </c>
      <c r="F31" s="80">
        <v>94</v>
      </c>
      <c r="G31" s="80">
        <f t="shared" si="0"/>
        <v>927</v>
      </c>
      <c r="H31" s="80">
        <f>7.6*6*4</f>
        <v>182.39999999999998</v>
      </c>
      <c r="I31" s="80"/>
    </row>
    <row r="32" spans="1:9" x14ac:dyDescent="0.25">
      <c r="A32" s="3" t="s">
        <v>53</v>
      </c>
      <c r="B32" s="3" t="s">
        <v>93</v>
      </c>
      <c r="C32" s="3" t="s">
        <v>181</v>
      </c>
      <c r="D32" s="31">
        <v>1130</v>
      </c>
      <c r="E32" s="31">
        <v>121</v>
      </c>
      <c r="F32" s="31">
        <v>143</v>
      </c>
      <c r="G32" s="31">
        <f t="shared" si="0"/>
        <v>1394</v>
      </c>
      <c r="H32" s="31">
        <f>8*6*4</f>
        <v>192</v>
      </c>
      <c r="I32" s="68"/>
    </row>
    <row r="33" spans="1:9" x14ac:dyDescent="0.25">
      <c r="A33" s="3"/>
      <c r="B33" s="3"/>
      <c r="C33" s="79" t="s">
        <v>182</v>
      </c>
      <c r="D33" s="80">
        <v>960</v>
      </c>
      <c r="E33" s="80">
        <v>102</v>
      </c>
      <c r="F33" s="80">
        <v>106</v>
      </c>
      <c r="G33" s="80">
        <f t="shared" si="0"/>
        <v>1168</v>
      </c>
      <c r="H33" s="80">
        <f>7.6*6*4</f>
        <v>182.39999999999998</v>
      </c>
      <c r="I33" s="80"/>
    </row>
    <row r="34" spans="1:9" x14ac:dyDescent="0.25">
      <c r="A34" s="3"/>
      <c r="B34" s="3"/>
      <c r="C34" s="79" t="s">
        <v>183</v>
      </c>
      <c r="D34" s="80">
        <v>810</v>
      </c>
      <c r="E34" s="80">
        <v>91</v>
      </c>
      <c r="F34" s="80">
        <v>98</v>
      </c>
      <c r="G34" s="80">
        <f t="shared" si="0"/>
        <v>999</v>
      </c>
      <c r="H34" s="80">
        <f>7.5*6*4</f>
        <v>180</v>
      </c>
      <c r="I34" s="80"/>
    </row>
    <row r="35" spans="1:9" x14ac:dyDescent="0.25">
      <c r="A35" s="3" t="s">
        <v>53</v>
      </c>
      <c r="B35" s="3" t="s">
        <v>94</v>
      </c>
      <c r="C35" s="3" t="s">
        <v>184</v>
      </c>
      <c r="D35" s="31">
        <v>1260</v>
      </c>
      <c r="E35" s="31">
        <v>136</v>
      </c>
      <c r="F35" s="31">
        <v>141</v>
      </c>
      <c r="G35" s="31">
        <f t="shared" si="0"/>
        <v>1537</v>
      </c>
      <c r="H35" s="31">
        <f>8*6*4</f>
        <v>192</v>
      </c>
      <c r="I35" s="68"/>
    </row>
    <row r="36" spans="1:9" x14ac:dyDescent="0.25">
      <c r="A36" s="3"/>
      <c r="B36" s="3"/>
      <c r="C36" s="79" t="s">
        <v>185</v>
      </c>
      <c r="D36" s="80">
        <v>862</v>
      </c>
      <c r="E36" s="80">
        <v>87</v>
      </c>
      <c r="F36" s="80">
        <v>102</v>
      </c>
      <c r="G36" s="80">
        <f t="shared" si="0"/>
        <v>1051</v>
      </c>
      <c r="H36" s="80">
        <f>7.5*6*4</f>
        <v>180</v>
      </c>
      <c r="I36" s="80"/>
    </row>
    <row r="37" spans="1:9" x14ac:dyDescent="0.25">
      <c r="A37" s="3" t="s">
        <v>95</v>
      </c>
      <c r="B37" s="3" t="s">
        <v>96</v>
      </c>
      <c r="C37" s="3" t="s">
        <v>186</v>
      </c>
      <c r="D37" s="31">
        <v>1110</v>
      </c>
      <c r="E37" s="31">
        <v>121</v>
      </c>
      <c r="F37" s="31">
        <v>123</v>
      </c>
      <c r="G37" s="31">
        <f t="shared" si="0"/>
        <v>1354</v>
      </c>
      <c r="H37" s="31">
        <f>8*6*4</f>
        <v>192</v>
      </c>
      <c r="I37" s="68"/>
    </row>
    <row r="38" spans="1:9" x14ac:dyDescent="0.25">
      <c r="A38" s="3"/>
      <c r="B38" s="3"/>
      <c r="C38" s="79" t="s">
        <v>187</v>
      </c>
      <c r="D38" s="80">
        <v>736</v>
      </c>
      <c r="E38" s="80">
        <v>74</v>
      </c>
      <c r="F38" s="80">
        <v>87</v>
      </c>
      <c r="G38" s="80">
        <f t="shared" si="0"/>
        <v>897</v>
      </c>
      <c r="H38" s="80">
        <f>7.2*6*4</f>
        <v>172.8</v>
      </c>
      <c r="I38" s="80"/>
    </row>
    <row r="39" spans="1:9" x14ac:dyDescent="0.25">
      <c r="A39" s="3" t="s">
        <v>97</v>
      </c>
      <c r="B39" s="3" t="s">
        <v>98</v>
      </c>
      <c r="C39" s="3" t="s">
        <v>188</v>
      </c>
      <c r="D39" s="31">
        <v>1241</v>
      </c>
      <c r="E39" s="31">
        <v>121</v>
      </c>
      <c r="F39" s="31">
        <v>149</v>
      </c>
      <c r="G39" s="31">
        <f t="shared" si="0"/>
        <v>1511</v>
      </c>
      <c r="H39" s="31">
        <f>8*6*4</f>
        <v>192</v>
      </c>
      <c r="I39" s="68"/>
    </row>
    <row r="40" spans="1:9" x14ac:dyDescent="0.25">
      <c r="A40" s="3"/>
      <c r="B40" s="3"/>
      <c r="C40" s="79" t="s">
        <v>189</v>
      </c>
      <c r="D40" s="80">
        <v>815</v>
      </c>
      <c r="E40" s="80">
        <v>85</v>
      </c>
      <c r="F40" s="80">
        <v>99</v>
      </c>
      <c r="G40" s="80">
        <f t="shared" si="0"/>
        <v>999</v>
      </c>
      <c r="H40" s="80">
        <f>7.3*6*4</f>
        <v>175.2</v>
      </c>
      <c r="I40" s="80"/>
    </row>
    <row r="41" spans="1:9" x14ac:dyDescent="0.25">
      <c r="A41" s="3"/>
      <c r="B41" s="3"/>
      <c r="C41" s="79" t="s">
        <v>190</v>
      </c>
      <c r="D41" s="80">
        <v>971</v>
      </c>
      <c r="E41" s="80">
        <v>98</v>
      </c>
      <c r="F41" s="80">
        <v>125</v>
      </c>
      <c r="G41" s="80">
        <f t="shared" si="0"/>
        <v>1194</v>
      </c>
      <c r="H41" s="80">
        <f>7.4*6*4</f>
        <v>177.60000000000002</v>
      </c>
      <c r="I41" s="80"/>
    </row>
    <row r="42" spans="1:9" x14ac:dyDescent="0.25">
      <c r="A42" s="3"/>
      <c r="B42" s="3"/>
      <c r="C42" s="79" t="s">
        <v>192</v>
      </c>
      <c r="D42" s="80">
        <v>738</v>
      </c>
      <c r="E42" s="80">
        <v>74</v>
      </c>
      <c r="F42" s="80">
        <v>87</v>
      </c>
      <c r="G42" s="80">
        <f t="shared" si="0"/>
        <v>899</v>
      </c>
      <c r="H42" s="80">
        <f>6.9*6*4</f>
        <v>165.60000000000002</v>
      </c>
      <c r="I42" s="80"/>
    </row>
    <row r="43" spans="1:9" x14ac:dyDescent="0.25">
      <c r="A43" s="3" t="s">
        <v>99</v>
      </c>
      <c r="B43" s="3" t="s">
        <v>100</v>
      </c>
      <c r="C43" s="3" t="s">
        <v>191</v>
      </c>
      <c r="D43" s="31">
        <v>1345</v>
      </c>
      <c r="E43" s="31">
        <v>134</v>
      </c>
      <c r="F43" s="31">
        <v>165</v>
      </c>
      <c r="G43" s="31">
        <f t="shared" si="0"/>
        <v>1644</v>
      </c>
      <c r="H43" s="31">
        <f>8*6*4</f>
        <v>192</v>
      </c>
      <c r="I43" s="68"/>
    </row>
    <row r="44" spans="1:9" x14ac:dyDescent="0.25">
      <c r="A44" s="3"/>
      <c r="B44" s="3"/>
      <c r="C44" s="79" t="s">
        <v>193</v>
      </c>
      <c r="D44" s="80">
        <v>840</v>
      </c>
      <c r="E44" s="80">
        <v>89</v>
      </c>
      <c r="F44" s="80">
        <v>102</v>
      </c>
      <c r="G44" s="80">
        <f t="shared" si="0"/>
        <v>1031</v>
      </c>
      <c r="H44" s="80">
        <f>7.1*6*4</f>
        <v>170.39999999999998</v>
      </c>
      <c r="I44" s="80"/>
    </row>
    <row r="45" spans="1:9" x14ac:dyDescent="0.25">
      <c r="A45" s="3"/>
      <c r="B45" s="3"/>
      <c r="C45" s="79" t="s">
        <v>194</v>
      </c>
      <c r="D45" s="80">
        <v>782</v>
      </c>
      <c r="E45" s="80">
        <v>81</v>
      </c>
      <c r="F45" s="80">
        <v>94</v>
      </c>
      <c r="G45" s="80">
        <f t="shared" si="0"/>
        <v>957</v>
      </c>
      <c r="H45" s="80">
        <f>7.8*6*4</f>
        <v>187.2</v>
      </c>
      <c r="I45" s="80"/>
    </row>
    <row r="46" spans="1:9" x14ac:dyDescent="0.25">
      <c r="A46" s="3"/>
      <c r="B46" s="3"/>
      <c r="C46" s="79" t="s">
        <v>195</v>
      </c>
      <c r="D46" s="80">
        <v>794</v>
      </c>
      <c r="E46" s="80">
        <v>80</v>
      </c>
      <c r="F46" s="80">
        <v>96</v>
      </c>
      <c r="G46" s="80">
        <f t="shared" si="0"/>
        <v>970</v>
      </c>
      <c r="H46" s="80">
        <f>6.8*6*4</f>
        <v>163.19999999999999</v>
      </c>
      <c r="I46" s="80"/>
    </row>
    <row r="47" spans="1:9" x14ac:dyDescent="0.25">
      <c r="A47" s="3" t="s">
        <v>101</v>
      </c>
      <c r="B47" s="3" t="s">
        <v>102</v>
      </c>
      <c r="C47" s="3" t="s">
        <v>196</v>
      </c>
      <c r="D47" s="31">
        <v>1136</v>
      </c>
      <c r="E47" s="31">
        <v>124</v>
      </c>
      <c r="F47" s="31">
        <v>135</v>
      </c>
      <c r="G47" s="31">
        <f t="shared" si="0"/>
        <v>1395</v>
      </c>
      <c r="H47" s="31">
        <f>8*6*4</f>
        <v>192</v>
      </c>
      <c r="I47" s="68"/>
    </row>
    <row r="48" spans="1:9" x14ac:dyDescent="0.25">
      <c r="A48" s="3"/>
      <c r="B48" s="3"/>
      <c r="C48" s="79" t="s">
        <v>197</v>
      </c>
      <c r="D48" s="80">
        <v>940</v>
      </c>
      <c r="E48" s="80">
        <v>89</v>
      </c>
      <c r="F48" s="80">
        <v>121</v>
      </c>
      <c r="G48" s="80">
        <f t="shared" si="0"/>
        <v>1150</v>
      </c>
      <c r="H48" s="80">
        <f>7.6*6*4</f>
        <v>182.39999999999998</v>
      </c>
      <c r="I48" s="80"/>
    </row>
    <row r="49" spans="1:9" x14ac:dyDescent="0.25">
      <c r="A49" s="3"/>
      <c r="B49" s="3"/>
      <c r="C49" s="79" t="s">
        <v>198</v>
      </c>
      <c r="D49" s="80">
        <v>850</v>
      </c>
      <c r="E49" s="80">
        <v>86</v>
      </c>
      <c r="F49" s="80">
        <v>122</v>
      </c>
      <c r="G49" s="80">
        <f t="shared" si="0"/>
        <v>1058</v>
      </c>
      <c r="H49" s="80">
        <f>7.5*6*4</f>
        <v>180</v>
      </c>
      <c r="I49" s="80"/>
    </row>
    <row r="50" spans="1:9" x14ac:dyDescent="0.25">
      <c r="A50" s="3"/>
      <c r="B50" s="3"/>
      <c r="C50" s="79" t="s">
        <v>199</v>
      </c>
      <c r="D50" s="80">
        <v>865</v>
      </c>
      <c r="E50" s="80">
        <v>87</v>
      </c>
      <c r="F50" s="80">
        <v>106</v>
      </c>
      <c r="G50" s="80">
        <f t="shared" si="0"/>
        <v>1058</v>
      </c>
      <c r="H50" s="80">
        <f>7.6*6*4</f>
        <v>182.39999999999998</v>
      </c>
      <c r="I50" s="80"/>
    </row>
    <row r="51" spans="1:9" x14ac:dyDescent="0.25">
      <c r="A51" s="3"/>
      <c r="B51" s="3"/>
      <c r="C51" s="79" t="s">
        <v>245</v>
      </c>
      <c r="D51" s="80">
        <v>750</v>
      </c>
      <c r="E51" s="80">
        <v>79</v>
      </c>
      <c r="F51" s="80">
        <v>94</v>
      </c>
      <c r="G51" s="80">
        <f t="shared" si="0"/>
        <v>923</v>
      </c>
      <c r="H51" s="80">
        <f>7.7*6*4</f>
        <v>184.8</v>
      </c>
      <c r="I51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"/>
  <sheetViews>
    <sheetView topLeftCell="A16" zoomScale="90" zoomScaleNormal="90" workbookViewId="0">
      <selection activeCell="A28" sqref="A28"/>
    </sheetView>
  </sheetViews>
  <sheetFormatPr baseColWidth="10" defaultRowHeight="15" x14ac:dyDescent="0.25"/>
  <cols>
    <col min="1" max="1" width="22.09765625" style="16" customWidth="1"/>
    <col min="2" max="2" width="8.19921875" style="16" customWidth="1"/>
    <col min="3" max="3" width="11.3984375" style="16" bestFit="1" customWidth="1"/>
    <col min="4" max="4" width="13.5" style="16" bestFit="1" customWidth="1"/>
    <col min="5" max="6" width="12.3984375" style="16" customWidth="1"/>
    <col min="7" max="7" width="12" style="16" customWidth="1"/>
    <col min="8" max="8" width="12" style="16" bestFit="1" customWidth="1"/>
    <col min="9" max="256" width="11" style="16"/>
    <col min="257" max="257" width="20.59765625" style="16" customWidth="1"/>
    <col min="258" max="258" width="14.3984375" style="16" bestFit="1" customWidth="1"/>
    <col min="259" max="259" width="10.5" style="16" bestFit="1" customWidth="1"/>
    <col min="260" max="260" width="9.5" style="16" bestFit="1" customWidth="1"/>
    <col min="261" max="263" width="8.5" style="16" bestFit="1" customWidth="1"/>
    <col min="264" max="512" width="11" style="16"/>
    <col min="513" max="513" width="20.59765625" style="16" customWidth="1"/>
    <col min="514" max="514" width="14.3984375" style="16" bestFit="1" customWidth="1"/>
    <col min="515" max="515" width="10.5" style="16" bestFit="1" customWidth="1"/>
    <col min="516" max="516" width="9.5" style="16" bestFit="1" customWidth="1"/>
    <col min="517" max="519" width="8.5" style="16" bestFit="1" customWidth="1"/>
    <col min="520" max="768" width="11" style="16"/>
    <col min="769" max="769" width="20.59765625" style="16" customWidth="1"/>
    <col min="770" max="770" width="14.3984375" style="16" bestFit="1" customWidth="1"/>
    <col min="771" max="771" width="10.5" style="16" bestFit="1" customWidth="1"/>
    <col min="772" max="772" width="9.5" style="16" bestFit="1" customWidth="1"/>
    <col min="773" max="775" width="8.5" style="16" bestFit="1" customWidth="1"/>
    <col min="776" max="1024" width="11" style="16"/>
    <col min="1025" max="1025" width="20.59765625" style="16" customWidth="1"/>
    <col min="1026" max="1026" width="14.3984375" style="16" bestFit="1" customWidth="1"/>
    <col min="1027" max="1027" width="10.5" style="16" bestFit="1" customWidth="1"/>
    <col min="1028" max="1028" width="9.5" style="16" bestFit="1" customWidth="1"/>
    <col min="1029" max="1031" width="8.5" style="16" bestFit="1" customWidth="1"/>
    <col min="1032" max="1280" width="11" style="16"/>
    <col min="1281" max="1281" width="20.59765625" style="16" customWidth="1"/>
    <col min="1282" max="1282" width="14.3984375" style="16" bestFit="1" customWidth="1"/>
    <col min="1283" max="1283" width="10.5" style="16" bestFit="1" customWidth="1"/>
    <col min="1284" max="1284" width="9.5" style="16" bestFit="1" customWidth="1"/>
    <col min="1285" max="1287" width="8.5" style="16" bestFit="1" customWidth="1"/>
    <col min="1288" max="1536" width="11" style="16"/>
    <col min="1537" max="1537" width="20.59765625" style="16" customWidth="1"/>
    <col min="1538" max="1538" width="14.3984375" style="16" bestFit="1" customWidth="1"/>
    <col min="1539" max="1539" width="10.5" style="16" bestFit="1" customWidth="1"/>
    <col min="1540" max="1540" width="9.5" style="16" bestFit="1" customWidth="1"/>
    <col min="1541" max="1543" width="8.5" style="16" bestFit="1" customWidth="1"/>
    <col min="1544" max="1792" width="11" style="16"/>
    <col min="1793" max="1793" width="20.59765625" style="16" customWidth="1"/>
    <col min="1794" max="1794" width="14.3984375" style="16" bestFit="1" customWidth="1"/>
    <col min="1795" max="1795" width="10.5" style="16" bestFit="1" customWidth="1"/>
    <col min="1796" max="1796" width="9.5" style="16" bestFit="1" customWidth="1"/>
    <col min="1797" max="1799" width="8.5" style="16" bestFit="1" customWidth="1"/>
    <col min="1800" max="2048" width="11" style="16"/>
    <col min="2049" max="2049" width="20.59765625" style="16" customWidth="1"/>
    <col min="2050" max="2050" width="14.3984375" style="16" bestFit="1" customWidth="1"/>
    <col min="2051" max="2051" width="10.5" style="16" bestFit="1" customWidth="1"/>
    <col min="2052" max="2052" width="9.5" style="16" bestFit="1" customWidth="1"/>
    <col min="2053" max="2055" width="8.5" style="16" bestFit="1" customWidth="1"/>
    <col min="2056" max="2304" width="11" style="16"/>
    <col min="2305" max="2305" width="20.59765625" style="16" customWidth="1"/>
    <col min="2306" max="2306" width="14.3984375" style="16" bestFit="1" customWidth="1"/>
    <col min="2307" max="2307" width="10.5" style="16" bestFit="1" customWidth="1"/>
    <col min="2308" max="2308" width="9.5" style="16" bestFit="1" customWidth="1"/>
    <col min="2309" max="2311" width="8.5" style="16" bestFit="1" customWidth="1"/>
    <col min="2312" max="2560" width="11" style="16"/>
    <col min="2561" max="2561" width="20.59765625" style="16" customWidth="1"/>
    <col min="2562" max="2562" width="14.3984375" style="16" bestFit="1" customWidth="1"/>
    <col min="2563" max="2563" width="10.5" style="16" bestFit="1" customWidth="1"/>
    <col min="2564" max="2564" width="9.5" style="16" bestFit="1" customWidth="1"/>
    <col min="2565" max="2567" width="8.5" style="16" bestFit="1" customWidth="1"/>
    <col min="2568" max="2816" width="11" style="16"/>
    <col min="2817" max="2817" width="20.59765625" style="16" customWidth="1"/>
    <col min="2818" max="2818" width="14.3984375" style="16" bestFit="1" customWidth="1"/>
    <col min="2819" max="2819" width="10.5" style="16" bestFit="1" customWidth="1"/>
    <col min="2820" max="2820" width="9.5" style="16" bestFit="1" customWidth="1"/>
    <col min="2821" max="2823" width="8.5" style="16" bestFit="1" customWidth="1"/>
    <col min="2824" max="3072" width="11" style="16"/>
    <col min="3073" max="3073" width="20.59765625" style="16" customWidth="1"/>
    <col min="3074" max="3074" width="14.3984375" style="16" bestFit="1" customWidth="1"/>
    <col min="3075" max="3075" width="10.5" style="16" bestFit="1" customWidth="1"/>
    <col min="3076" max="3076" width="9.5" style="16" bestFit="1" customWidth="1"/>
    <col min="3077" max="3079" width="8.5" style="16" bestFit="1" customWidth="1"/>
    <col min="3080" max="3328" width="11" style="16"/>
    <col min="3329" max="3329" width="20.59765625" style="16" customWidth="1"/>
    <col min="3330" max="3330" width="14.3984375" style="16" bestFit="1" customWidth="1"/>
    <col min="3331" max="3331" width="10.5" style="16" bestFit="1" customWidth="1"/>
    <col min="3332" max="3332" width="9.5" style="16" bestFit="1" customWidth="1"/>
    <col min="3333" max="3335" width="8.5" style="16" bestFit="1" customWidth="1"/>
    <col min="3336" max="3584" width="11" style="16"/>
    <col min="3585" max="3585" width="20.59765625" style="16" customWidth="1"/>
    <col min="3586" max="3586" width="14.3984375" style="16" bestFit="1" customWidth="1"/>
    <col min="3587" max="3587" width="10.5" style="16" bestFit="1" customWidth="1"/>
    <col min="3588" max="3588" width="9.5" style="16" bestFit="1" customWidth="1"/>
    <col min="3589" max="3591" width="8.5" style="16" bestFit="1" customWidth="1"/>
    <col min="3592" max="3840" width="11" style="16"/>
    <col min="3841" max="3841" width="20.59765625" style="16" customWidth="1"/>
    <col min="3842" max="3842" width="14.3984375" style="16" bestFit="1" customWidth="1"/>
    <col min="3843" max="3843" width="10.5" style="16" bestFit="1" customWidth="1"/>
    <col min="3844" max="3844" width="9.5" style="16" bestFit="1" customWidth="1"/>
    <col min="3845" max="3847" width="8.5" style="16" bestFit="1" customWidth="1"/>
    <col min="3848" max="4096" width="11" style="16"/>
    <col min="4097" max="4097" width="20.59765625" style="16" customWidth="1"/>
    <col min="4098" max="4098" width="14.3984375" style="16" bestFit="1" customWidth="1"/>
    <col min="4099" max="4099" width="10.5" style="16" bestFit="1" customWidth="1"/>
    <col min="4100" max="4100" width="9.5" style="16" bestFit="1" customWidth="1"/>
    <col min="4101" max="4103" width="8.5" style="16" bestFit="1" customWidth="1"/>
    <col min="4104" max="4352" width="11" style="16"/>
    <col min="4353" max="4353" width="20.59765625" style="16" customWidth="1"/>
    <col min="4354" max="4354" width="14.3984375" style="16" bestFit="1" customWidth="1"/>
    <col min="4355" max="4355" width="10.5" style="16" bestFit="1" customWidth="1"/>
    <col min="4356" max="4356" width="9.5" style="16" bestFit="1" customWidth="1"/>
    <col min="4357" max="4359" width="8.5" style="16" bestFit="1" customWidth="1"/>
    <col min="4360" max="4608" width="11" style="16"/>
    <col min="4609" max="4609" width="20.59765625" style="16" customWidth="1"/>
    <col min="4610" max="4610" width="14.3984375" style="16" bestFit="1" customWidth="1"/>
    <col min="4611" max="4611" width="10.5" style="16" bestFit="1" customWidth="1"/>
    <col min="4612" max="4612" width="9.5" style="16" bestFit="1" customWidth="1"/>
    <col min="4613" max="4615" width="8.5" style="16" bestFit="1" customWidth="1"/>
    <col min="4616" max="4864" width="11" style="16"/>
    <col min="4865" max="4865" width="20.59765625" style="16" customWidth="1"/>
    <col min="4866" max="4866" width="14.3984375" style="16" bestFit="1" customWidth="1"/>
    <col min="4867" max="4867" width="10.5" style="16" bestFit="1" customWidth="1"/>
    <col min="4868" max="4868" width="9.5" style="16" bestFit="1" customWidth="1"/>
    <col min="4869" max="4871" width="8.5" style="16" bestFit="1" customWidth="1"/>
    <col min="4872" max="5120" width="11" style="16"/>
    <col min="5121" max="5121" width="20.59765625" style="16" customWidth="1"/>
    <col min="5122" max="5122" width="14.3984375" style="16" bestFit="1" customWidth="1"/>
    <col min="5123" max="5123" width="10.5" style="16" bestFit="1" customWidth="1"/>
    <col min="5124" max="5124" width="9.5" style="16" bestFit="1" customWidth="1"/>
    <col min="5125" max="5127" width="8.5" style="16" bestFit="1" customWidth="1"/>
    <col min="5128" max="5376" width="11" style="16"/>
    <col min="5377" max="5377" width="20.59765625" style="16" customWidth="1"/>
    <col min="5378" max="5378" width="14.3984375" style="16" bestFit="1" customWidth="1"/>
    <col min="5379" max="5379" width="10.5" style="16" bestFit="1" customWidth="1"/>
    <col min="5380" max="5380" width="9.5" style="16" bestFit="1" customWidth="1"/>
    <col min="5381" max="5383" width="8.5" style="16" bestFit="1" customWidth="1"/>
    <col min="5384" max="5632" width="11" style="16"/>
    <col min="5633" max="5633" width="20.59765625" style="16" customWidth="1"/>
    <col min="5634" max="5634" width="14.3984375" style="16" bestFit="1" customWidth="1"/>
    <col min="5635" max="5635" width="10.5" style="16" bestFit="1" customWidth="1"/>
    <col min="5636" max="5636" width="9.5" style="16" bestFit="1" customWidth="1"/>
    <col min="5637" max="5639" width="8.5" style="16" bestFit="1" customWidth="1"/>
    <col min="5640" max="5888" width="11" style="16"/>
    <col min="5889" max="5889" width="20.59765625" style="16" customWidth="1"/>
    <col min="5890" max="5890" width="14.3984375" style="16" bestFit="1" customWidth="1"/>
    <col min="5891" max="5891" width="10.5" style="16" bestFit="1" customWidth="1"/>
    <col min="5892" max="5892" width="9.5" style="16" bestFit="1" customWidth="1"/>
    <col min="5893" max="5895" width="8.5" style="16" bestFit="1" customWidth="1"/>
    <col min="5896" max="6144" width="11" style="16"/>
    <col min="6145" max="6145" width="20.59765625" style="16" customWidth="1"/>
    <col min="6146" max="6146" width="14.3984375" style="16" bestFit="1" customWidth="1"/>
    <col min="6147" max="6147" width="10.5" style="16" bestFit="1" customWidth="1"/>
    <col min="6148" max="6148" width="9.5" style="16" bestFit="1" customWidth="1"/>
    <col min="6149" max="6151" width="8.5" style="16" bestFit="1" customWidth="1"/>
    <col min="6152" max="6400" width="11" style="16"/>
    <col min="6401" max="6401" width="20.59765625" style="16" customWidth="1"/>
    <col min="6402" max="6402" width="14.3984375" style="16" bestFit="1" customWidth="1"/>
    <col min="6403" max="6403" width="10.5" style="16" bestFit="1" customWidth="1"/>
    <col min="6404" max="6404" width="9.5" style="16" bestFit="1" customWidth="1"/>
    <col min="6405" max="6407" width="8.5" style="16" bestFit="1" customWidth="1"/>
    <col min="6408" max="6656" width="11" style="16"/>
    <col min="6657" max="6657" width="20.59765625" style="16" customWidth="1"/>
    <col min="6658" max="6658" width="14.3984375" style="16" bestFit="1" customWidth="1"/>
    <col min="6659" max="6659" width="10.5" style="16" bestFit="1" customWidth="1"/>
    <col min="6660" max="6660" width="9.5" style="16" bestFit="1" customWidth="1"/>
    <col min="6661" max="6663" width="8.5" style="16" bestFit="1" customWidth="1"/>
    <col min="6664" max="6912" width="11" style="16"/>
    <col min="6913" max="6913" width="20.59765625" style="16" customWidth="1"/>
    <col min="6914" max="6914" width="14.3984375" style="16" bestFit="1" customWidth="1"/>
    <col min="6915" max="6915" width="10.5" style="16" bestFit="1" customWidth="1"/>
    <col min="6916" max="6916" width="9.5" style="16" bestFit="1" customWidth="1"/>
    <col min="6917" max="6919" width="8.5" style="16" bestFit="1" customWidth="1"/>
    <col min="6920" max="7168" width="11" style="16"/>
    <col min="7169" max="7169" width="20.59765625" style="16" customWidth="1"/>
    <col min="7170" max="7170" width="14.3984375" style="16" bestFit="1" customWidth="1"/>
    <col min="7171" max="7171" width="10.5" style="16" bestFit="1" customWidth="1"/>
    <col min="7172" max="7172" width="9.5" style="16" bestFit="1" customWidth="1"/>
    <col min="7173" max="7175" width="8.5" style="16" bestFit="1" customWidth="1"/>
    <col min="7176" max="7424" width="11" style="16"/>
    <col min="7425" max="7425" width="20.59765625" style="16" customWidth="1"/>
    <col min="7426" max="7426" width="14.3984375" style="16" bestFit="1" customWidth="1"/>
    <col min="7427" max="7427" width="10.5" style="16" bestFit="1" customWidth="1"/>
    <col min="7428" max="7428" width="9.5" style="16" bestFit="1" customWidth="1"/>
    <col min="7429" max="7431" width="8.5" style="16" bestFit="1" customWidth="1"/>
    <col min="7432" max="7680" width="11" style="16"/>
    <col min="7681" max="7681" width="20.59765625" style="16" customWidth="1"/>
    <col min="7682" max="7682" width="14.3984375" style="16" bestFit="1" customWidth="1"/>
    <col min="7683" max="7683" width="10.5" style="16" bestFit="1" customWidth="1"/>
    <col min="7684" max="7684" width="9.5" style="16" bestFit="1" customWidth="1"/>
    <col min="7685" max="7687" width="8.5" style="16" bestFit="1" customWidth="1"/>
    <col min="7688" max="7936" width="11" style="16"/>
    <col min="7937" max="7937" width="20.59765625" style="16" customWidth="1"/>
    <col min="7938" max="7938" width="14.3984375" style="16" bestFit="1" customWidth="1"/>
    <col min="7939" max="7939" width="10.5" style="16" bestFit="1" customWidth="1"/>
    <col min="7940" max="7940" width="9.5" style="16" bestFit="1" customWidth="1"/>
    <col min="7941" max="7943" width="8.5" style="16" bestFit="1" customWidth="1"/>
    <col min="7944" max="8192" width="11" style="16"/>
    <col min="8193" max="8193" width="20.59765625" style="16" customWidth="1"/>
    <col min="8194" max="8194" width="14.3984375" style="16" bestFit="1" customWidth="1"/>
    <col min="8195" max="8195" width="10.5" style="16" bestFit="1" customWidth="1"/>
    <col min="8196" max="8196" width="9.5" style="16" bestFit="1" customWidth="1"/>
    <col min="8197" max="8199" width="8.5" style="16" bestFit="1" customWidth="1"/>
    <col min="8200" max="8448" width="11" style="16"/>
    <col min="8449" max="8449" width="20.59765625" style="16" customWidth="1"/>
    <col min="8450" max="8450" width="14.3984375" style="16" bestFit="1" customWidth="1"/>
    <col min="8451" max="8451" width="10.5" style="16" bestFit="1" customWidth="1"/>
    <col min="8452" max="8452" width="9.5" style="16" bestFit="1" customWidth="1"/>
    <col min="8453" max="8455" width="8.5" style="16" bestFit="1" customWidth="1"/>
    <col min="8456" max="8704" width="11" style="16"/>
    <col min="8705" max="8705" width="20.59765625" style="16" customWidth="1"/>
    <col min="8706" max="8706" width="14.3984375" style="16" bestFit="1" customWidth="1"/>
    <col min="8707" max="8707" width="10.5" style="16" bestFit="1" customWidth="1"/>
    <col min="8708" max="8708" width="9.5" style="16" bestFit="1" customWidth="1"/>
    <col min="8709" max="8711" width="8.5" style="16" bestFit="1" customWidth="1"/>
    <col min="8712" max="8960" width="11" style="16"/>
    <col min="8961" max="8961" width="20.59765625" style="16" customWidth="1"/>
    <col min="8962" max="8962" width="14.3984375" style="16" bestFit="1" customWidth="1"/>
    <col min="8963" max="8963" width="10.5" style="16" bestFit="1" customWidth="1"/>
    <col min="8964" max="8964" width="9.5" style="16" bestFit="1" customWidth="1"/>
    <col min="8965" max="8967" width="8.5" style="16" bestFit="1" customWidth="1"/>
    <col min="8968" max="9216" width="11" style="16"/>
    <col min="9217" max="9217" width="20.59765625" style="16" customWidth="1"/>
    <col min="9218" max="9218" width="14.3984375" style="16" bestFit="1" customWidth="1"/>
    <col min="9219" max="9219" width="10.5" style="16" bestFit="1" customWidth="1"/>
    <col min="9220" max="9220" width="9.5" style="16" bestFit="1" customWidth="1"/>
    <col min="9221" max="9223" width="8.5" style="16" bestFit="1" customWidth="1"/>
    <col min="9224" max="9472" width="11" style="16"/>
    <col min="9473" max="9473" width="20.59765625" style="16" customWidth="1"/>
    <col min="9474" max="9474" width="14.3984375" style="16" bestFit="1" customWidth="1"/>
    <col min="9475" max="9475" width="10.5" style="16" bestFit="1" customWidth="1"/>
    <col min="9476" max="9476" width="9.5" style="16" bestFit="1" customWidth="1"/>
    <col min="9477" max="9479" width="8.5" style="16" bestFit="1" customWidth="1"/>
    <col min="9480" max="9728" width="11" style="16"/>
    <col min="9729" max="9729" width="20.59765625" style="16" customWidth="1"/>
    <col min="9730" max="9730" width="14.3984375" style="16" bestFit="1" customWidth="1"/>
    <col min="9731" max="9731" width="10.5" style="16" bestFit="1" customWidth="1"/>
    <col min="9732" max="9732" width="9.5" style="16" bestFit="1" customWidth="1"/>
    <col min="9733" max="9735" width="8.5" style="16" bestFit="1" customWidth="1"/>
    <col min="9736" max="9984" width="11" style="16"/>
    <col min="9985" max="9985" width="20.59765625" style="16" customWidth="1"/>
    <col min="9986" max="9986" width="14.3984375" style="16" bestFit="1" customWidth="1"/>
    <col min="9987" max="9987" width="10.5" style="16" bestFit="1" customWidth="1"/>
    <col min="9988" max="9988" width="9.5" style="16" bestFit="1" customWidth="1"/>
    <col min="9989" max="9991" width="8.5" style="16" bestFit="1" customWidth="1"/>
    <col min="9992" max="10240" width="11" style="16"/>
    <col min="10241" max="10241" width="20.59765625" style="16" customWidth="1"/>
    <col min="10242" max="10242" width="14.3984375" style="16" bestFit="1" customWidth="1"/>
    <col min="10243" max="10243" width="10.5" style="16" bestFit="1" customWidth="1"/>
    <col min="10244" max="10244" width="9.5" style="16" bestFit="1" customWidth="1"/>
    <col min="10245" max="10247" width="8.5" style="16" bestFit="1" customWidth="1"/>
    <col min="10248" max="10496" width="11" style="16"/>
    <col min="10497" max="10497" width="20.59765625" style="16" customWidth="1"/>
    <col min="10498" max="10498" width="14.3984375" style="16" bestFit="1" customWidth="1"/>
    <col min="10499" max="10499" width="10.5" style="16" bestFit="1" customWidth="1"/>
    <col min="10500" max="10500" width="9.5" style="16" bestFit="1" customWidth="1"/>
    <col min="10501" max="10503" width="8.5" style="16" bestFit="1" customWidth="1"/>
    <col min="10504" max="10752" width="11" style="16"/>
    <col min="10753" max="10753" width="20.59765625" style="16" customWidth="1"/>
    <col min="10754" max="10754" width="14.3984375" style="16" bestFit="1" customWidth="1"/>
    <col min="10755" max="10755" width="10.5" style="16" bestFit="1" customWidth="1"/>
    <col min="10756" max="10756" width="9.5" style="16" bestFit="1" customWidth="1"/>
    <col min="10757" max="10759" width="8.5" style="16" bestFit="1" customWidth="1"/>
    <col min="10760" max="11008" width="11" style="16"/>
    <col min="11009" max="11009" width="20.59765625" style="16" customWidth="1"/>
    <col min="11010" max="11010" width="14.3984375" style="16" bestFit="1" customWidth="1"/>
    <col min="11011" max="11011" width="10.5" style="16" bestFit="1" customWidth="1"/>
    <col min="11012" max="11012" width="9.5" style="16" bestFit="1" customWidth="1"/>
    <col min="11013" max="11015" width="8.5" style="16" bestFit="1" customWidth="1"/>
    <col min="11016" max="11264" width="11" style="16"/>
    <col min="11265" max="11265" width="20.59765625" style="16" customWidth="1"/>
    <col min="11266" max="11266" width="14.3984375" style="16" bestFit="1" customWidth="1"/>
    <col min="11267" max="11267" width="10.5" style="16" bestFit="1" customWidth="1"/>
    <col min="11268" max="11268" width="9.5" style="16" bestFit="1" customWidth="1"/>
    <col min="11269" max="11271" width="8.5" style="16" bestFit="1" customWidth="1"/>
    <col min="11272" max="11520" width="11" style="16"/>
    <col min="11521" max="11521" width="20.59765625" style="16" customWidth="1"/>
    <col min="11522" max="11522" width="14.3984375" style="16" bestFit="1" customWidth="1"/>
    <col min="11523" max="11523" width="10.5" style="16" bestFit="1" customWidth="1"/>
    <col min="11524" max="11524" width="9.5" style="16" bestFit="1" customWidth="1"/>
    <col min="11525" max="11527" width="8.5" style="16" bestFit="1" customWidth="1"/>
    <col min="11528" max="11776" width="11" style="16"/>
    <col min="11777" max="11777" width="20.59765625" style="16" customWidth="1"/>
    <col min="11778" max="11778" width="14.3984375" style="16" bestFit="1" customWidth="1"/>
    <col min="11779" max="11779" width="10.5" style="16" bestFit="1" customWidth="1"/>
    <col min="11780" max="11780" width="9.5" style="16" bestFit="1" customWidth="1"/>
    <col min="11781" max="11783" width="8.5" style="16" bestFit="1" customWidth="1"/>
    <col min="11784" max="12032" width="11" style="16"/>
    <col min="12033" max="12033" width="20.59765625" style="16" customWidth="1"/>
    <col min="12034" max="12034" width="14.3984375" style="16" bestFit="1" customWidth="1"/>
    <col min="12035" max="12035" width="10.5" style="16" bestFit="1" customWidth="1"/>
    <col min="12036" max="12036" width="9.5" style="16" bestFit="1" customWidth="1"/>
    <col min="12037" max="12039" width="8.5" style="16" bestFit="1" customWidth="1"/>
    <col min="12040" max="12288" width="11" style="16"/>
    <col min="12289" max="12289" width="20.59765625" style="16" customWidth="1"/>
    <col min="12290" max="12290" width="14.3984375" style="16" bestFit="1" customWidth="1"/>
    <col min="12291" max="12291" width="10.5" style="16" bestFit="1" customWidth="1"/>
    <col min="12292" max="12292" width="9.5" style="16" bestFit="1" customWidth="1"/>
    <col min="12293" max="12295" width="8.5" style="16" bestFit="1" customWidth="1"/>
    <col min="12296" max="12544" width="11" style="16"/>
    <col min="12545" max="12545" width="20.59765625" style="16" customWidth="1"/>
    <col min="12546" max="12546" width="14.3984375" style="16" bestFit="1" customWidth="1"/>
    <col min="12547" max="12547" width="10.5" style="16" bestFit="1" customWidth="1"/>
    <col min="12548" max="12548" width="9.5" style="16" bestFit="1" customWidth="1"/>
    <col min="12549" max="12551" width="8.5" style="16" bestFit="1" customWidth="1"/>
    <col min="12552" max="12800" width="11" style="16"/>
    <col min="12801" max="12801" width="20.59765625" style="16" customWidth="1"/>
    <col min="12802" max="12802" width="14.3984375" style="16" bestFit="1" customWidth="1"/>
    <col min="12803" max="12803" width="10.5" style="16" bestFit="1" customWidth="1"/>
    <col min="12804" max="12804" width="9.5" style="16" bestFit="1" customWidth="1"/>
    <col min="12805" max="12807" width="8.5" style="16" bestFit="1" customWidth="1"/>
    <col min="12808" max="13056" width="11" style="16"/>
    <col min="13057" max="13057" width="20.59765625" style="16" customWidth="1"/>
    <col min="13058" max="13058" width="14.3984375" style="16" bestFit="1" customWidth="1"/>
    <col min="13059" max="13059" width="10.5" style="16" bestFit="1" customWidth="1"/>
    <col min="13060" max="13060" width="9.5" style="16" bestFit="1" customWidth="1"/>
    <col min="13061" max="13063" width="8.5" style="16" bestFit="1" customWidth="1"/>
    <col min="13064" max="13312" width="11" style="16"/>
    <col min="13313" max="13313" width="20.59765625" style="16" customWidth="1"/>
    <col min="13314" max="13314" width="14.3984375" style="16" bestFit="1" customWidth="1"/>
    <col min="13315" max="13315" width="10.5" style="16" bestFit="1" customWidth="1"/>
    <col min="13316" max="13316" width="9.5" style="16" bestFit="1" customWidth="1"/>
    <col min="13317" max="13319" width="8.5" style="16" bestFit="1" customWidth="1"/>
    <col min="13320" max="13568" width="11" style="16"/>
    <col min="13569" max="13569" width="20.59765625" style="16" customWidth="1"/>
    <col min="13570" max="13570" width="14.3984375" style="16" bestFit="1" customWidth="1"/>
    <col min="13571" max="13571" width="10.5" style="16" bestFit="1" customWidth="1"/>
    <col min="13572" max="13572" width="9.5" style="16" bestFit="1" customWidth="1"/>
    <col min="13573" max="13575" width="8.5" style="16" bestFit="1" customWidth="1"/>
    <col min="13576" max="13824" width="11" style="16"/>
    <col min="13825" max="13825" width="20.59765625" style="16" customWidth="1"/>
    <col min="13826" max="13826" width="14.3984375" style="16" bestFit="1" customWidth="1"/>
    <col min="13827" max="13827" width="10.5" style="16" bestFit="1" customWidth="1"/>
    <col min="13828" max="13828" width="9.5" style="16" bestFit="1" customWidth="1"/>
    <col min="13829" max="13831" width="8.5" style="16" bestFit="1" customWidth="1"/>
    <col min="13832" max="14080" width="11" style="16"/>
    <col min="14081" max="14081" width="20.59765625" style="16" customWidth="1"/>
    <col min="14082" max="14082" width="14.3984375" style="16" bestFit="1" customWidth="1"/>
    <col min="14083" max="14083" width="10.5" style="16" bestFit="1" customWidth="1"/>
    <col min="14084" max="14084" width="9.5" style="16" bestFit="1" customWidth="1"/>
    <col min="14085" max="14087" width="8.5" style="16" bestFit="1" customWidth="1"/>
    <col min="14088" max="14336" width="11" style="16"/>
    <col min="14337" max="14337" width="20.59765625" style="16" customWidth="1"/>
    <col min="14338" max="14338" width="14.3984375" style="16" bestFit="1" customWidth="1"/>
    <col min="14339" max="14339" width="10.5" style="16" bestFit="1" customWidth="1"/>
    <col min="14340" max="14340" width="9.5" style="16" bestFit="1" customWidth="1"/>
    <col min="14341" max="14343" width="8.5" style="16" bestFit="1" customWidth="1"/>
    <col min="14344" max="14592" width="11" style="16"/>
    <col min="14593" max="14593" width="20.59765625" style="16" customWidth="1"/>
    <col min="14594" max="14594" width="14.3984375" style="16" bestFit="1" customWidth="1"/>
    <col min="14595" max="14595" width="10.5" style="16" bestFit="1" customWidth="1"/>
    <col min="14596" max="14596" width="9.5" style="16" bestFit="1" customWidth="1"/>
    <col min="14597" max="14599" width="8.5" style="16" bestFit="1" customWidth="1"/>
    <col min="14600" max="14848" width="11" style="16"/>
    <col min="14849" max="14849" width="20.59765625" style="16" customWidth="1"/>
    <col min="14850" max="14850" width="14.3984375" style="16" bestFit="1" customWidth="1"/>
    <col min="14851" max="14851" width="10.5" style="16" bestFit="1" customWidth="1"/>
    <col min="14852" max="14852" width="9.5" style="16" bestFit="1" customWidth="1"/>
    <col min="14853" max="14855" width="8.5" style="16" bestFit="1" customWidth="1"/>
    <col min="14856" max="15104" width="11" style="16"/>
    <col min="15105" max="15105" width="20.59765625" style="16" customWidth="1"/>
    <col min="15106" max="15106" width="14.3984375" style="16" bestFit="1" customWidth="1"/>
    <col min="15107" max="15107" width="10.5" style="16" bestFit="1" customWidth="1"/>
    <col min="15108" max="15108" width="9.5" style="16" bestFit="1" customWidth="1"/>
    <col min="15109" max="15111" width="8.5" style="16" bestFit="1" customWidth="1"/>
    <col min="15112" max="15360" width="11" style="16"/>
    <col min="15361" max="15361" width="20.59765625" style="16" customWidth="1"/>
    <col min="15362" max="15362" width="14.3984375" style="16" bestFit="1" customWidth="1"/>
    <col min="15363" max="15363" width="10.5" style="16" bestFit="1" customWidth="1"/>
    <col min="15364" max="15364" width="9.5" style="16" bestFit="1" customWidth="1"/>
    <col min="15365" max="15367" width="8.5" style="16" bestFit="1" customWidth="1"/>
    <col min="15368" max="15616" width="11" style="16"/>
    <col min="15617" max="15617" width="20.59765625" style="16" customWidth="1"/>
    <col min="15618" max="15618" width="14.3984375" style="16" bestFit="1" customWidth="1"/>
    <col min="15619" max="15619" width="10.5" style="16" bestFit="1" customWidth="1"/>
    <col min="15620" max="15620" width="9.5" style="16" bestFit="1" customWidth="1"/>
    <col min="15621" max="15623" width="8.5" style="16" bestFit="1" customWidth="1"/>
    <col min="15624" max="15872" width="11" style="16"/>
    <col min="15873" max="15873" width="20.59765625" style="16" customWidth="1"/>
    <col min="15874" max="15874" width="14.3984375" style="16" bestFit="1" customWidth="1"/>
    <col min="15875" max="15875" width="10.5" style="16" bestFit="1" customWidth="1"/>
    <col min="15876" max="15876" width="9.5" style="16" bestFit="1" customWidth="1"/>
    <col min="15877" max="15879" width="8.5" style="16" bestFit="1" customWidth="1"/>
    <col min="15880" max="16128" width="11" style="16"/>
    <col min="16129" max="16129" width="20.59765625" style="16" customWidth="1"/>
    <col min="16130" max="16130" width="14.3984375" style="16" bestFit="1" customWidth="1"/>
    <col min="16131" max="16131" width="10.5" style="16" bestFit="1" customWidth="1"/>
    <col min="16132" max="16132" width="9.5" style="16" bestFit="1" customWidth="1"/>
    <col min="16133" max="16135" width="8.5" style="16" bestFit="1" customWidth="1"/>
    <col min="16136" max="16384" width="11" style="16"/>
  </cols>
  <sheetData>
    <row r="1" spans="1:7" ht="15.6" x14ac:dyDescent="0.3">
      <c r="A1" s="15" t="s">
        <v>109</v>
      </c>
    </row>
    <row r="2" spans="1:7" x14ac:dyDescent="0.25">
      <c r="A2" s="89" t="s">
        <v>81</v>
      </c>
      <c r="B2" s="90" t="s">
        <v>82</v>
      </c>
      <c r="C2" s="35" t="s">
        <v>103</v>
      </c>
      <c r="D2" s="35" t="s">
        <v>61</v>
      </c>
      <c r="E2" s="35" t="s">
        <v>62</v>
      </c>
      <c r="F2" s="35" t="s">
        <v>79</v>
      </c>
      <c r="G2" s="35" t="s">
        <v>80</v>
      </c>
    </row>
    <row r="3" spans="1:7" ht="26.4" x14ac:dyDescent="0.25">
      <c r="A3" s="89"/>
      <c r="B3" s="91"/>
      <c r="C3" s="36" t="s">
        <v>104</v>
      </c>
      <c r="D3" s="36" t="s">
        <v>105</v>
      </c>
      <c r="E3" s="36" t="s">
        <v>106</v>
      </c>
      <c r="F3" s="36" t="s">
        <v>107</v>
      </c>
      <c r="G3" s="36" t="s">
        <v>108</v>
      </c>
    </row>
    <row r="4" spans="1:7" x14ac:dyDescent="0.25">
      <c r="A4" s="89"/>
      <c r="B4" s="91"/>
      <c r="C4" s="35">
        <v>300</v>
      </c>
      <c r="D4" s="35">
        <v>500</v>
      </c>
      <c r="E4" s="35">
        <v>450</v>
      </c>
      <c r="F4" s="35">
        <v>600</v>
      </c>
      <c r="G4" s="35">
        <v>250</v>
      </c>
    </row>
    <row r="5" spans="1:7" x14ac:dyDescent="0.25">
      <c r="A5" s="89"/>
      <c r="B5" s="92"/>
      <c r="C5" s="35" t="s">
        <v>64</v>
      </c>
      <c r="D5" s="35" t="s">
        <v>65</v>
      </c>
      <c r="E5" s="35" t="s">
        <v>64</v>
      </c>
      <c r="F5" s="35" t="s">
        <v>64</v>
      </c>
      <c r="G5" s="35" t="s">
        <v>65</v>
      </c>
    </row>
    <row r="6" spans="1:7" x14ac:dyDescent="0.25">
      <c r="A6" s="22" t="s">
        <v>111</v>
      </c>
      <c r="B6" s="17" t="s">
        <v>112</v>
      </c>
      <c r="C6" s="86">
        <v>5.6</v>
      </c>
      <c r="D6" s="86">
        <v>9.1</v>
      </c>
      <c r="E6" s="86">
        <v>10.6</v>
      </c>
      <c r="F6" s="86">
        <v>15.8</v>
      </c>
      <c r="G6" s="86">
        <v>25.4</v>
      </c>
    </row>
    <row r="7" spans="1:7" x14ac:dyDescent="0.25">
      <c r="A7" s="22" t="s">
        <v>113</v>
      </c>
      <c r="B7" s="17" t="s">
        <v>112</v>
      </c>
      <c r="C7" s="86">
        <v>2.1</v>
      </c>
      <c r="D7" s="86">
        <v>4.5999999999999996</v>
      </c>
      <c r="E7" s="86">
        <v>8.4</v>
      </c>
      <c r="F7" s="86">
        <v>9.1</v>
      </c>
      <c r="G7" s="86">
        <v>9.5</v>
      </c>
    </row>
    <row r="8" spans="1:7" x14ac:dyDescent="0.25">
      <c r="A8" s="22" t="s">
        <v>92</v>
      </c>
      <c r="B8" s="17" t="s">
        <v>112</v>
      </c>
      <c r="C8" s="86">
        <v>0.6</v>
      </c>
      <c r="D8" s="86">
        <v>0.8</v>
      </c>
      <c r="E8" s="86">
        <v>1.1000000000000001</v>
      </c>
      <c r="F8" s="86">
        <v>1.5</v>
      </c>
      <c r="G8" s="86">
        <v>1.9</v>
      </c>
    </row>
    <row r="9" spans="1:7" x14ac:dyDescent="0.25">
      <c r="A9" s="22" t="s">
        <v>114</v>
      </c>
      <c r="B9" s="17" t="s">
        <v>83</v>
      </c>
      <c r="C9" s="86">
        <v>4</v>
      </c>
      <c r="D9" s="86">
        <v>6</v>
      </c>
      <c r="E9" s="86">
        <v>0</v>
      </c>
      <c r="F9" s="86">
        <v>0</v>
      </c>
      <c r="G9" s="86">
        <v>0</v>
      </c>
    </row>
    <row r="10" spans="1:7" x14ac:dyDescent="0.25">
      <c r="A10" s="22" t="s">
        <v>115</v>
      </c>
      <c r="B10" s="17" t="s">
        <v>112</v>
      </c>
      <c r="C10" s="86">
        <v>0</v>
      </c>
      <c r="D10" s="86">
        <v>0</v>
      </c>
      <c r="E10" s="86">
        <v>2.1</v>
      </c>
      <c r="F10" s="86">
        <v>3.4</v>
      </c>
      <c r="G10" s="86">
        <v>5.8</v>
      </c>
    </row>
    <row r="11" spans="1:7" x14ac:dyDescent="0.25">
      <c r="A11" s="22" t="s">
        <v>116</v>
      </c>
      <c r="B11" s="17" t="s">
        <v>83</v>
      </c>
      <c r="C11" s="86">
        <v>12</v>
      </c>
      <c r="D11" s="86">
        <v>24</v>
      </c>
      <c r="E11" s="86">
        <v>18</v>
      </c>
      <c r="F11" s="86">
        <v>20</v>
      </c>
      <c r="G11" s="86">
        <v>22</v>
      </c>
    </row>
    <row r="12" spans="1:7" x14ac:dyDescent="0.25">
      <c r="A12" s="22" t="s">
        <v>117</v>
      </c>
      <c r="B12" s="17" t="s">
        <v>83</v>
      </c>
      <c r="C12" s="84">
        <v>12</v>
      </c>
      <c r="D12" s="85">
        <v>16</v>
      </c>
      <c r="E12" s="85">
        <v>0</v>
      </c>
      <c r="F12" s="85">
        <v>0</v>
      </c>
      <c r="G12" s="85">
        <v>0</v>
      </c>
    </row>
    <row r="13" spans="1:7" x14ac:dyDescent="0.25">
      <c r="A13" s="22" t="s">
        <v>118</v>
      </c>
      <c r="B13" s="17" t="s">
        <v>131</v>
      </c>
      <c r="C13" s="85">
        <v>1</v>
      </c>
      <c r="D13" s="84">
        <v>1</v>
      </c>
      <c r="E13" s="85">
        <v>1</v>
      </c>
      <c r="F13" s="85">
        <v>1</v>
      </c>
      <c r="G13" s="85">
        <v>1</v>
      </c>
    </row>
    <row r="14" spans="1:7" x14ac:dyDescent="0.25">
      <c r="A14" s="22" t="s">
        <v>128</v>
      </c>
      <c r="B14" s="17" t="s">
        <v>83</v>
      </c>
      <c r="C14" s="85">
        <v>1</v>
      </c>
      <c r="D14" s="85">
        <v>0</v>
      </c>
      <c r="E14" s="84">
        <v>0</v>
      </c>
      <c r="F14" s="85">
        <v>0</v>
      </c>
      <c r="G14" s="85">
        <v>0</v>
      </c>
    </row>
    <row r="15" spans="1:7" x14ac:dyDescent="0.25">
      <c r="A15" s="22" t="s">
        <v>129</v>
      </c>
      <c r="B15" s="17" t="s">
        <v>83</v>
      </c>
      <c r="C15" s="85">
        <v>0</v>
      </c>
      <c r="D15" s="85">
        <v>1</v>
      </c>
      <c r="E15" s="84">
        <v>0</v>
      </c>
      <c r="F15" s="85">
        <v>0</v>
      </c>
      <c r="G15" s="85">
        <v>0</v>
      </c>
    </row>
    <row r="16" spans="1:7" x14ac:dyDescent="0.25">
      <c r="A16" s="22" t="s">
        <v>119</v>
      </c>
      <c r="B16" s="17" t="s">
        <v>132</v>
      </c>
      <c r="C16" s="85">
        <v>1</v>
      </c>
      <c r="D16" s="85">
        <v>1</v>
      </c>
      <c r="E16" s="84">
        <v>0</v>
      </c>
      <c r="F16" s="85">
        <v>0</v>
      </c>
      <c r="G16" s="85">
        <v>0</v>
      </c>
    </row>
    <row r="17" spans="1:7" x14ac:dyDescent="0.25">
      <c r="A17" s="22" t="s">
        <v>120</v>
      </c>
      <c r="B17" s="17" t="s">
        <v>83</v>
      </c>
      <c r="C17" s="85">
        <v>2</v>
      </c>
      <c r="D17" s="85">
        <v>2</v>
      </c>
      <c r="E17" s="84">
        <v>4</v>
      </c>
      <c r="F17" s="85">
        <v>4</v>
      </c>
      <c r="G17" s="85">
        <v>4</v>
      </c>
    </row>
    <row r="18" spans="1:7" x14ac:dyDescent="0.25">
      <c r="A18" s="22" t="s">
        <v>126</v>
      </c>
      <c r="B18" s="17" t="s">
        <v>83</v>
      </c>
      <c r="C18" s="85">
        <v>1</v>
      </c>
      <c r="D18" s="85">
        <v>1</v>
      </c>
      <c r="E18" s="84">
        <v>0</v>
      </c>
      <c r="F18" s="85">
        <v>0</v>
      </c>
      <c r="G18" s="85">
        <v>0</v>
      </c>
    </row>
    <row r="19" spans="1:7" x14ac:dyDescent="0.25">
      <c r="A19" s="22" t="s">
        <v>127</v>
      </c>
      <c r="B19" s="17" t="s">
        <v>83</v>
      </c>
      <c r="C19" s="85">
        <v>0</v>
      </c>
      <c r="D19" s="85">
        <v>0</v>
      </c>
      <c r="E19" s="84">
        <v>1</v>
      </c>
      <c r="F19" s="85">
        <v>1</v>
      </c>
      <c r="G19" s="85">
        <v>1</v>
      </c>
    </row>
    <row r="20" spans="1:7" x14ac:dyDescent="0.25">
      <c r="A20" s="22" t="s">
        <v>130</v>
      </c>
      <c r="B20" s="17" t="s">
        <v>83</v>
      </c>
      <c r="C20" s="85">
        <v>2</v>
      </c>
      <c r="D20" s="85">
        <v>2</v>
      </c>
      <c r="E20" s="84">
        <v>0</v>
      </c>
      <c r="F20" s="85">
        <v>0</v>
      </c>
      <c r="G20" s="85">
        <v>0</v>
      </c>
    </row>
    <row r="21" spans="1:7" x14ac:dyDescent="0.25">
      <c r="A21" s="22" t="s">
        <v>125</v>
      </c>
      <c r="B21" s="17" t="s">
        <v>83</v>
      </c>
      <c r="C21" s="85">
        <v>1</v>
      </c>
      <c r="D21" s="85">
        <v>0</v>
      </c>
      <c r="E21" s="84">
        <v>0</v>
      </c>
      <c r="F21" s="85">
        <v>0</v>
      </c>
      <c r="G21" s="85">
        <v>0</v>
      </c>
    </row>
    <row r="22" spans="1:7" x14ac:dyDescent="0.25">
      <c r="A22" s="22" t="s">
        <v>124</v>
      </c>
      <c r="B22" s="17" t="s">
        <v>83</v>
      </c>
      <c r="C22" s="85">
        <v>0</v>
      </c>
      <c r="D22" s="85">
        <v>1</v>
      </c>
      <c r="E22" s="84">
        <v>0</v>
      </c>
      <c r="F22" s="85">
        <v>0</v>
      </c>
      <c r="G22" s="85">
        <v>0</v>
      </c>
    </row>
    <row r="23" spans="1:7" x14ac:dyDescent="0.25">
      <c r="A23" s="22" t="s">
        <v>122</v>
      </c>
      <c r="B23" s="17" t="s">
        <v>83</v>
      </c>
      <c r="C23" s="85">
        <v>0</v>
      </c>
      <c r="D23" s="85">
        <v>0</v>
      </c>
      <c r="E23" s="84">
        <v>1</v>
      </c>
      <c r="F23" s="85">
        <v>0</v>
      </c>
      <c r="G23" s="85">
        <v>0</v>
      </c>
    </row>
    <row r="24" spans="1:7" x14ac:dyDescent="0.25">
      <c r="A24" s="22" t="s">
        <v>123</v>
      </c>
      <c r="B24" s="17" t="s">
        <v>83</v>
      </c>
      <c r="C24" s="85">
        <v>0</v>
      </c>
      <c r="D24" s="85">
        <v>0</v>
      </c>
      <c r="E24" s="85">
        <v>0</v>
      </c>
      <c r="F24" s="84">
        <v>1</v>
      </c>
      <c r="G24" s="85">
        <v>0</v>
      </c>
    </row>
    <row r="25" spans="1:7" x14ac:dyDescent="0.25">
      <c r="A25" s="22" t="s">
        <v>121</v>
      </c>
      <c r="B25" s="17" t="s">
        <v>83</v>
      </c>
      <c r="C25" s="85">
        <v>0</v>
      </c>
      <c r="D25" s="85">
        <v>0</v>
      </c>
      <c r="E25" s="85">
        <v>0</v>
      </c>
      <c r="F25" s="85">
        <v>0</v>
      </c>
      <c r="G25" s="84">
        <v>1</v>
      </c>
    </row>
    <row r="26" spans="1:7" x14ac:dyDescent="0.25">
      <c r="A26" s="18" t="s">
        <v>84</v>
      </c>
    </row>
    <row r="27" spans="1:7" x14ac:dyDescent="0.25">
      <c r="A27" s="18"/>
    </row>
    <row r="28" spans="1:7" x14ac:dyDescent="0.25">
      <c r="A28" s="19" t="s">
        <v>110</v>
      </c>
    </row>
    <row r="29" spans="1:7" x14ac:dyDescent="0.25">
      <c r="A29" s="89" t="s">
        <v>81</v>
      </c>
      <c r="B29" s="90" t="s">
        <v>82</v>
      </c>
      <c r="C29" s="35" t="s">
        <v>103</v>
      </c>
      <c r="D29" s="35" t="s">
        <v>61</v>
      </c>
      <c r="E29" s="35" t="s">
        <v>62</v>
      </c>
      <c r="F29" s="35" t="s">
        <v>79</v>
      </c>
      <c r="G29" s="35" t="s">
        <v>80</v>
      </c>
    </row>
    <row r="30" spans="1:7" ht="26.4" x14ac:dyDescent="0.25">
      <c r="A30" s="89"/>
      <c r="B30" s="91"/>
      <c r="C30" s="36" t="s">
        <v>104</v>
      </c>
      <c r="D30" s="36" t="s">
        <v>105</v>
      </c>
      <c r="E30" s="36" t="s">
        <v>106</v>
      </c>
      <c r="F30" s="36" t="s">
        <v>107</v>
      </c>
      <c r="G30" s="36" t="s">
        <v>108</v>
      </c>
    </row>
    <row r="31" spans="1:7" x14ac:dyDescent="0.25">
      <c r="A31" s="89"/>
      <c r="B31" s="91"/>
      <c r="C31" s="35">
        <v>300</v>
      </c>
      <c r="D31" s="35">
        <v>500</v>
      </c>
      <c r="E31" s="35">
        <v>450</v>
      </c>
      <c r="F31" s="35">
        <v>600</v>
      </c>
      <c r="G31" s="35">
        <v>250</v>
      </c>
    </row>
    <row r="32" spans="1:7" x14ac:dyDescent="0.25">
      <c r="A32" s="89"/>
      <c r="B32" s="92"/>
      <c r="C32" s="35" t="s">
        <v>64</v>
      </c>
      <c r="D32" s="35" t="s">
        <v>65</v>
      </c>
      <c r="E32" s="35" t="s">
        <v>64</v>
      </c>
      <c r="F32" s="35" t="s">
        <v>64</v>
      </c>
      <c r="G32" s="35" t="s">
        <v>65</v>
      </c>
    </row>
    <row r="33" spans="1:7" x14ac:dyDescent="0.25">
      <c r="A33" s="22" t="str">
        <f>A6</f>
        <v>Plancha de acero</v>
      </c>
      <c r="B33" s="25" t="str">
        <f>B6</f>
        <v>Kg</v>
      </c>
      <c r="C33" s="87"/>
      <c r="D33" s="87"/>
      <c r="E33" s="87"/>
      <c r="F33" s="87"/>
      <c r="G33" s="87"/>
    </row>
    <row r="34" spans="1:7" x14ac:dyDescent="0.25">
      <c r="A34" s="22" t="str">
        <f t="shared" ref="A34:B34" si="0">A7</f>
        <v>Soldadura</v>
      </c>
      <c r="B34" s="25" t="str">
        <f t="shared" si="0"/>
        <v>Kg</v>
      </c>
      <c r="C34" s="87"/>
      <c r="D34" s="87"/>
      <c r="E34" s="87"/>
      <c r="F34" s="87"/>
      <c r="G34" s="87"/>
    </row>
    <row r="35" spans="1:7" x14ac:dyDescent="0.25">
      <c r="A35" s="22" t="str">
        <f t="shared" ref="A35:B35" si="1">A8</f>
        <v>Pintura</v>
      </c>
      <c r="B35" s="25" t="str">
        <f t="shared" si="1"/>
        <v>Kg</v>
      </c>
      <c r="C35" s="87"/>
      <c r="D35" s="87"/>
      <c r="E35" s="87"/>
      <c r="F35" s="87"/>
      <c r="G35" s="87"/>
    </row>
    <row r="36" spans="1:7" x14ac:dyDescent="0.25">
      <c r="A36" s="22" t="str">
        <f t="shared" ref="A36:B36" si="2">A9</f>
        <v>Hornillas</v>
      </c>
      <c r="B36" s="25" t="str">
        <f t="shared" si="2"/>
        <v>Unid</v>
      </c>
      <c r="C36" s="87"/>
      <c r="D36" s="87"/>
      <c r="E36" s="87"/>
      <c r="F36" s="87"/>
      <c r="G36" s="87"/>
    </row>
    <row r="37" spans="1:7" x14ac:dyDescent="0.25">
      <c r="A37" s="22" t="str">
        <f t="shared" ref="A37:B37" si="3">A10</f>
        <v>Poliuretano</v>
      </c>
      <c r="B37" s="25" t="str">
        <f t="shared" si="3"/>
        <v>Kg</v>
      </c>
      <c r="C37" s="87"/>
      <c r="D37" s="87"/>
      <c r="E37" s="87"/>
      <c r="F37" s="87"/>
      <c r="G37" s="87"/>
    </row>
    <row r="38" spans="1:7" x14ac:dyDescent="0.25">
      <c r="A38" s="22" t="str">
        <f t="shared" ref="A38:B38" si="4">A11</f>
        <v>Tornillos</v>
      </c>
      <c r="B38" s="25" t="str">
        <f t="shared" si="4"/>
        <v>Unid</v>
      </c>
      <c r="C38" s="87"/>
      <c r="D38" s="87"/>
      <c r="E38" s="87"/>
      <c r="F38" s="87"/>
      <c r="G38" s="87"/>
    </row>
    <row r="39" spans="1:7" x14ac:dyDescent="0.25">
      <c r="A39" s="22" t="str">
        <f t="shared" ref="A39:B39" si="5">A12</f>
        <v>Remaches</v>
      </c>
      <c r="B39" s="25" t="str">
        <f t="shared" si="5"/>
        <v>Unid</v>
      </c>
      <c r="C39" s="87"/>
      <c r="D39" s="87"/>
      <c r="E39" s="87"/>
      <c r="F39" s="87"/>
      <c r="G39" s="87"/>
    </row>
    <row r="40" spans="1:7" x14ac:dyDescent="0.25">
      <c r="A40" s="22" t="str">
        <f t="shared" ref="A40:B40" si="6">A13</f>
        <v>Conjunto eléctrico</v>
      </c>
      <c r="B40" s="25" t="str">
        <f t="shared" si="6"/>
        <v>Conj</v>
      </c>
      <c r="C40" s="87"/>
      <c r="D40" s="87"/>
      <c r="E40" s="87"/>
      <c r="F40" s="87"/>
      <c r="G40" s="87"/>
    </row>
    <row r="41" spans="1:7" x14ac:dyDescent="0.25">
      <c r="A41" s="22" t="str">
        <f t="shared" ref="A41:B41" si="7">A14</f>
        <v>Horno chico</v>
      </c>
      <c r="B41" s="25" t="str">
        <f t="shared" si="7"/>
        <v>Unid</v>
      </c>
      <c r="C41" s="87"/>
      <c r="D41" s="87"/>
      <c r="E41" s="87"/>
      <c r="F41" s="87"/>
      <c r="G41" s="87"/>
    </row>
    <row r="42" spans="1:7" x14ac:dyDescent="0.25">
      <c r="A42" s="22" t="str">
        <f t="shared" ref="A42:B42" si="8">A15</f>
        <v>Horno grande</v>
      </c>
      <c r="B42" s="25" t="str">
        <f t="shared" si="8"/>
        <v>Unid</v>
      </c>
      <c r="C42" s="87"/>
      <c r="D42" s="87"/>
      <c r="E42" s="87"/>
      <c r="F42" s="87"/>
      <c r="G42" s="87"/>
    </row>
    <row r="43" spans="1:7" x14ac:dyDescent="0.25">
      <c r="A43" s="22" t="str">
        <f t="shared" ref="A43:B43" si="9">A16</f>
        <v>Vidrio</v>
      </c>
      <c r="B43" s="25" t="str">
        <f t="shared" si="9"/>
        <v>Pieza</v>
      </c>
      <c r="C43" s="87"/>
      <c r="D43" s="87"/>
      <c r="E43" s="87"/>
      <c r="F43" s="87"/>
      <c r="G43" s="87"/>
    </row>
    <row r="44" spans="1:7" x14ac:dyDescent="0.25">
      <c r="A44" s="22" t="str">
        <f t="shared" ref="A44:B44" si="10">A17</f>
        <v>Etiquetas</v>
      </c>
      <c r="B44" s="25" t="str">
        <f t="shared" si="10"/>
        <v>Unid</v>
      </c>
      <c r="C44" s="87"/>
      <c r="D44" s="87"/>
      <c r="E44" s="87"/>
      <c r="F44" s="87"/>
      <c r="G44" s="87"/>
    </row>
    <row r="45" spans="1:7" x14ac:dyDescent="0.25">
      <c r="A45" s="22" t="str">
        <f t="shared" ref="A45:B45" si="11">A18</f>
        <v>Manual de uso cocina</v>
      </c>
      <c r="B45" s="25" t="str">
        <f t="shared" si="11"/>
        <v>Unid</v>
      </c>
      <c r="C45" s="87"/>
      <c r="D45" s="87"/>
      <c r="E45" s="87"/>
      <c r="F45" s="87"/>
      <c r="G45" s="87"/>
    </row>
    <row r="46" spans="1:7" x14ac:dyDescent="0.25">
      <c r="A46" s="22" t="str">
        <f t="shared" ref="A46:B46" si="12">A19</f>
        <v>Manual de uso refrigeradora</v>
      </c>
      <c r="B46" s="25" t="str">
        <f t="shared" si="12"/>
        <v>Unid</v>
      </c>
      <c r="C46" s="87"/>
      <c r="D46" s="87"/>
      <c r="E46" s="87"/>
      <c r="F46" s="87"/>
      <c r="G46" s="87"/>
    </row>
    <row r="47" spans="1:7" x14ac:dyDescent="0.25">
      <c r="A47" s="22" t="str">
        <f t="shared" ref="A47:B47" si="13">A20</f>
        <v>Resorte</v>
      </c>
      <c r="B47" s="25" t="str">
        <f t="shared" si="13"/>
        <v>Unid</v>
      </c>
      <c r="C47" s="87"/>
      <c r="D47" s="87"/>
      <c r="E47" s="87"/>
      <c r="F47" s="87"/>
      <c r="G47" s="87"/>
    </row>
    <row r="48" spans="1:7" x14ac:dyDescent="0.25">
      <c r="A48" s="22" t="str">
        <f t="shared" ref="A48:B48" si="14">A21</f>
        <v>Caja Cocina Chica</v>
      </c>
      <c r="B48" s="25" t="str">
        <f t="shared" si="14"/>
        <v>Unid</v>
      </c>
      <c r="C48" s="87"/>
      <c r="D48" s="87"/>
      <c r="E48" s="87"/>
      <c r="F48" s="87"/>
      <c r="G48" s="87"/>
    </row>
    <row r="49" spans="1:7" x14ac:dyDescent="0.25">
      <c r="A49" s="22" t="str">
        <f t="shared" ref="A49:B49" si="15">A22</f>
        <v>Caja Cocina Grande</v>
      </c>
      <c r="B49" s="25" t="str">
        <f t="shared" si="15"/>
        <v>Unid</v>
      </c>
      <c r="C49" s="87"/>
      <c r="D49" s="87"/>
      <c r="E49" s="87"/>
      <c r="F49" s="87"/>
      <c r="G49" s="87"/>
    </row>
    <row r="50" spans="1:7" x14ac:dyDescent="0.25">
      <c r="A50" s="22" t="str">
        <f t="shared" ref="A50:B50" si="16">A23</f>
        <v>Caja Refrigeradora Chica</v>
      </c>
      <c r="B50" s="25" t="str">
        <f t="shared" si="16"/>
        <v>Unid</v>
      </c>
      <c r="C50" s="87"/>
      <c r="D50" s="87"/>
      <c r="E50" s="87"/>
      <c r="F50" s="87"/>
      <c r="G50" s="87"/>
    </row>
    <row r="51" spans="1:7" x14ac:dyDescent="0.25">
      <c r="A51" s="22" t="str">
        <f t="shared" ref="A51:B51" si="17">A24</f>
        <v>Caja Refrigeradora Mediana</v>
      </c>
      <c r="B51" s="25" t="str">
        <f t="shared" si="17"/>
        <v>Unid</v>
      </c>
      <c r="C51" s="87"/>
      <c r="D51" s="87"/>
      <c r="E51" s="87"/>
      <c r="F51" s="87"/>
      <c r="G51" s="87"/>
    </row>
    <row r="52" spans="1:7" x14ac:dyDescent="0.25">
      <c r="A52" s="22" t="str">
        <f t="shared" ref="A52:B52" si="18">A25</f>
        <v>Caja Refrigeradora Grande</v>
      </c>
      <c r="B52" s="25" t="str">
        <f t="shared" si="18"/>
        <v>Unid</v>
      </c>
      <c r="C52" s="87"/>
      <c r="D52" s="87"/>
      <c r="E52" s="87"/>
      <c r="F52" s="87"/>
      <c r="G52" s="87"/>
    </row>
    <row r="53" spans="1:7" ht="15.6" x14ac:dyDescent="0.3">
      <c r="A53" s="20" t="s">
        <v>212</v>
      </c>
      <c r="B53" s="23"/>
      <c r="C53" s="88"/>
      <c r="D53" s="88"/>
      <c r="E53" s="88"/>
      <c r="F53" s="88"/>
      <c r="G53" s="88"/>
    </row>
    <row r="54" spans="1:7" x14ac:dyDescent="0.25">
      <c r="C54" s="16" t="s">
        <v>64</v>
      </c>
      <c r="D54" s="16" t="s">
        <v>65</v>
      </c>
      <c r="E54" s="16" t="s">
        <v>64</v>
      </c>
      <c r="F54" s="16" t="s">
        <v>64</v>
      </c>
      <c r="G54" s="16" t="s">
        <v>65</v>
      </c>
    </row>
    <row r="55" spans="1:7" x14ac:dyDescent="0.25">
      <c r="A55" s="18"/>
      <c r="B55" s="19"/>
      <c r="C55" s="18"/>
    </row>
    <row r="56" spans="1:7" x14ac:dyDescent="0.25">
      <c r="C56" s="52"/>
      <c r="D56" s="52"/>
      <c r="E56" s="52"/>
      <c r="F56" s="52"/>
      <c r="G56" s="53"/>
    </row>
    <row r="59" spans="1:7" x14ac:dyDescent="0.25">
      <c r="C59" s="16" t="s">
        <v>242</v>
      </c>
      <c r="G59" s="52"/>
    </row>
    <row r="60" spans="1:7" x14ac:dyDescent="0.25">
      <c r="C60" s="16" t="s">
        <v>241</v>
      </c>
      <c r="G60" s="52"/>
    </row>
  </sheetData>
  <mergeCells count="4">
    <mergeCell ref="A2:A5"/>
    <mergeCell ref="B2:B5"/>
    <mergeCell ref="A29:A32"/>
    <mergeCell ref="B29:B32"/>
  </mergeCells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topLeftCell="A10" zoomScale="90" zoomScaleNormal="90" workbookViewId="0">
      <selection activeCell="A15" sqref="A15"/>
    </sheetView>
  </sheetViews>
  <sheetFormatPr baseColWidth="10" defaultRowHeight="13.8" x14ac:dyDescent="0.25"/>
  <cols>
    <col min="1" max="1" width="23.5" customWidth="1"/>
    <col min="2" max="2" width="8.3984375" customWidth="1"/>
    <col min="5" max="5" width="12.19921875" customWidth="1"/>
    <col min="6" max="6" width="12.09765625" customWidth="1"/>
    <col min="7" max="7" width="12.19921875" customWidth="1"/>
    <col min="8" max="8" width="11.5" bestFit="1" customWidth="1"/>
  </cols>
  <sheetData>
    <row r="1" spans="1:8" ht="15.6" x14ac:dyDescent="0.3">
      <c r="A1" s="15" t="s">
        <v>200</v>
      </c>
      <c r="B1" s="16"/>
      <c r="C1" s="16"/>
      <c r="D1" s="16"/>
      <c r="E1" s="16"/>
      <c r="F1" s="16"/>
      <c r="G1" s="16"/>
      <c r="H1" s="16"/>
    </row>
    <row r="2" spans="1:8" ht="15" x14ac:dyDescent="0.25">
      <c r="A2" s="89" t="s">
        <v>297</v>
      </c>
      <c r="B2" s="90" t="s">
        <v>82</v>
      </c>
      <c r="C2" s="35" t="s">
        <v>103</v>
      </c>
      <c r="D2" s="35" t="s">
        <v>61</v>
      </c>
      <c r="E2" s="35" t="s">
        <v>62</v>
      </c>
      <c r="F2" s="35" t="s">
        <v>79</v>
      </c>
      <c r="G2" s="35" t="s">
        <v>80</v>
      </c>
      <c r="H2" s="16"/>
    </row>
    <row r="3" spans="1:8" ht="26.4" x14ac:dyDescent="0.25">
      <c r="A3" s="89"/>
      <c r="B3" s="91"/>
      <c r="C3" s="36" t="s">
        <v>104</v>
      </c>
      <c r="D3" s="36" t="s">
        <v>105</v>
      </c>
      <c r="E3" s="36" t="s">
        <v>106</v>
      </c>
      <c r="F3" s="36" t="s">
        <v>107</v>
      </c>
      <c r="G3" s="36" t="s">
        <v>108</v>
      </c>
      <c r="H3" s="16"/>
    </row>
    <row r="4" spans="1:8" ht="15" x14ac:dyDescent="0.25">
      <c r="A4" s="89"/>
      <c r="B4" s="91"/>
      <c r="C4" s="35">
        <v>300</v>
      </c>
      <c r="D4" s="35">
        <v>500</v>
      </c>
      <c r="E4" s="35">
        <v>450</v>
      </c>
      <c r="F4" s="35">
        <v>600</v>
      </c>
      <c r="G4" s="35">
        <v>250</v>
      </c>
      <c r="H4" s="16"/>
    </row>
    <row r="5" spans="1:8" ht="15" x14ac:dyDescent="0.25">
      <c r="A5" s="89"/>
      <c r="B5" s="92"/>
      <c r="C5" s="35" t="s">
        <v>64</v>
      </c>
      <c r="D5" s="35" t="s">
        <v>65</v>
      </c>
      <c r="E5" s="35" t="s">
        <v>64</v>
      </c>
      <c r="F5" s="35" t="s">
        <v>64</v>
      </c>
      <c r="G5" s="35" t="s">
        <v>65</v>
      </c>
      <c r="H5" s="16"/>
    </row>
    <row r="6" spans="1:8" ht="15" x14ac:dyDescent="0.25">
      <c r="A6" s="22" t="str">
        <f>Maestros!H31</f>
        <v>Enlozado cocina chica</v>
      </c>
      <c r="B6" s="17" t="str">
        <f>Maestros!L31</f>
        <v>Pza</v>
      </c>
      <c r="C6" s="33">
        <f>$C$4</f>
        <v>300</v>
      </c>
      <c r="D6" s="33">
        <v>0</v>
      </c>
      <c r="E6" s="34">
        <v>0</v>
      </c>
      <c r="F6" s="34">
        <v>0</v>
      </c>
      <c r="G6" s="34">
        <v>0</v>
      </c>
      <c r="H6" s="16"/>
    </row>
    <row r="7" spans="1:8" ht="15" x14ac:dyDescent="0.25">
      <c r="A7" s="22" t="str">
        <f>Maestros!H32</f>
        <v>Enlozado cocina grande</v>
      </c>
      <c r="B7" s="17" t="str">
        <f>Maestros!L32</f>
        <v>Pza</v>
      </c>
      <c r="C7" s="33">
        <f>$C$4</f>
        <v>300</v>
      </c>
      <c r="D7" s="33">
        <f>$D$4</f>
        <v>500</v>
      </c>
      <c r="E7" s="34">
        <v>0</v>
      </c>
      <c r="F7" s="34">
        <v>0</v>
      </c>
      <c r="G7" s="34">
        <v>0</v>
      </c>
      <c r="H7" s="16"/>
    </row>
    <row r="8" spans="1:8" ht="15" x14ac:dyDescent="0.25">
      <c r="A8" s="22" t="str">
        <f>Maestros!H33</f>
        <v>Serigrafiado de Caja Chica</v>
      </c>
      <c r="B8" s="17" t="str">
        <f>Maestros!L33</f>
        <v>Unid</v>
      </c>
      <c r="C8" s="33">
        <f>$C$4</f>
        <v>300</v>
      </c>
      <c r="D8" s="33">
        <v>0</v>
      </c>
      <c r="E8" s="34">
        <f>E4</f>
        <v>450</v>
      </c>
      <c r="F8" s="34">
        <v>0</v>
      </c>
      <c r="G8" s="34">
        <v>0</v>
      </c>
      <c r="H8" s="16"/>
    </row>
    <row r="9" spans="1:8" ht="15" x14ac:dyDescent="0.25">
      <c r="A9" s="22" t="str">
        <f>Maestros!H34</f>
        <v>Serigrafiado de Caja Mediana</v>
      </c>
      <c r="B9" s="17" t="str">
        <f>Maestros!L34</f>
        <v>Unid</v>
      </c>
      <c r="C9" s="33">
        <v>0</v>
      </c>
      <c r="D9" s="33">
        <v>0</v>
      </c>
      <c r="E9" s="34">
        <v>0</v>
      </c>
      <c r="F9" s="34">
        <f>F4</f>
        <v>600</v>
      </c>
      <c r="G9" s="34">
        <v>0</v>
      </c>
      <c r="H9" s="16"/>
    </row>
    <row r="10" spans="1:8" ht="15" x14ac:dyDescent="0.25">
      <c r="A10" s="22" t="str">
        <f>Maestros!H35</f>
        <v>Serigrafiado de Caja Grande</v>
      </c>
      <c r="B10" s="17" t="str">
        <f>Maestros!L35</f>
        <v>Unid</v>
      </c>
      <c r="C10" s="33">
        <v>0</v>
      </c>
      <c r="D10" s="33">
        <f>$D$4</f>
        <v>500</v>
      </c>
      <c r="E10" s="34">
        <v>0</v>
      </c>
      <c r="F10" s="34">
        <v>0</v>
      </c>
      <c r="G10" s="34">
        <f>G4</f>
        <v>250</v>
      </c>
      <c r="H10" s="16"/>
    </row>
    <row r="11" spans="1:8" ht="15" x14ac:dyDescent="0.25">
      <c r="A11" s="22" t="str">
        <f>Maestros!H36</f>
        <v>Grillado Horno Chico</v>
      </c>
      <c r="B11" s="17" t="str">
        <f>Maestros!L36</f>
        <v>Pza</v>
      </c>
      <c r="C11" s="33">
        <f>$C$4</f>
        <v>300</v>
      </c>
      <c r="D11" s="33">
        <v>0</v>
      </c>
      <c r="E11" s="34">
        <f>E4</f>
        <v>450</v>
      </c>
      <c r="F11" s="34">
        <v>0</v>
      </c>
      <c r="G11" s="34">
        <v>0</v>
      </c>
      <c r="H11" s="16"/>
    </row>
    <row r="12" spans="1:8" ht="15" x14ac:dyDescent="0.25">
      <c r="A12" s="22" t="str">
        <f>Maestros!H37</f>
        <v>Grillado Horno Grande</v>
      </c>
      <c r="B12" s="17" t="str">
        <f>Maestros!L37</f>
        <v>Pza</v>
      </c>
      <c r="C12" s="33">
        <v>0</v>
      </c>
      <c r="D12" s="33">
        <f>$D$4</f>
        <v>500</v>
      </c>
      <c r="E12" s="34">
        <v>0</v>
      </c>
      <c r="F12" s="34">
        <v>0</v>
      </c>
      <c r="G12" s="34">
        <v>0</v>
      </c>
      <c r="H12" s="16"/>
    </row>
    <row r="13" spans="1:8" ht="15" x14ac:dyDescent="0.25">
      <c r="A13" s="18" t="s">
        <v>84</v>
      </c>
      <c r="B13" s="16"/>
      <c r="C13" s="16"/>
      <c r="D13" s="16"/>
      <c r="E13" s="16"/>
      <c r="F13" s="16"/>
      <c r="G13" s="16"/>
      <c r="H13" s="16"/>
    </row>
    <row r="14" spans="1:8" ht="15" x14ac:dyDescent="0.25">
      <c r="A14" s="18"/>
      <c r="B14" s="16"/>
      <c r="C14" s="16"/>
      <c r="D14" s="16"/>
      <c r="E14" s="16"/>
      <c r="F14" s="16"/>
      <c r="G14" s="16"/>
      <c r="H14" s="16"/>
    </row>
    <row r="15" spans="1:8" ht="15" x14ac:dyDescent="0.25">
      <c r="A15" s="19" t="s">
        <v>298</v>
      </c>
      <c r="B15" s="16"/>
      <c r="C15" s="16"/>
      <c r="D15" s="16"/>
      <c r="E15" s="16"/>
      <c r="F15" s="16"/>
      <c r="G15" s="16"/>
      <c r="H15" s="16"/>
    </row>
    <row r="16" spans="1:8" ht="15" x14ac:dyDescent="0.25">
      <c r="A16" s="89" t="s">
        <v>297</v>
      </c>
      <c r="B16" s="90" t="s">
        <v>82</v>
      </c>
      <c r="C16" s="35" t="s">
        <v>103</v>
      </c>
      <c r="D16" s="35" t="s">
        <v>61</v>
      </c>
      <c r="E16" s="35" t="s">
        <v>62</v>
      </c>
      <c r="F16" s="35" t="s">
        <v>79</v>
      </c>
      <c r="G16" s="35" t="s">
        <v>80</v>
      </c>
      <c r="H16" s="16"/>
    </row>
    <row r="17" spans="1:8" ht="26.4" x14ac:dyDescent="0.25">
      <c r="A17" s="89"/>
      <c r="B17" s="91"/>
      <c r="C17" s="36" t="s">
        <v>104</v>
      </c>
      <c r="D17" s="36" t="s">
        <v>105</v>
      </c>
      <c r="E17" s="36" t="s">
        <v>106</v>
      </c>
      <c r="F17" s="36" t="s">
        <v>107</v>
      </c>
      <c r="G17" s="36" t="s">
        <v>108</v>
      </c>
      <c r="H17" s="16"/>
    </row>
    <row r="18" spans="1:8" ht="15" x14ac:dyDescent="0.25">
      <c r="A18" s="89"/>
      <c r="B18" s="91"/>
      <c r="C18" s="35">
        <v>300</v>
      </c>
      <c r="D18" s="35">
        <v>500</v>
      </c>
      <c r="E18" s="35">
        <v>450</v>
      </c>
      <c r="F18" s="35">
        <v>600</v>
      </c>
      <c r="G18" s="35">
        <v>250</v>
      </c>
      <c r="H18" s="16"/>
    </row>
    <row r="19" spans="1:8" ht="15" x14ac:dyDescent="0.25">
      <c r="A19" s="89"/>
      <c r="B19" s="92"/>
      <c r="C19" s="35" t="s">
        <v>64</v>
      </c>
      <c r="D19" s="35" t="s">
        <v>65</v>
      </c>
      <c r="E19" s="35" t="s">
        <v>64</v>
      </c>
      <c r="F19" s="35" t="s">
        <v>64</v>
      </c>
      <c r="G19" s="35" t="s">
        <v>65</v>
      </c>
      <c r="H19" s="16"/>
    </row>
    <row r="20" spans="1:8" ht="15" x14ac:dyDescent="0.25">
      <c r="A20" s="22" t="str">
        <f t="shared" ref="A20:B26" si="0">A6</f>
        <v>Enlozado cocina chica</v>
      </c>
      <c r="B20" s="25" t="str">
        <f t="shared" si="0"/>
        <v>Pza</v>
      </c>
      <c r="C20" s="87"/>
      <c r="D20" s="87"/>
      <c r="E20" s="87"/>
      <c r="F20" s="87"/>
      <c r="G20" s="87"/>
      <c r="H20" s="16"/>
    </row>
    <row r="21" spans="1:8" ht="15" x14ac:dyDescent="0.25">
      <c r="A21" s="22" t="str">
        <f t="shared" si="0"/>
        <v>Enlozado cocina grande</v>
      </c>
      <c r="B21" s="25" t="str">
        <f t="shared" si="0"/>
        <v>Pza</v>
      </c>
      <c r="C21" s="87"/>
      <c r="D21" s="87"/>
      <c r="E21" s="87"/>
      <c r="F21" s="87"/>
      <c r="G21" s="87"/>
      <c r="H21" s="16"/>
    </row>
    <row r="22" spans="1:8" ht="15" x14ac:dyDescent="0.25">
      <c r="A22" s="22" t="str">
        <f t="shared" si="0"/>
        <v>Serigrafiado de Caja Chica</v>
      </c>
      <c r="B22" s="25" t="str">
        <f t="shared" si="0"/>
        <v>Unid</v>
      </c>
      <c r="C22" s="87"/>
      <c r="D22" s="87"/>
      <c r="E22" s="87"/>
      <c r="F22" s="87"/>
      <c r="G22" s="87"/>
      <c r="H22" s="16"/>
    </row>
    <row r="23" spans="1:8" ht="15" x14ac:dyDescent="0.25">
      <c r="A23" s="22" t="str">
        <f t="shared" si="0"/>
        <v>Serigrafiado de Caja Mediana</v>
      </c>
      <c r="B23" s="25" t="str">
        <f t="shared" si="0"/>
        <v>Unid</v>
      </c>
      <c r="C23" s="87"/>
      <c r="D23" s="87"/>
      <c r="E23" s="87"/>
      <c r="F23" s="87"/>
      <c r="G23" s="87"/>
      <c r="H23" s="16"/>
    </row>
    <row r="24" spans="1:8" ht="15" x14ac:dyDescent="0.25">
      <c r="A24" s="22" t="str">
        <f t="shared" si="0"/>
        <v>Serigrafiado de Caja Grande</v>
      </c>
      <c r="B24" s="25" t="str">
        <f t="shared" si="0"/>
        <v>Unid</v>
      </c>
      <c r="C24" s="87"/>
      <c r="D24" s="87"/>
      <c r="E24" s="87"/>
      <c r="F24" s="87"/>
      <c r="G24" s="87"/>
      <c r="H24" s="16"/>
    </row>
    <row r="25" spans="1:8" ht="15" x14ac:dyDescent="0.25">
      <c r="A25" s="22" t="str">
        <f t="shared" si="0"/>
        <v>Grillado Horno Chico</v>
      </c>
      <c r="B25" s="25" t="str">
        <f t="shared" si="0"/>
        <v>Pza</v>
      </c>
      <c r="C25" s="87"/>
      <c r="D25" s="87"/>
      <c r="E25" s="87"/>
      <c r="F25" s="87"/>
      <c r="G25" s="87"/>
      <c r="H25" s="16"/>
    </row>
    <row r="26" spans="1:8" ht="15" x14ac:dyDescent="0.25">
      <c r="A26" s="22" t="str">
        <f t="shared" si="0"/>
        <v>Grillado Horno Grande</v>
      </c>
      <c r="B26" s="25" t="str">
        <f t="shared" si="0"/>
        <v>Pza</v>
      </c>
      <c r="C26" s="87"/>
      <c r="D26" s="87"/>
      <c r="E26" s="87"/>
      <c r="F26" s="87"/>
      <c r="G26" s="87"/>
      <c r="H26" s="16"/>
    </row>
    <row r="27" spans="1:8" ht="15.6" x14ac:dyDescent="0.3">
      <c r="A27" s="20" t="s">
        <v>211</v>
      </c>
      <c r="B27" s="23"/>
      <c r="C27" s="88">
        <f>SUM(C20:C26)</f>
        <v>0</v>
      </c>
      <c r="D27" s="88">
        <f t="shared" ref="D27:G27" si="1">SUM(D20:D26)</f>
        <v>0</v>
      </c>
      <c r="E27" s="88">
        <f t="shared" si="1"/>
        <v>0</v>
      </c>
      <c r="F27" s="88">
        <f t="shared" si="1"/>
        <v>0</v>
      </c>
      <c r="G27" s="88">
        <f t="shared" si="1"/>
        <v>0</v>
      </c>
      <c r="H27" s="16"/>
    </row>
    <row r="28" spans="1:8" ht="15" x14ac:dyDescent="0.25">
      <c r="A28" s="16"/>
      <c r="B28" s="16"/>
      <c r="C28" s="78" t="s">
        <v>64</v>
      </c>
      <c r="D28" s="78" t="s">
        <v>65</v>
      </c>
      <c r="E28" s="78" t="s">
        <v>64</v>
      </c>
      <c r="F28" s="78" t="s">
        <v>64</v>
      </c>
      <c r="G28" s="78" t="s">
        <v>65</v>
      </c>
      <c r="H28" s="16"/>
    </row>
    <row r="29" spans="1:8" ht="15" x14ac:dyDescent="0.25">
      <c r="A29" s="18"/>
      <c r="B29" s="19"/>
      <c r="C29" s="18"/>
      <c r="D29" s="16"/>
      <c r="E29" s="16"/>
      <c r="F29" s="16"/>
      <c r="G29" s="16"/>
      <c r="H29" s="16"/>
    </row>
    <row r="30" spans="1:8" ht="15.6" x14ac:dyDescent="0.3">
      <c r="A30" s="16"/>
      <c r="B30" s="16"/>
      <c r="C30" s="15" t="s">
        <v>243</v>
      </c>
      <c r="D30" s="16"/>
      <c r="E30" s="16"/>
      <c r="F30" s="54">
        <f>D27+G27</f>
        <v>0</v>
      </c>
      <c r="G30" s="16"/>
      <c r="H30" s="16"/>
    </row>
    <row r="31" spans="1:8" x14ac:dyDescent="0.25">
      <c r="C31" s="1" t="s">
        <v>244</v>
      </c>
      <c r="F31" s="54">
        <f>C27+E27+F27</f>
        <v>0</v>
      </c>
    </row>
  </sheetData>
  <mergeCells count="4">
    <mergeCell ref="A2:A5"/>
    <mergeCell ref="B2:B5"/>
    <mergeCell ref="A16:A19"/>
    <mergeCell ref="B16:B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6"/>
  <sheetViews>
    <sheetView topLeftCell="A15" zoomScale="90" zoomScaleNormal="90" workbookViewId="0">
      <selection activeCell="A28" sqref="A28"/>
    </sheetView>
  </sheetViews>
  <sheetFormatPr baseColWidth="10" defaultRowHeight="13.2" x14ac:dyDescent="0.25"/>
  <cols>
    <col min="1" max="1" width="7.8984375" style="18" customWidth="1"/>
    <col min="2" max="2" width="14.19921875" style="18" customWidth="1"/>
    <col min="3" max="3" width="11.3984375" style="18" customWidth="1"/>
    <col min="4" max="4" width="4.69921875" style="18" customWidth="1"/>
    <col min="5" max="5" width="15.09765625" style="18" customWidth="1"/>
    <col min="6" max="6" width="12.8984375" style="18" bestFit="1" customWidth="1"/>
    <col min="7" max="7" width="17.09765625" style="18" bestFit="1" customWidth="1"/>
    <col min="8" max="8" width="11.5" style="18" customWidth="1"/>
    <col min="9" max="9" width="11.8984375" style="18" bestFit="1" customWidth="1"/>
    <col min="10" max="10" width="7" style="18" bestFit="1" customWidth="1"/>
    <col min="11" max="11" width="9" style="18" bestFit="1" customWidth="1"/>
    <col min="12" max="12" width="8.59765625" style="18" bestFit="1" customWidth="1"/>
    <col min="13" max="13" width="10.19921875" style="18" bestFit="1" customWidth="1"/>
    <col min="14" max="14" width="9.09765625" style="18" bestFit="1" customWidth="1"/>
    <col min="15" max="15" width="6.19921875" style="18" bestFit="1" customWidth="1"/>
    <col min="16" max="16" width="9.8984375" style="18" bestFit="1" customWidth="1"/>
    <col min="17" max="17" width="11.8984375" style="18" bestFit="1" customWidth="1"/>
    <col min="18" max="18" width="9.69921875" style="18" bestFit="1" customWidth="1"/>
    <col min="19" max="19" width="6" style="18" bestFit="1" customWidth="1"/>
    <col min="20" max="256" width="11" style="18"/>
    <col min="257" max="257" width="19.59765625" style="18" customWidth="1"/>
    <col min="258" max="258" width="8.5" style="18" customWidth="1"/>
    <col min="259" max="259" width="8.59765625" style="18" bestFit="1" customWidth="1"/>
    <col min="260" max="260" width="8.8984375" style="18" bestFit="1" customWidth="1"/>
    <col min="261" max="261" width="7.8984375" style="18" bestFit="1" customWidth="1"/>
    <col min="262" max="262" width="10.8984375" style="18" bestFit="1" customWidth="1"/>
    <col min="263" max="263" width="8.59765625" style="18" bestFit="1" customWidth="1"/>
    <col min="264" max="264" width="7.59765625" style="18" bestFit="1" customWidth="1"/>
    <col min="265" max="265" width="10.19921875" style="18" customWidth="1"/>
    <col min="266" max="266" width="10.59765625" style="18" bestFit="1" customWidth="1"/>
    <col min="267" max="267" width="9" style="18" bestFit="1" customWidth="1"/>
    <col min="268" max="268" width="8.59765625" style="18" bestFit="1" customWidth="1"/>
    <col min="269" max="269" width="10.19921875" style="18" bestFit="1" customWidth="1"/>
    <col min="270" max="270" width="9.09765625" style="18" bestFit="1" customWidth="1"/>
    <col min="271" max="271" width="6.19921875" style="18" bestFit="1" customWidth="1"/>
    <col min="272" max="272" width="9.8984375" style="18" bestFit="1" customWidth="1"/>
    <col min="273" max="273" width="11.8984375" style="18" bestFit="1" customWidth="1"/>
    <col min="274" max="274" width="9.69921875" style="18" bestFit="1" customWidth="1"/>
    <col min="275" max="275" width="6" style="18" bestFit="1" customWidth="1"/>
    <col min="276" max="512" width="11" style="18"/>
    <col min="513" max="513" width="19.59765625" style="18" customWidth="1"/>
    <col min="514" max="514" width="8.5" style="18" customWidth="1"/>
    <col min="515" max="515" width="8.59765625" style="18" bestFit="1" customWidth="1"/>
    <col min="516" max="516" width="8.8984375" style="18" bestFit="1" customWidth="1"/>
    <col min="517" max="517" width="7.8984375" style="18" bestFit="1" customWidth="1"/>
    <col min="518" max="518" width="10.8984375" style="18" bestFit="1" customWidth="1"/>
    <col min="519" max="519" width="8.59765625" style="18" bestFit="1" customWidth="1"/>
    <col min="520" max="520" width="7.59765625" style="18" bestFit="1" customWidth="1"/>
    <col min="521" max="521" width="10.19921875" style="18" customWidth="1"/>
    <col min="522" max="522" width="10.59765625" style="18" bestFit="1" customWidth="1"/>
    <col min="523" max="523" width="9" style="18" bestFit="1" customWidth="1"/>
    <col min="524" max="524" width="8.59765625" style="18" bestFit="1" customWidth="1"/>
    <col min="525" max="525" width="10.19921875" style="18" bestFit="1" customWidth="1"/>
    <col min="526" max="526" width="9.09765625" style="18" bestFit="1" customWidth="1"/>
    <col min="527" max="527" width="6.19921875" style="18" bestFit="1" customWidth="1"/>
    <col min="528" max="528" width="9.8984375" style="18" bestFit="1" customWidth="1"/>
    <col min="529" max="529" width="11.8984375" style="18" bestFit="1" customWidth="1"/>
    <col min="530" max="530" width="9.69921875" style="18" bestFit="1" customWidth="1"/>
    <col min="531" max="531" width="6" style="18" bestFit="1" customWidth="1"/>
    <col min="532" max="768" width="11" style="18"/>
    <col min="769" max="769" width="19.59765625" style="18" customWidth="1"/>
    <col min="770" max="770" width="8.5" style="18" customWidth="1"/>
    <col min="771" max="771" width="8.59765625" style="18" bestFit="1" customWidth="1"/>
    <col min="772" max="772" width="8.8984375" style="18" bestFit="1" customWidth="1"/>
    <col min="773" max="773" width="7.8984375" style="18" bestFit="1" customWidth="1"/>
    <col min="774" max="774" width="10.8984375" style="18" bestFit="1" customWidth="1"/>
    <col min="775" max="775" width="8.59765625" style="18" bestFit="1" customWidth="1"/>
    <col min="776" max="776" width="7.59765625" style="18" bestFit="1" customWidth="1"/>
    <col min="777" max="777" width="10.19921875" style="18" customWidth="1"/>
    <col min="778" max="778" width="10.59765625" style="18" bestFit="1" customWidth="1"/>
    <col min="779" max="779" width="9" style="18" bestFit="1" customWidth="1"/>
    <col min="780" max="780" width="8.59765625" style="18" bestFit="1" customWidth="1"/>
    <col min="781" max="781" width="10.19921875" style="18" bestFit="1" customWidth="1"/>
    <col min="782" max="782" width="9.09765625" style="18" bestFit="1" customWidth="1"/>
    <col min="783" max="783" width="6.19921875" style="18" bestFit="1" customWidth="1"/>
    <col min="784" max="784" width="9.8984375" style="18" bestFit="1" customWidth="1"/>
    <col min="785" max="785" width="11.8984375" style="18" bestFit="1" customWidth="1"/>
    <col min="786" max="786" width="9.69921875" style="18" bestFit="1" customWidth="1"/>
    <col min="787" max="787" width="6" style="18" bestFit="1" customWidth="1"/>
    <col min="788" max="1024" width="11" style="18"/>
    <col min="1025" max="1025" width="19.59765625" style="18" customWidth="1"/>
    <col min="1026" max="1026" width="8.5" style="18" customWidth="1"/>
    <col min="1027" max="1027" width="8.59765625" style="18" bestFit="1" customWidth="1"/>
    <col min="1028" max="1028" width="8.8984375" style="18" bestFit="1" customWidth="1"/>
    <col min="1029" max="1029" width="7.8984375" style="18" bestFit="1" customWidth="1"/>
    <col min="1030" max="1030" width="10.8984375" style="18" bestFit="1" customWidth="1"/>
    <col min="1031" max="1031" width="8.59765625" style="18" bestFit="1" customWidth="1"/>
    <col min="1032" max="1032" width="7.59765625" style="18" bestFit="1" customWidth="1"/>
    <col min="1033" max="1033" width="10.19921875" style="18" customWidth="1"/>
    <col min="1034" max="1034" width="10.59765625" style="18" bestFit="1" customWidth="1"/>
    <col min="1035" max="1035" width="9" style="18" bestFit="1" customWidth="1"/>
    <col min="1036" max="1036" width="8.59765625" style="18" bestFit="1" customWidth="1"/>
    <col min="1037" max="1037" width="10.19921875" style="18" bestFit="1" customWidth="1"/>
    <col min="1038" max="1038" width="9.09765625" style="18" bestFit="1" customWidth="1"/>
    <col min="1039" max="1039" width="6.19921875" style="18" bestFit="1" customWidth="1"/>
    <col min="1040" max="1040" width="9.8984375" style="18" bestFit="1" customWidth="1"/>
    <col min="1041" max="1041" width="11.8984375" style="18" bestFit="1" customWidth="1"/>
    <col min="1042" max="1042" width="9.69921875" style="18" bestFit="1" customWidth="1"/>
    <col min="1043" max="1043" width="6" style="18" bestFit="1" customWidth="1"/>
    <col min="1044" max="1280" width="11" style="18"/>
    <col min="1281" max="1281" width="19.59765625" style="18" customWidth="1"/>
    <col min="1282" max="1282" width="8.5" style="18" customWidth="1"/>
    <col min="1283" max="1283" width="8.59765625" style="18" bestFit="1" customWidth="1"/>
    <col min="1284" max="1284" width="8.8984375" style="18" bestFit="1" customWidth="1"/>
    <col min="1285" max="1285" width="7.8984375" style="18" bestFit="1" customWidth="1"/>
    <col min="1286" max="1286" width="10.8984375" style="18" bestFit="1" customWidth="1"/>
    <col min="1287" max="1287" width="8.59765625" style="18" bestFit="1" customWidth="1"/>
    <col min="1288" max="1288" width="7.59765625" style="18" bestFit="1" customWidth="1"/>
    <col min="1289" max="1289" width="10.19921875" style="18" customWidth="1"/>
    <col min="1290" max="1290" width="10.59765625" style="18" bestFit="1" customWidth="1"/>
    <col min="1291" max="1291" width="9" style="18" bestFit="1" customWidth="1"/>
    <col min="1292" max="1292" width="8.59765625" style="18" bestFit="1" customWidth="1"/>
    <col min="1293" max="1293" width="10.19921875" style="18" bestFit="1" customWidth="1"/>
    <col min="1294" max="1294" width="9.09765625" style="18" bestFit="1" customWidth="1"/>
    <col min="1295" max="1295" width="6.19921875" style="18" bestFit="1" customWidth="1"/>
    <col min="1296" max="1296" width="9.8984375" style="18" bestFit="1" customWidth="1"/>
    <col min="1297" max="1297" width="11.8984375" style="18" bestFit="1" customWidth="1"/>
    <col min="1298" max="1298" width="9.69921875" style="18" bestFit="1" customWidth="1"/>
    <col min="1299" max="1299" width="6" style="18" bestFit="1" customWidth="1"/>
    <col min="1300" max="1536" width="11" style="18"/>
    <col min="1537" max="1537" width="19.59765625" style="18" customWidth="1"/>
    <col min="1538" max="1538" width="8.5" style="18" customWidth="1"/>
    <col min="1539" max="1539" width="8.59765625" style="18" bestFit="1" customWidth="1"/>
    <col min="1540" max="1540" width="8.8984375" style="18" bestFit="1" customWidth="1"/>
    <col min="1541" max="1541" width="7.8984375" style="18" bestFit="1" customWidth="1"/>
    <col min="1542" max="1542" width="10.8984375" style="18" bestFit="1" customWidth="1"/>
    <col min="1543" max="1543" width="8.59765625" style="18" bestFit="1" customWidth="1"/>
    <col min="1544" max="1544" width="7.59765625" style="18" bestFit="1" customWidth="1"/>
    <col min="1545" max="1545" width="10.19921875" style="18" customWidth="1"/>
    <col min="1546" max="1546" width="10.59765625" style="18" bestFit="1" customWidth="1"/>
    <col min="1547" max="1547" width="9" style="18" bestFit="1" customWidth="1"/>
    <col min="1548" max="1548" width="8.59765625" style="18" bestFit="1" customWidth="1"/>
    <col min="1549" max="1549" width="10.19921875" style="18" bestFit="1" customWidth="1"/>
    <col min="1550" max="1550" width="9.09765625" style="18" bestFit="1" customWidth="1"/>
    <col min="1551" max="1551" width="6.19921875" style="18" bestFit="1" customWidth="1"/>
    <col min="1552" max="1552" width="9.8984375" style="18" bestFit="1" customWidth="1"/>
    <col min="1553" max="1553" width="11.8984375" style="18" bestFit="1" customWidth="1"/>
    <col min="1554" max="1554" width="9.69921875" style="18" bestFit="1" customWidth="1"/>
    <col min="1555" max="1555" width="6" style="18" bestFit="1" customWidth="1"/>
    <col min="1556" max="1792" width="11" style="18"/>
    <col min="1793" max="1793" width="19.59765625" style="18" customWidth="1"/>
    <col min="1794" max="1794" width="8.5" style="18" customWidth="1"/>
    <col min="1795" max="1795" width="8.59765625" style="18" bestFit="1" customWidth="1"/>
    <col min="1796" max="1796" width="8.8984375" style="18" bestFit="1" customWidth="1"/>
    <col min="1797" max="1797" width="7.8984375" style="18" bestFit="1" customWidth="1"/>
    <col min="1798" max="1798" width="10.8984375" style="18" bestFit="1" customWidth="1"/>
    <col min="1799" max="1799" width="8.59765625" style="18" bestFit="1" customWidth="1"/>
    <col min="1800" max="1800" width="7.59765625" style="18" bestFit="1" customWidth="1"/>
    <col min="1801" max="1801" width="10.19921875" style="18" customWidth="1"/>
    <col min="1802" max="1802" width="10.59765625" style="18" bestFit="1" customWidth="1"/>
    <col min="1803" max="1803" width="9" style="18" bestFit="1" customWidth="1"/>
    <col min="1804" max="1804" width="8.59765625" style="18" bestFit="1" customWidth="1"/>
    <col min="1805" max="1805" width="10.19921875" style="18" bestFit="1" customWidth="1"/>
    <col min="1806" max="1806" width="9.09765625" style="18" bestFit="1" customWidth="1"/>
    <col min="1807" max="1807" width="6.19921875" style="18" bestFit="1" customWidth="1"/>
    <col min="1808" max="1808" width="9.8984375" style="18" bestFit="1" customWidth="1"/>
    <col min="1809" max="1809" width="11.8984375" style="18" bestFit="1" customWidth="1"/>
    <col min="1810" max="1810" width="9.69921875" style="18" bestFit="1" customWidth="1"/>
    <col min="1811" max="1811" width="6" style="18" bestFit="1" customWidth="1"/>
    <col min="1812" max="2048" width="11" style="18"/>
    <col min="2049" max="2049" width="19.59765625" style="18" customWidth="1"/>
    <col min="2050" max="2050" width="8.5" style="18" customWidth="1"/>
    <col min="2051" max="2051" width="8.59765625" style="18" bestFit="1" customWidth="1"/>
    <col min="2052" max="2052" width="8.8984375" style="18" bestFit="1" customWidth="1"/>
    <col min="2053" max="2053" width="7.8984375" style="18" bestFit="1" customWidth="1"/>
    <col min="2054" max="2054" width="10.8984375" style="18" bestFit="1" customWidth="1"/>
    <col min="2055" max="2055" width="8.59765625" style="18" bestFit="1" customWidth="1"/>
    <col min="2056" max="2056" width="7.59765625" style="18" bestFit="1" customWidth="1"/>
    <col min="2057" max="2057" width="10.19921875" style="18" customWidth="1"/>
    <col min="2058" max="2058" width="10.59765625" style="18" bestFit="1" customWidth="1"/>
    <col min="2059" max="2059" width="9" style="18" bestFit="1" customWidth="1"/>
    <col min="2060" max="2060" width="8.59765625" style="18" bestFit="1" customWidth="1"/>
    <col min="2061" max="2061" width="10.19921875" style="18" bestFit="1" customWidth="1"/>
    <col min="2062" max="2062" width="9.09765625" style="18" bestFit="1" customWidth="1"/>
    <col min="2063" max="2063" width="6.19921875" style="18" bestFit="1" customWidth="1"/>
    <col min="2064" max="2064" width="9.8984375" style="18" bestFit="1" customWidth="1"/>
    <col min="2065" max="2065" width="11.8984375" style="18" bestFit="1" customWidth="1"/>
    <col min="2066" max="2066" width="9.69921875" style="18" bestFit="1" customWidth="1"/>
    <col min="2067" max="2067" width="6" style="18" bestFit="1" customWidth="1"/>
    <col min="2068" max="2304" width="11" style="18"/>
    <col min="2305" max="2305" width="19.59765625" style="18" customWidth="1"/>
    <col min="2306" max="2306" width="8.5" style="18" customWidth="1"/>
    <col min="2307" max="2307" width="8.59765625" style="18" bestFit="1" customWidth="1"/>
    <col min="2308" max="2308" width="8.8984375" style="18" bestFit="1" customWidth="1"/>
    <col min="2309" max="2309" width="7.8984375" style="18" bestFit="1" customWidth="1"/>
    <col min="2310" max="2310" width="10.8984375" style="18" bestFit="1" customWidth="1"/>
    <col min="2311" max="2311" width="8.59765625" style="18" bestFit="1" customWidth="1"/>
    <col min="2312" max="2312" width="7.59765625" style="18" bestFit="1" customWidth="1"/>
    <col min="2313" max="2313" width="10.19921875" style="18" customWidth="1"/>
    <col min="2314" max="2314" width="10.59765625" style="18" bestFit="1" customWidth="1"/>
    <col min="2315" max="2315" width="9" style="18" bestFit="1" customWidth="1"/>
    <col min="2316" max="2316" width="8.59765625" style="18" bestFit="1" customWidth="1"/>
    <col min="2317" max="2317" width="10.19921875" style="18" bestFit="1" customWidth="1"/>
    <col min="2318" max="2318" width="9.09765625" style="18" bestFit="1" customWidth="1"/>
    <col min="2319" max="2319" width="6.19921875" style="18" bestFit="1" customWidth="1"/>
    <col min="2320" max="2320" width="9.8984375" style="18" bestFit="1" customWidth="1"/>
    <col min="2321" max="2321" width="11.8984375" style="18" bestFit="1" customWidth="1"/>
    <col min="2322" max="2322" width="9.69921875" style="18" bestFit="1" customWidth="1"/>
    <col min="2323" max="2323" width="6" style="18" bestFit="1" customWidth="1"/>
    <col min="2324" max="2560" width="11" style="18"/>
    <col min="2561" max="2561" width="19.59765625" style="18" customWidth="1"/>
    <col min="2562" max="2562" width="8.5" style="18" customWidth="1"/>
    <col min="2563" max="2563" width="8.59765625" style="18" bestFit="1" customWidth="1"/>
    <col min="2564" max="2564" width="8.8984375" style="18" bestFit="1" customWidth="1"/>
    <col min="2565" max="2565" width="7.8984375" style="18" bestFit="1" customWidth="1"/>
    <col min="2566" max="2566" width="10.8984375" style="18" bestFit="1" customWidth="1"/>
    <col min="2567" max="2567" width="8.59765625" style="18" bestFit="1" customWidth="1"/>
    <col min="2568" max="2568" width="7.59765625" style="18" bestFit="1" customWidth="1"/>
    <col min="2569" max="2569" width="10.19921875" style="18" customWidth="1"/>
    <col min="2570" max="2570" width="10.59765625" style="18" bestFit="1" customWidth="1"/>
    <col min="2571" max="2571" width="9" style="18" bestFit="1" customWidth="1"/>
    <col min="2572" max="2572" width="8.59765625" style="18" bestFit="1" customWidth="1"/>
    <col min="2573" max="2573" width="10.19921875" style="18" bestFit="1" customWidth="1"/>
    <col min="2574" max="2574" width="9.09765625" style="18" bestFit="1" customWidth="1"/>
    <col min="2575" max="2575" width="6.19921875" style="18" bestFit="1" customWidth="1"/>
    <col min="2576" max="2576" width="9.8984375" style="18" bestFit="1" customWidth="1"/>
    <col min="2577" max="2577" width="11.8984375" style="18" bestFit="1" customWidth="1"/>
    <col min="2578" max="2578" width="9.69921875" style="18" bestFit="1" customWidth="1"/>
    <col min="2579" max="2579" width="6" style="18" bestFit="1" customWidth="1"/>
    <col min="2580" max="2816" width="11" style="18"/>
    <col min="2817" max="2817" width="19.59765625" style="18" customWidth="1"/>
    <col min="2818" max="2818" width="8.5" style="18" customWidth="1"/>
    <col min="2819" max="2819" width="8.59765625" style="18" bestFit="1" customWidth="1"/>
    <col min="2820" max="2820" width="8.8984375" style="18" bestFit="1" customWidth="1"/>
    <col min="2821" max="2821" width="7.8984375" style="18" bestFit="1" customWidth="1"/>
    <col min="2822" max="2822" width="10.8984375" style="18" bestFit="1" customWidth="1"/>
    <col min="2823" max="2823" width="8.59765625" style="18" bestFit="1" customWidth="1"/>
    <col min="2824" max="2824" width="7.59765625" style="18" bestFit="1" customWidth="1"/>
    <col min="2825" max="2825" width="10.19921875" style="18" customWidth="1"/>
    <col min="2826" max="2826" width="10.59765625" style="18" bestFit="1" customWidth="1"/>
    <col min="2827" max="2827" width="9" style="18" bestFit="1" customWidth="1"/>
    <col min="2828" max="2828" width="8.59765625" style="18" bestFit="1" customWidth="1"/>
    <col min="2829" max="2829" width="10.19921875" style="18" bestFit="1" customWidth="1"/>
    <col min="2830" max="2830" width="9.09765625" style="18" bestFit="1" customWidth="1"/>
    <col min="2831" max="2831" width="6.19921875" style="18" bestFit="1" customWidth="1"/>
    <col min="2832" max="2832" width="9.8984375" style="18" bestFit="1" customWidth="1"/>
    <col min="2833" max="2833" width="11.8984375" style="18" bestFit="1" customWidth="1"/>
    <col min="2834" max="2834" width="9.69921875" style="18" bestFit="1" customWidth="1"/>
    <col min="2835" max="2835" width="6" style="18" bestFit="1" customWidth="1"/>
    <col min="2836" max="3072" width="11" style="18"/>
    <col min="3073" max="3073" width="19.59765625" style="18" customWidth="1"/>
    <col min="3074" max="3074" width="8.5" style="18" customWidth="1"/>
    <col min="3075" max="3075" width="8.59765625" style="18" bestFit="1" customWidth="1"/>
    <col min="3076" max="3076" width="8.8984375" style="18" bestFit="1" customWidth="1"/>
    <col min="3077" max="3077" width="7.8984375" style="18" bestFit="1" customWidth="1"/>
    <col min="3078" max="3078" width="10.8984375" style="18" bestFit="1" customWidth="1"/>
    <col min="3079" max="3079" width="8.59765625" style="18" bestFit="1" customWidth="1"/>
    <col min="3080" max="3080" width="7.59765625" style="18" bestFit="1" customWidth="1"/>
    <col min="3081" max="3081" width="10.19921875" style="18" customWidth="1"/>
    <col min="3082" max="3082" width="10.59765625" style="18" bestFit="1" customWidth="1"/>
    <col min="3083" max="3083" width="9" style="18" bestFit="1" customWidth="1"/>
    <col min="3084" max="3084" width="8.59765625" style="18" bestFit="1" customWidth="1"/>
    <col min="3085" max="3085" width="10.19921875" style="18" bestFit="1" customWidth="1"/>
    <col min="3086" max="3086" width="9.09765625" style="18" bestFit="1" customWidth="1"/>
    <col min="3087" max="3087" width="6.19921875" style="18" bestFit="1" customWidth="1"/>
    <col min="3088" max="3088" width="9.8984375" style="18" bestFit="1" customWidth="1"/>
    <col min="3089" max="3089" width="11.8984375" style="18" bestFit="1" customWidth="1"/>
    <col min="3090" max="3090" width="9.69921875" style="18" bestFit="1" customWidth="1"/>
    <col min="3091" max="3091" width="6" style="18" bestFit="1" customWidth="1"/>
    <col min="3092" max="3328" width="11" style="18"/>
    <col min="3329" max="3329" width="19.59765625" style="18" customWidth="1"/>
    <col min="3330" max="3330" width="8.5" style="18" customWidth="1"/>
    <col min="3331" max="3331" width="8.59765625" style="18" bestFit="1" customWidth="1"/>
    <col min="3332" max="3332" width="8.8984375" style="18" bestFit="1" customWidth="1"/>
    <col min="3333" max="3333" width="7.8984375" style="18" bestFit="1" customWidth="1"/>
    <col min="3334" max="3334" width="10.8984375" style="18" bestFit="1" customWidth="1"/>
    <col min="3335" max="3335" width="8.59765625" style="18" bestFit="1" customWidth="1"/>
    <col min="3336" max="3336" width="7.59765625" style="18" bestFit="1" customWidth="1"/>
    <col min="3337" max="3337" width="10.19921875" style="18" customWidth="1"/>
    <col min="3338" max="3338" width="10.59765625" style="18" bestFit="1" customWidth="1"/>
    <col min="3339" max="3339" width="9" style="18" bestFit="1" customWidth="1"/>
    <col min="3340" max="3340" width="8.59765625" style="18" bestFit="1" customWidth="1"/>
    <col min="3341" max="3341" width="10.19921875" style="18" bestFit="1" customWidth="1"/>
    <col min="3342" max="3342" width="9.09765625" style="18" bestFit="1" customWidth="1"/>
    <col min="3343" max="3343" width="6.19921875" style="18" bestFit="1" customWidth="1"/>
    <col min="3344" max="3344" width="9.8984375" style="18" bestFit="1" customWidth="1"/>
    <col min="3345" max="3345" width="11.8984375" style="18" bestFit="1" customWidth="1"/>
    <col min="3346" max="3346" width="9.69921875" style="18" bestFit="1" customWidth="1"/>
    <col min="3347" max="3347" width="6" style="18" bestFit="1" customWidth="1"/>
    <col min="3348" max="3584" width="11" style="18"/>
    <col min="3585" max="3585" width="19.59765625" style="18" customWidth="1"/>
    <col min="3586" max="3586" width="8.5" style="18" customWidth="1"/>
    <col min="3587" max="3587" width="8.59765625" style="18" bestFit="1" customWidth="1"/>
    <col min="3588" max="3588" width="8.8984375" style="18" bestFit="1" customWidth="1"/>
    <col min="3589" max="3589" width="7.8984375" style="18" bestFit="1" customWidth="1"/>
    <col min="3590" max="3590" width="10.8984375" style="18" bestFit="1" customWidth="1"/>
    <col min="3591" max="3591" width="8.59765625" style="18" bestFit="1" customWidth="1"/>
    <col min="3592" max="3592" width="7.59765625" style="18" bestFit="1" customWidth="1"/>
    <col min="3593" max="3593" width="10.19921875" style="18" customWidth="1"/>
    <col min="3594" max="3594" width="10.59765625" style="18" bestFit="1" customWidth="1"/>
    <col min="3595" max="3595" width="9" style="18" bestFit="1" customWidth="1"/>
    <col min="3596" max="3596" width="8.59765625" style="18" bestFit="1" customWidth="1"/>
    <col min="3597" max="3597" width="10.19921875" style="18" bestFit="1" customWidth="1"/>
    <col min="3598" max="3598" width="9.09765625" style="18" bestFit="1" customWidth="1"/>
    <col min="3599" max="3599" width="6.19921875" style="18" bestFit="1" customWidth="1"/>
    <col min="3600" max="3600" width="9.8984375" style="18" bestFit="1" customWidth="1"/>
    <col min="3601" max="3601" width="11.8984375" style="18" bestFit="1" customWidth="1"/>
    <col min="3602" max="3602" width="9.69921875" style="18" bestFit="1" customWidth="1"/>
    <col min="3603" max="3603" width="6" style="18" bestFit="1" customWidth="1"/>
    <col min="3604" max="3840" width="11" style="18"/>
    <col min="3841" max="3841" width="19.59765625" style="18" customWidth="1"/>
    <col min="3842" max="3842" width="8.5" style="18" customWidth="1"/>
    <col min="3843" max="3843" width="8.59765625" style="18" bestFit="1" customWidth="1"/>
    <col min="3844" max="3844" width="8.8984375" style="18" bestFit="1" customWidth="1"/>
    <col min="3845" max="3845" width="7.8984375" style="18" bestFit="1" customWidth="1"/>
    <col min="3846" max="3846" width="10.8984375" style="18" bestFit="1" customWidth="1"/>
    <col min="3847" max="3847" width="8.59765625" style="18" bestFit="1" customWidth="1"/>
    <col min="3848" max="3848" width="7.59765625" style="18" bestFit="1" customWidth="1"/>
    <col min="3849" max="3849" width="10.19921875" style="18" customWidth="1"/>
    <col min="3850" max="3850" width="10.59765625" style="18" bestFit="1" customWidth="1"/>
    <col min="3851" max="3851" width="9" style="18" bestFit="1" customWidth="1"/>
    <col min="3852" max="3852" width="8.59765625" style="18" bestFit="1" customWidth="1"/>
    <col min="3853" max="3853" width="10.19921875" style="18" bestFit="1" customWidth="1"/>
    <col min="3854" max="3854" width="9.09765625" style="18" bestFit="1" customWidth="1"/>
    <col min="3855" max="3855" width="6.19921875" style="18" bestFit="1" customWidth="1"/>
    <col min="3856" max="3856" width="9.8984375" style="18" bestFit="1" customWidth="1"/>
    <col min="3857" max="3857" width="11.8984375" style="18" bestFit="1" customWidth="1"/>
    <col min="3858" max="3858" width="9.69921875" style="18" bestFit="1" customWidth="1"/>
    <col min="3859" max="3859" width="6" style="18" bestFit="1" customWidth="1"/>
    <col min="3860" max="4096" width="11" style="18"/>
    <col min="4097" max="4097" width="19.59765625" style="18" customWidth="1"/>
    <col min="4098" max="4098" width="8.5" style="18" customWidth="1"/>
    <col min="4099" max="4099" width="8.59765625" style="18" bestFit="1" customWidth="1"/>
    <col min="4100" max="4100" width="8.8984375" style="18" bestFit="1" customWidth="1"/>
    <col min="4101" max="4101" width="7.8984375" style="18" bestFit="1" customWidth="1"/>
    <col min="4102" max="4102" width="10.8984375" style="18" bestFit="1" customWidth="1"/>
    <col min="4103" max="4103" width="8.59765625" style="18" bestFit="1" customWidth="1"/>
    <col min="4104" max="4104" width="7.59765625" style="18" bestFit="1" customWidth="1"/>
    <col min="4105" max="4105" width="10.19921875" style="18" customWidth="1"/>
    <col min="4106" max="4106" width="10.59765625" style="18" bestFit="1" customWidth="1"/>
    <col min="4107" max="4107" width="9" style="18" bestFit="1" customWidth="1"/>
    <col min="4108" max="4108" width="8.59765625" style="18" bestFit="1" customWidth="1"/>
    <col min="4109" max="4109" width="10.19921875" style="18" bestFit="1" customWidth="1"/>
    <col min="4110" max="4110" width="9.09765625" style="18" bestFit="1" customWidth="1"/>
    <col min="4111" max="4111" width="6.19921875" style="18" bestFit="1" customWidth="1"/>
    <col min="4112" max="4112" width="9.8984375" style="18" bestFit="1" customWidth="1"/>
    <col min="4113" max="4113" width="11.8984375" style="18" bestFit="1" customWidth="1"/>
    <col min="4114" max="4114" width="9.69921875" style="18" bestFit="1" customWidth="1"/>
    <col min="4115" max="4115" width="6" style="18" bestFit="1" customWidth="1"/>
    <col min="4116" max="4352" width="11" style="18"/>
    <col min="4353" max="4353" width="19.59765625" style="18" customWidth="1"/>
    <col min="4354" max="4354" width="8.5" style="18" customWidth="1"/>
    <col min="4355" max="4355" width="8.59765625" style="18" bestFit="1" customWidth="1"/>
    <col min="4356" max="4356" width="8.8984375" style="18" bestFit="1" customWidth="1"/>
    <col min="4357" max="4357" width="7.8984375" style="18" bestFit="1" customWidth="1"/>
    <col min="4358" max="4358" width="10.8984375" style="18" bestFit="1" customWidth="1"/>
    <col min="4359" max="4359" width="8.59765625" style="18" bestFit="1" customWidth="1"/>
    <col min="4360" max="4360" width="7.59765625" style="18" bestFit="1" customWidth="1"/>
    <col min="4361" max="4361" width="10.19921875" style="18" customWidth="1"/>
    <col min="4362" max="4362" width="10.59765625" style="18" bestFit="1" customWidth="1"/>
    <col min="4363" max="4363" width="9" style="18" bestFit="1" customWidth="1"/>
    <col min="4364" max="4364" width="8.59765625" style="18" bestFit="1" customWidth="1"/>
    <col min="4365" max="4365" width="10.19921875" style="18" bestFit="1" customWidth="1"/>
    <col min="4366" max="4366" width="9.09765625" style="18" bestFit="1" customWidth="1"/>
    <col min="4367" max="4367" width="6.19921875" style="18" bestFit="1" customWidth="1"/>
    <col min="4368" max="4368" width="9.8984375" style="18" bestFit="1" customWidth="1"/>
    <col min="4369" max="4369" width="11.8984375" style="18" bestFit="1" customWidth="1"/>
    <col min="4370" max="4370" width="9.69921875" style="18" bestFit="1" customWidth="1"/>
    <col min="4371" max="4371" width="6" style="18" bestFit="1" customWidth="1"/>
    <col min="4372" max="4608" width="11" style="18"/>
    <col min="4609" max="4609" width="19.59765625" style="18" customWidth="1"/>
    <col min="4610" max="4610" width="8.5" style="18" customWidth="1"/>
    <col min="4611" max="4611" width="8.59765625" style="18" bestFit="1" customWidth="1"/>
    <col min="4612" max="4612" width="8.8984375" style="18" bestFit="1" customWidth="1"/>
    <col min="4613" max="4613" width="7.8984375" style="18" bestFit="1" customWidth="1"/>
    <col min="4614" max="4614" width="10.8984375" style="18" bestFit="1" customWidth="1"/>
    <col min="4615" max="4615" width="8.59765625" style="18" bestFit="1" customWidth="1"/>
    <col min="4616" max="4616" width="7.59765625" style="18" bestFit="1" customWidth="1"/>
    <col min="4617" max="4617" width="10.19921875" style="18" customWidth="1"/>
    <col min="4618" max="4618" width="10.59765625" style="18" bestFit="1" customWidth="1"/>
    <col min="4619" max="4619" width="9" style="18" bestFit="1" customWidth="1"/>
    <col min="4620" max="4620" width="8.59765625" style="18" bestFit="1" customWidth="1"/>
    <col min="4621" max="4621" width="10.19921875" style="18" bestFit="1" customWidth="1"/>
    <col min="4622" max="4622" width="9.09765625" style="18" bestFit="1" customWidth="1"/>
    <col min="4623" max="4623" width="6.19921875" style="18" bestFit="1" customWidth="1"/>
    <col min="4624" max="4624" width="9.8984375" style="18" bestFit="1" customWidth="1"/>
    <col min="4625" max="4625" width="11.8984375" style="18" bestFit="1" customWidth="1"/>
    <col min="4626" max="4626" width="9.69921875" style="18" bestFit="1" customWidth="1"/>
    <col min="4627" max="4627" width="6" style="18" bestFit="1" customWidth="1"/>
    <col min="4628" max="4864" width="11" style="18"/>
    <col min="4865" max="4865" width="19.59765625" style="18" customWidth="1"/>
    <col min="4866" max="4866" width="8.5" style="18" customWidth="1"/>
    <col min="4867" max="4867" width="8.59765625" style="18" bestFit="1" customWidth="1"/>
    <col min="4868" max="4868" width="8.8984375" style="18" bestFit="1" customWidth="1"/>
    <col min="4869" max="4869" width="7.8984375" style="18" bestFit="1" customWidth="1"/>
    <col min="4870" max="4870" width="10.8984375" style="18" bestFit="1" customWidth="1"/>
    <col min="4871" max="4871" width="8.59765625" style="18" bestFit="1" customWidth="1"/>
    <col min="4872" max="4872" width="7.59765625" style="18" bestFit="1" customWidth="1"/>
    <col min="4873" max="4873" width="10.19921875" style="18" customWidth="1"/>
    <col min="4874" max="4874" width="10.59765625" style="18" bestFit="1" customWidth="1"/>
    <col min="4875" max="4875" width="9" style="18" bestFit="1" customWidth="1"/>
    <col min="4876" max="4876" width="8.59765625" style="18" bestFit="1" customWidth="1"/>
    <col min="4877" max="4877" width="10.19921875" style="18" bestFit="1" customWidth="1"/>
    <col min="4878" max="4878" width="9.09765625" style="18" bestFit="1" customWidth="1"/>
    <col min="4879" max="4879" width="6.19921875" style="18" bestFit="1" customWidth="1"/>
    <col min="4880" max="4880" width="9.8984375" style="18" bestFit="1" customWidth="1"/>
    <col min="4881" max="4881" width="11.8984375" style="18" bestFit="1" customWidth="1"/>
    <col min="4882" max="4882" width="9.69921875" style="18" bestFit="1" customWidth="1"/>
    <col min="4883" max="4883" width="6" style="18" bestFit="1" customWidth="1"/>
    <col min="4884" max="5120" width="11" style="18"/>
    <col min="5121" max="5121" width="19.59765625" style="18" customWidth="1"/>
    <col min="5122" max="5122" width="8.5" style="18" customWidth="1"/>
    <col min="5123" max="5123" width="8.59765625" style="18" bestFit="1" customWidth="1"/>
    <col min="5124" max="5124" width="8.8984375" style="18" bestFit="1" customWidth="1"/>
    <col min="5125" max="5125" width="7.8984375" style="18" bestFit="1" customWidth="1"/>
    <col min="5126" max="5126" width="10.8984375" style="18" bestFit="1" customWidth="1"/>
    <col min="5127" max="5127" width="8.59765625" style="18" bestFit="1" customWidth="1"/>
    <col min="5128" max="5128" width="7.59765625" style="18" bestFit="1" customWidth="1"/>
    <col min="5129" max="5129" width="10.19921875" style="18" customWidth="1"/>
    <col min="5130" max="5130" width="10.59765625" style="18" bestFit="1" customWidth="1"/>
    <col min="5131" max="5131" width="9" style="18" bestFit="1" customWidth="1"/>
    <col min="5132" max="5132" width="8.59765625" style="18" bestFit="1" customWidth="1"/>
    <col min="5133" max="5133" width="10.19921875" style="18" bestFit="1" customWidth="1"/>
    <col min="5134" max="5134" width="9.09765625" style="18" bestFit="1" customWidth="1"/>
    <col min="5135" max="5135" width="6.19921875" style="18" bestFit="1" customWidth="1"/>
    <col min="5136" max="5136" width="9.8984375" style="18" bestFit="1" customWidth="1"/>
    <col min="5137" max="5137" width="11.8984375" style="18" bestFit="1" customWidth="1"/>
    <col min="5138" max="5138" width="9.69921875" style="18" bestFit="1" customWidth="1"/>
    <col min="5139" max="5139" width="6" style="18" bestFit="1" customWidth="1"/>
    <col min="5140" max="5376" width="11" style="18"/>
    <col min="5377" max="5377" width="19.59765625" style="18" customWidth="1"/>
    <col min="5378" max="5378" width="8.5" style="18" customWidth="1"/>
    <col min="5379" max="5379" width="8.59765625" style="18" bestFit="1" customWidth="1"/>
    <col min="5380" max="5380" width="8.8984375" style="18" bestFit="1" customWidth="1"/>
    <col min="5381" max="5381" width="7.8984375" style="18" bestFit="1" customWidth="1"/>
    <col min="5382" max="5382" width="10.8984375" style="18" bestFit="1" customWidth="1"/>
    <col min="5383" max="5383" width="8.59765625" style="18" bestFit="1" customWidth="1"/>
    <col min="5384" max="5384" width="7.59765625" style="18" bestFit="1" customWidth="1"/>
    <col min="5385" max="5385" width="10.19921875" style="18" customWidth="1"/>
    <col min="5386" max="5386" width="10.59765625" style="18" bestFit="1" customWidth="1"/>
    <col min="5387" max="5387" width="9" style="18" bestFit="1" customWidth="1"/>
    <col min="5388" max="5388" width="8.59765625" style="18" bestFit="1" customWidth="1"/>
    <col min="5389" max="5389" width="10.19921875" style="18" bestFit="1" customWidth="1"/>
    <col min="5390" max="5390" width="9.09765625" style="18" bestFit="1" customWidth="1"/>
    <col min="5391" max="5391" width="6.19921875" style="18" bestFit="1" customWidth="1"/>
    <col min="5392" max="5392" width="9.8984375" style="18" bestFit="1" customWidth="1"/>
    <col min="5393" max="5393" width="11.8984375" style="18" bestFit="1" customWidth="1"/>
    <col min="5394" max="5394" width="9.69921875" style="18" bestFit="1" customWidth="1"/>
    <col min="5395" max="5395" width="6" style="18" bestFit="1" customWidth="1"/>
    <col min="5396" max="5632" width="11" style="18"/>
    <col min="5633" max="5633" width="19.59765625" style="18" customWidth="1"/>
    <col min="5634" max="5634" width="8.5" style="18" customWidth="1"/>
    <col min="5635" max="5635" width="8.59765625" style="18" bestFit="1" customWidth="1"/>
    <col min="5636" max="5636" width="8.8984375" style="18" bestFit="1" customWidth="1"/>
    <col min="5637" max="5637" width="7.8984375" style="18" bestFit="1" customWidth="1"/>
    <col min="5638" max="5638" width="10.8984375" style="18" bestFit="1" customWidth="1"/>
    <col min="5639" max="5639" width="8.59765625" style="18" bestFit="1" customWidth="1"/>
    <col min="5640" max="5640" width="7.59765625" style="18" bestFit="1" customWidth="1"/>
    <col min="5641" max="5641" width="10.19921875" style="18" customWidth="1"/>
    <col min="5642" max="5642" width="10.59765625" style="18" bestFit="1" customWidth="1"/>
    <col min="5643" max="5643" width="9" style="18" bestFit="1" customWidth="1"/>
    <col min="5644" max="5644" width="8.59765625" style="18" bestFit="1" customWidth="1"/>
    <col min="5645" max="5645" width="10.19921875" style="18" bestFit="1" customWidth="1"/>
    <col min="5646" max="5646" width="9.09765625" style="18" bestFit="1" customWidth="1"/>
    <col min="5647" max="5647" width="6.19921875" style="18" bestFit="1" customWidth="1"/>
    <col min="5648" max="5648" width="9.8984375" style="18" bestFit="1" customWidth="1"/>
    <col min="5649" max="5649" width="11.8984375" style="18" bestFit="1" customWidth="1"/>
    <col min="5650" max="5650" width="9.69921875" style="18" bestFit="1" customWidth="1"/>
    <col min="5651" max="5651" width="6" style="18" bestFit="1" customWidth="1"/>
    <col min="5652" max="5888" width="11" style="18"/>
    <col min="5889" max="5889" width="19.59765625" style="18" customWidth="1"/>
    <col min="5890" max="5890" width="8.5" style="18" customWidth="1"/>
    <col min="5891" max="5891" width="8.59765625" style="18" bestFit="1" customWidth="1"/>
    <col min="5892" max="5892" width="8.8984375" style="18" bestFit="1" customWidth="1"/>
    <col min="5893" max="5893" width="7.8984375" style="18" bestFit="1" customWidth="1"/>
    <col min="5894" max="5894" width="10.8984375" style="18" bestFit="1" customWidth="1"/>
    <col min="5895" max="5895" width="8.59765625" style="18" bestFit="1" customWidth="1"/>
    <col min="5896" max="5896" width="7.59765625" style="18" bestFit="1" customWidth="1"/>
    <col min="5897" max="5897" width="10.19921875" style="18" customWidth="1"/>
    <col min="5898" max="5898" width="10.59765625" style="18" bestFit="1" customWidth="1"/>
    <col min="5899" max="5899" width="9" style="18" bestFit="1" customWidth="1"/>
    <col min="5900" max="5900" width="8.59765625" style="18" bestFit="1" customWidth="1"/>
    <col min="5901" max="5901" width="10.19921875" style="18" bestFit="1" customWidth="1"/>
    <col min="5902" max="5902" width="9.09765625" style="18" bestFit="1" customWidth="1"/>
    <col min="5903" max="5903" width="6.19921875" style="18" bestFit="1" customWidth="1"/>
    <col min="5904" max="5904" width="9.8984375" style="18" bestFit="1" customWidth="1"/>
    <col min="5905" max="5905" width="11.8984375" style="18" bestFit="1" customWidth="1"/>
    <col min="5906" max="5906" width="9.69921875" style="18" bestFit="1" customWidth="1"/>
    <col min="5907" max="5907" width="6" style="18" bestFit="1" customWidth="1"/>
    <col min="5908" max="6144" width="11" style="18"/>
    <col min="6145" max="6145" width="19.59765625" style="18" customWidth="1"/>
    <col min="6146" max="6146" width="8.5" style="18" customWidth="1"/>
    <col min="6147" max="6147" width="8.59765625" style="18" bestFit="1" customWidth="1"/>
    <col min="6148" max="6148" width="8.8984375" style="18" bestFit="1" customWidth="1"/>
    <col min="6149" max="6149" width="7.8984375" style="18" bestFit="1" customWidth="1"/>
    <col min="6150" max="6150" width="10.8984375" style="18" bestFit="1" customWidth="1"/>
    <col min="6151" max="6151" width="8.59765625" style="18" bestFit="1" customWidth="1"/>
    <col min="6152" max="6152" width="7.59765625" style="18" bestFit="1" customWidth="1"/>
    <col min="6153" max="6153" width="10.19921875" style="18" customWidth="1"/>
    <col min="6154" max="6154" width="10.59765625" style="18" bestFit="1" customWidth="1"/>
    <col min="6155" max="6155" width="9" style="18" bestFit="1" customWidth="1"/>
    <col min="6156" max="6156" width="8.59765625" style="18" bestFit="1" customWidth="1"/>
    <col min="6157" max="6157" width="10.19921875" style="18" bestFit="1" customWidth="1"/>
    <col min="6158" max="6158" width="9.09765625" style="18" bestFit="1" customWidth="1"/>
    <col min="6159" max="6159" width="6.19921875" style="18" bestFit="1" customWidth="1"/>
    <col min="6160" max="6160" width="9.8984375" style="18" bestFit="1" customWidth="1"/>
    <col min="6161" max="6161" width="11.8984375" style="18" bestFit="1" customWidth="1"/>
    <col min="6162" max="6162" width="9.69921875" style="18" bestFit="1" customWidth="1"/>
    <col min="6163" max="6163" width="6" style="18" bestFit="1" customWidth="1"/>
    <col min="6164" max="6400" width="11" style="18"/>
    <col min="6401" max="6401" width="19.59765625" style="18" customWidth="1"/>
    <col min="6402" max="6402" width="8.5" style="18" customWidth="1"/>
    <col min="6403" max="6403" width="8.59765625" style="18" bestFit="1" customWidth="1"/>
    <col min="6404" max="6404" width="8.8984375" style="18" bestFit="1" customWidth="1"/>
    <col min="6405" max="6405" width="7.8984375" style="18" bestFit="1" customWidth="1"/>
    <col min="6406" max="6406" width="10.8984375" style="18" bestFit="1" customWidth="1"/>
    <col min="6407" max="6407" width="8.59765625" style="18" bestFit="1" customWidth="1"/>
    <col min="6408" max="6408" width="7.59765625" style="18" bestFit="1" customWidth="1"/>
    <col min="6409" max="6409" width="10.19921875" style="18" customWidth="1"/>
    <col min="6410" max="6410" width="10.59765625" style="18" bestFit="1" customWidth="1"/>
    <col min="6411" max="6411" width="9" style="18" bestFit="1" customWidth="1"/>
    <col min="6412" max="6412" width="8.59765625" style="18" bestFit="1" customWidth="1"/>
    <col min="6413" max="6413" width="10.19921875" style="18" bestFit="1" customWidth="1"/>
    <col min="6414" max="6414" width="9.09765625" style="18" bestFit="1" customWidth="1"/>
    <col min="6415" max="6415" width="6.19921875" style="18" bestFit="1" customWidth="1"/>
    <col min="6416" max="6416" width="9.8984375" style="18" bestFit="1" customWidth="1"/>
    <col min="6417" max="6417" width="11.8984375" style="18" bestFit="1" customWidth="1"/>
    <col min="6418" max="6418" width="9.69921875" style="18" bestFit="1" customWidth="1"/>
    <col min="6419" max="6419" width="6" style="18" bestFit="1" customWidth="1"/>
    <col min="6420" max="6656" width="11" style="18"/>
    <col min="6657" max="6657" width="19.59765625" style="18" customWidth="1"/>
    <col min="6658" max="6658" width="8.5" style="18" customWidth="1"/>
    <col min="6659" max="6659" width="8.59765625" style="18" bestFit="1" customWidth="1"/>
    <col min="6660" max="6660" width="8.8984375" style="18" bestFit="1" customWidth="1"/>
    <col min="6661" max="6661" width="7.8984375" style="18" bestFit="1" customWidth="1"/>
    <col min="6662" max="6662" width="10.8984375" style="18" bestFit="1" customWidth="1"/>
    <col min="6663" max="6663" width="8.59765625" style="18" bestFit="1" customWidth="1"/>
    <col min="6664" max="6664" width="7.59765625" style="18" bestFit="1" customWidth="1"/>
    <col min="6665" max="6665" width="10.19921875" style="18" customWidth="1"/>
    <col min="6666" max="6666" width="10.59765625" style="18" bestFit="1" customWidth="1"/>
    <col min="6667" max="6667" width="9" style="18" bestFit="1" customWidth="1"/>
    <col min="6668" max="6668" width="8.59765625" style="18" bestFit="1" customWidth="1"/>
    <col min="6669" max="6669" width="10.19921875" style="18" bestFit="1" customWidth="1"/>
    <col min="6670" max="6670" width="9.09765625" style="18" bestFit="1" customWidth="1"/>
    <col min="6671" max="6671" width="6.19921875" style="18" bestFit="1" customWidth="1"/>
    <col min="6672" max="6672" width="9.8984375" style="18" bestFit="1" customWidth="1"/>
    <col min="6673" max="6673" width="11.8984375" style="18" bestFit="1" customWidth="1"/>
    <col min="6674" max="6674" width="9.69921875" style="18" bestFit="1" customWidth="1"/>
    <col min="6675" max="6675" width="6" style="18" bestFit="1" customWidth="1"/>
    <col min="6676" max="6912" width="11" style="18"/>
    <col min="6913" max="6913" width="19.59765625" style="18" customWidth="1"/>
    <col min="6914" max="6914" width="8.5" style="18" customWidth="1"/>
    <col min="6915" max="6915" width="8.59765625" style="18" bestFit="1" customWidth="1"/>
    <col min="6916" max="6916" width="8.8984375" style="18" bestFit="1" customWidth="1"/>
    <col min="6917" max="6917" width="7.8984375" style="18" bestFit="1" customWidth="1"/>
    <col min="6918" max="6918" width="10.8984375" style="18" bestFit="1" customWidth="1"/>
    <col min="6919" max="6919" width="8.59765625" style="18" bestFit="1" customWidth="1"/>
    <col min="6920" max="6920" width="7.59765625" style="18" bestFit="1" customWidth="1"/>
    <col min="6921" max="6921" width="10.19921875" style="18" customWidth="1"/>
    <col min="6922" max="6922" width="10.59765625" style="18" bestFit="1" customWidth="1"/>
    <col min="6923" max="6923" width="9" style="18" bestFit="1" customWidth="1"/>
    <col min="6924" max="6924" width="8.59765625" style="18" bestFit="1" customWidth="1"/>
    <col min="6925" max="6925" width="10.19921875" style="18" bestFit="1" customWidth="1"/>
    <col min="6926" max="6926" width="9.09765625" style="18" bestFit="1" customWidth="1"/>
    <col min="6927" max="6927" width="6.19921875" style="18" bestFit="1" customWidth="1"/>
    <col min="6928" max="6928" width="9.8984375" style="18" bestFit="1" customWidth="1"/>
    <col min="6929" max="6929" width="11.8984375" style="18" bestFit="1" customWidth="1"/>
    <col min="6930" max="6930" width="9.69921875" style="18" bestFit="1" customWidth="1"/>
    <col min="6931" max="6931" width="6" style="18" bestFit="1" customWidth="1"/>
    <col min="6932" max="7168" width="11" style="18"/>
    <col min="7169" max="7169" width="19.59765625" style="18" customWidth="1"/>
    <col min="7170" max="7170" width="8.5" style="18" customWidth="1"/>
    <col min="7171" max="7171" width="8.59765625" style="18" bestFit="1" customWidth="1"/>
    <col min="7172" max="7172" width="8.8984375" style="18" bestFit="1" customWidth="1"/>
    <col min="7173" max="7173" width="7.8984375" style="18" bestFit="1" customWidth="1"/>
    <col min="7174" max="7174" width="10.8984375" style="18" bestFit="1" customWidth="1"/>
    <col min="7175" max="7175" width="8.59765625" style="18" bestFit="1" customWidth="1"/>
    <col min="7176" max="7176" width="7.59765625" style="18" bestFit="1" customWidth="1"/>
    <col min="7177" max="7177" width="10.19921875" style="18" customWidth="1"/>
    <col min="7178" max="7178" width="10.59765625" style="18" bestFit="1" customWidth="1"/>
    <col min="7179" max="7179" width="9" style="18" bestFit="1" customWidth="1"/>
    <col min="7180" max="7180" width="8.59765625" style="18" bestFit="1" customWidth="1"/>
    <col min="7181" max="7181" width="10.19921875" style="18" bestFit="1" customWidth="1"/>
    <col min="7182" max="7182" width="9.09765625" style="18" bestFit="1" customWidth="1"/>
    <col min="7183" max="7183" width="6.19921875" style="18" bestFit="1" customWidth="1"/>
    <col min="7184" max="7184" width="9.8984375" style="18" bestFit="1" customWidth="1"/>
    <col min="7185" max="7185" width="11.8984375" style="18" bestFit="1" customWidth="1"/>
    <col min="7186" max="7186" width="9.69921875" style="18" bestFit="1" customWidth="1"/>
    <col min="7187" max="7187" width="6" style="18" bestFit="1" customWidth="1"/>
    <col min="7188" max="7424" width="11" style="18"/>
    <col min="7425" max="7425" width="19.59765625" style="18" customWidth="1"/>
    <col min="7426" max="7426" width="8.5" style="18" customWidth="1"/>
    <col min="7427" max="7427" width="8.59765625" style="18" bestFit="1" customWidth="1"/>
    <col min="7428" max="7428" width="8.8984375" style="18" bestFit="1" customWidth="1"/>
    <col min="7429" max="7429" width="7.8984375" style="18" bestFit="1" customWidth="1"/>
    <col min="7430" max="7430" width="10.8984375" style="18" bestFit="1" customWidth="1"/>
    <col min="7431" max="7431" width="8.59765625" style="18" bestFit="1" customWidth="1"/>
    <col min="7432" max="7432" width="7.59765625" style="18" bestFit="1" customWidth="1"/>
    <col min="7433" max="7433" width="10.19921875" style="18" customWidth="1"/>
    <col min="7434" max="7434" width="10.59765625" style="18" bestFit="1" customWidth="1"/>
    <col min="7435" max="7435" width="9" style="18" bestFit="1" customWidth="1"/>
    <col min="7436" max="7436" width="8.59765625" style="18" bestFit="1" customWidth="1"/>
    <col min="7437" max="7437" width="10.19921875" style="18" bestFit="1" customWidth="1"/>
    <col min="7438" max="7438" width="9.09765625" style="18" bestFit="1" customWidth="1"/>
    <col min="7439" max="7439" width="6.19921875" style="18" bestFit="1" customWidth="1"/>
    <col min="7440" max="7440" width="9.8984375" style="18" bestFit="1" customWidth="1"/>
    <col min="7441" max="7441" width="11.8984375" style="18" bestFit="1" customWidth="1"/>
    <col min="7442" max="7442" width="9.69921875" style="18" bestFit="1" customWidth="1"/>
    <col min="7443" max="7443" width="6" style="18" bestFit="1" customWidth="1"/>
    <col min="7444" max="7680" width="11" style="18"/>
    <col min="7681" max="7681" width="19.59765625" style="18" customWidth="1"/>
    <col min="7682" max="7682" width="8.5" style="18" customWidth="1"/>
    <col min="7683" max="7683" width="8.59765625" style="18" bestFit="1" customWidth="1"/>
    <col min="7684" max="7684" width="8.8984375" style="18" bestFit="1" customWidth="1"/>
    <col min="7685" max="7685" width="7.8984375" style="18" bestFit="1" customWidth="1"/>
    <col min="7686" max="7686" width="10.8984375" style="18" bestFit="1" customWidth="1"/>
    <col min="7687" max="7687" width="8.59765625" style="18" bestFit="1" customWidth="1"/>
    <col min="7688" max="7688" width="7.59765625" style="18" bestFit="1" customWidth="1"/>
    <col min="7689" max="7689" width="10.19921875" style="18" customWidth="1"/>
    <col min="7690" max="7690" width="10.59765625" style="18" bestFit="1" customWidth="1"/>
    <col min="7691" max="7691" width="9" style="18" bestFit="1" customWidth="1"/>
    <col min="7692" max="7692" width="8.59765625" style="18" bestFit="1" customWidth="1"/>
    <col min="7693" max="7693" width="10.19921875" style="18" bestFit="1" customWidth="1"/>
    <col min="7694" max="7694" width="9.09765625" style="18" bestFit="1" customWidth="1"/>
    <col min="7695" max="7695" width="6.19921875" style="18" bestFit="1" customWidth="1"/>
    <col min="7696" max="7696" width="9.8984375" style="18" bestFit="1" customWidth="1"/>
    <col min="7697" max="7697" width="11.8984375" style="18" bestFit="1" customWidth="1"/>
    <col min="7698" max="7698" width="9.69921875" style="18" bestFit="1" customWidth="1"/>
    <col min="7699" max="7699" width="6" style="18" bestFit="1" customWidth="1"/>
    <col min="7700" max="7936" width="11" style="18"/>
    <col min="7937" max="7937" width="19.59765625" style="18" customWidth="1"/>
    <col min="7938" max="7938" width="8.5" style="18" customWidth="1"/>
    <col min="7939" max="7939" width="8.59765625" style="18" bestFit="1" customWidth="1"/>
    <col min="7940" max="7940" width="8.8984375" style="18" bestFit="1" customWidth="1"/>
    <col min="7941" max="7941" width="7.8984375" style="18" bestFit="1" customWidth="1"/>
    <col min="7942" max="7942" width="10.8984375" style="18" bestFit="1" customWidth="1"/>
    <col min="7943" max="7943" width="8.59765625" style="18" bestFit="1" customWidth="1"/>
    <col min="7944" max="7944" width="7.59765625" style="18" bestFit="1" customWidth="1"/>
    <col min="7945" max="7945" width="10.19921875" style="18" customWidth="1"/>
    <col min="7946" max="7946" width="10.59765625" style="18" bestFit="1" customWidth="1"/>
    <col min="7947" max="7947" width="9" style="18" bestFit="1" customWidth="1"/>
    <col min="7948" max="7948" width="8.59765625" style="18" bestFit="1" customWidth="1"/>
    <col min="7949" max="7949" width="10.19921875" style="18" bestFit="1" customWidth="1"/>
    <col min="7950" max="7950" width="9.09765625" style="18" bestFit="1" customWidth="1"/>
    <col min="7951" max="7951" width="6.19921875" style="18" bestFit="1" customWidth="1"/>
    <col min="7952" max="7952" width="9.8984375" style="18" bestFit="1" customWidth="1"/>
    <col min="7953" max="7953" width="11.8984375" style="18" bestFit="1" customWidth="1"/>
    <col min="7954" max="7954" width="9.69921875" style="18" bestFit="1" customWidth="1"/>
    <col min="7955" max="7955" width="6" style="18" bestFit="1" customWidth="1"/>
    <col min="7956" max="8192" width="11" style="18"/>
    <col min="8193" max="8193" width="19.59765625" style="18" customWidth="1"/>
    <col min="8194" max="8194" width="8.5" style="18" customWidth="1"/>
    <col min="8195" max="8195" width="8.59765625" style="18" bestFit="1" customWidth="1"/>
    <col min="8196" max="8196" width="8.8984375" style="18" bestFit="1" customWidth="1"/>
    <col min="8197" max="8197" width="7.8984375" style="18" bestFit="1" customWidth="1"/>
    <col min="8198" max="8198" width="10.8984375" style="18" bestFit="1" customWidth="1"/>
    <col min="8199" max="8199" width="8.59765625" style="18" bestFit="1" customWidth="1"/>
    <col min="8200" max="8200" width="7.59765625" style="18" bestFit="1" customWidth="1"/>
    <col min="8201" max="8201" width="10.19921875" style="18" customWidth="1"/>
    <col min="8202" max="8202" width="10.59765625" style="18" bestFit="1" customWidth="1"/>
    <col min="8203" max="8203" width="9" style="18" bestFit="1" customWidth="1"/>
    <col min="8204" max="8204" width="8.59765625" style="18" bestFit="1" customWidth="1"/>
    <col min="8205" max="8205" width="10.19921875" style="18" bestFit="1" customWidth="1"/>
    <col min="8206" max="8206" width="9.09765625" style="18" bestFit="1" customWidth="1"/>
    <col min="8207" max="8207" width="6.19921875" style="18" bestFit="1" customWidth="1"/>
    <col min="8208" max="8208" width="9.8984375" style="18" bestFit="1" customWidth="1"/>
    <col min="8209" max="8209" width="11.8984375" style="18" bestFit="1" customWidth="1"/>
    <col min="8210" max="8210" width="9.69921875" style="18" bestFit="1" customWidth="1"/>
    <col min="8211" max="8211" width="6" style="18" bestFit="1" customWidth="1"/>
    <col min="8212" max="8448" width="11" style="18"/>
    <col min="8449" max="8449" width="19.59765625" style="18" customWidth="1"/>
    <col min="8450" max="8450" width="8.5" style="18" customWidth="1"/>
    <col min="8451" max="8451" width="8.59765625" style="18" bestFit="1" customWidth="1"/>
    <col min="8452" max="8452" width="8.8984375" style="18" bestFit="1" customWidth="1"/>
    <col min="8453" max="8453" width="7.8984375" style="18" bestFit="1" customWidth="1"/>
    <col min="8454" max="8454" width="10.8984375" style="18" bestFit="1" customWidth="1"/>
    <col min="8455" max="8455" width="8.59765625" style="18" bestFit="1" customWidth="1"/>
    <col min="8456" max="8456" width="7.59765625" style="18" bestFit="1" customWidth="1"/>
    <col min="8457" max="8457" width="10.19921875" style="18" customWidth="1"/>
    <col min="8458" max="8458" width="10.59765625" style="18" bestFit="1" customWidth="1"/>
    <col min="8459" max="8459" width="9" style="18" bestFit="1" customWidth="1"/>
    <col min="8460" max="8460" width="8.59765625" style="18" bestFit="1" customWidth="1"/>
    <col min="8461" max="8461" width="10.19921875" style="18" bestFit="1" customWidth="1"/>
    <col min="8462" max="8462" width="9.09765625" style="18" bestFit="1" customWidth="1"/>
    <col min="8463" max="8463" width="6.19921875" style="18" bestFit="1" customWidth="1"/>
    <col min="8464" max="8464" width="9.8984375" style="18" bestFit="1" customWidth="1"/>
    <col min="8465" max="8465" width="11.8984375" style="18" bestFit="1" customWidth="1"/>
    <col min="8466" max="8466" width="9.69921875" style="18" bestFit="1" customWidth="1"/>
    <col min="8467" max="8467" width="6" style="18" bestFit="1" customWidth="1"/>
    <col min="8468" max="8704" width="11" style="18"/>
    <col min="8705" max="8705" width="19.59765625" style="18" customWidth="1"/>
    <col min="8706" max="8706" width="8.5" style="18" customWidth="1"/>
    <col min="8707" max="8707" width="8.59765625" style="18" bestFit="1" customWidth="1"/>
    <col min="8708" max="8708" width="8.8984375" style="18" bestFit="1" customWidth="1"/>
    <col min="8709" max="8709" width="7.8984375" style="18" bestFit="1" customWidth="1"/>
    <col min="8710" max="8710" width="10.8984375" style="18" bestFit="1" customWidth="1"/>
    <col min="8711" max="8711" width="8.59765625" style="18" bestFit="1" customWidth="1"/>
    <col min="8712" max="8712" width="7.59765625" style="18" bestFit="1" customWidth="1"/>
    <col min="8713" max="8713" width="10.19921875" style="18" customWidth="1"/>
    <col min="8714" max="8714" width="10.59765625" style="18" bestFit="1" customWidth="1"/>
    <col min="8715" max="8715" width="9" style="18" bestFit="1" customWidth="1"/>
    <col min="8716" max="8716" width="8.59765625" style="18" bestFit="1" customWidth="1"/>
    <col min="8717" max="8717" width="10.19921875" style="18" bestFit="1" customWidth="1"/>
    <col min="8718" max="8718" width="9.09765625" style="18" bestFit="1" customWidth="1"/>
    <col min="8719" max="8719" width="6.19921875" style="18" bestFit="1" customWidth="1"/>
    <col min="8720" max="8720" width="9.8984375" style="18" bestFit="1" customWidth="1"/>
    <col min="8721" max="8721" width="11.8984375" style="18" bestFit="1" customWidth="1"/>
    <col min="8722" max="8722" width="9.69921875" style="18" bestFit="1" customWidth="1"/>
    <col min="8723" max="8723" width="6" style="18" bestFit="1" customWidth="1"/>
    <col min="8724" max="8960" width="11" style="18"/>
    <col min="8961" max="8961" width="19.59765625" style="18" customWidth="1"/>
    <col min="8962" max="8962" width="8.5" style="18" customWidth="1"/>
    <col min="8963" max="8963" width="8.59765625" style="18" bestFit="1" customWidth="1"/>
    <col min="8964" max="8964" width="8.8984375" style="18" bestFit="1" customWidth="1"/>
    <col min="8965" max="8965" width="7.8984375" style="18" bestFit="1" customWidth="1"/>
    <col min="8966" max="8966" width="10.8984375" style="18" bestFit="1" customWidth="1"/>
    <col min="8967" max="8967" width="8.59765625" style="18" bestFit="1" customWidth="1"/>
    <col min="8968" max="8968" width="7.59765625" style="18" bestFit="1" customWidth="1"/>
    <col min="8969" max="8969" width="10.19921875" style="18" customWidth="1"/>
    <col min="8970" max="8970" width="10.59765625" style="18" bestFit="1" customWidth="1"/>
    <col min="8971" max="8971" width="9" style="18" bestFit="1" customWidth="1"/>
    <col min="8972" max="8972" width="8.59765625" style="18" bestFit="1" customWidth="1"/>
    <col min="8973" max="8973" width="10.19921875" style="18" bestFit="1" customWidth="1"/>
    <col min="8974" max="8974" width="9.09765625" style="18" bestFit="1" customWidth="1"/>
    <col min="8975" max="8975" width="6.19921875" style="18" bestFit="1" customWidth="1"/>
    <col min="8976" max="8976" width="9.8984375" style="18" bestFit="1" customWidth="1"/>
    <col min="8977" max="8977" width="11.8984375" style="18" bestFit="1" customWidth="1"/>
    <col min="8978" max="8978" width="9.69921875" style="18" bestFit="1" customWidth="1"/>
    <col min="8979" max="8979" width="6" style="18" bestFit="1" customWidth="1"/>
    <col min="8980" max="9216" width="11" style="18"/>
    <col min="9217" max="9217" width="19.59765625" style="18" customWidth="1"/>
    <col min="9218" max="9218" width="8.5" style="18" customWidth="1"/>
    <col min="9219" max="9219" width="8.59765625" style="18" bestFit="1" customWidth="1"/>
    <col min="9220" max="9220" width="8.8984375" style="18" bestFit="1" customWidth="1"/>
    <col min="9221" max="9221" width="7.8984375" style="18" bestFit="1" customWidth="1"/>
    <col min="9222" max="9222" width="10.8984375" style="18" bestFit="1" customWidth="1"/>
    <col min="9223" max="9223" width="8.59765625" style="18" bestFit="1" customWidth="1"/>
    <col min="9224" max="9224" width="7.59765625" style="18" bestFit="1" customWidth="1"/>
    <col min="9225" max="9225" width="10.19921875" style="18" customWidth="1"/>
    <col min="9226" max="9226" width="10.59765625" style="18" bestFit="1" customWidth="1"/>
    <col min="9227" max="9227" width="9" style="18" bestFit="1" customWidth="1"/>
    <col min="9228" max="9228" width="8.59765625" style="18" bestFit="1" customWidth="1"/>
    <col min="9229" max="9229" width="10.19921875" style="18" bestFit="1" customWidth="1"/>
    <col min="9230" max="9230" width="9.09765625" style="18" bestFit="1" customWidth="1"/>
    <col min="9231" max="9231" width="6.19921875" style="18" bestFit="1" customWidth="1"/>
    <col min="9232" max="9232" width="9.8984375" style="18" bestFit="1" customWidth="1"/>
    <col min="9233" max="9233" width="11.8984375" style="18" bestFit="1" customWidth="1"/>
    <col min="9234" max="9234" width="9.69921875" style="18" bestFit="1" customWidth="1"/>
    <col min="9235" max="9235" width="6" style="18" bestFit="1" customWidth="1"/>
    <col min="9236" max="9472" width="11" style="18"/>
    <col min="9473" max="9473" width="19.59765625" style="18" customWidth="1"/>
    <col min="9474" max="9474" width="8.5" style="18" customWidth="1"/>
    <col min="9475" max="9475" width="8.59765625" style="18" bestFit="1" customWidth="1"/>
    <col min="9476" max="9476" width="8.8984375" style="18" bestFit="1" customWidth="1"/>
    <col min="9477" max="9477" width="7.8984375" style="18" bestFit="1" customWidth="1"/>
    <col min="9478" max="9478" width="10.8984375" style="18" bestFit="1" customWidth="1"/>
    <col min="9479" max="9479" width="8.59765625" style="18" bestFit="1" customWidth="1"/>
    <col min="9480" max="9480" width="7.59765625" style="18" bestFit="1" customWidth="1"/>
    <col min="9481" max="9481" width="10.19921875" style="18" customWidth="1"/>
    <col min="9482" max="9482" width="10.59765625" style="18" bestFit="1" customWidth="1"/>
    <col min="9483" max="9483" width="9" style="18" bestFit="1" customWidth="1"/>
    <col min="9484" max="9484" width="8.59765625" style="18" bestFit="1" customWidth="1"/>
    <col min="9485" max="9485" width="10.19921875" style="18" bestFit="1" customWidth="1"/>
    <col min="9486" max="9486" width="9.09765625" style="18" bestFit="1" customWidth="1"/>
    <col min="9487" max="9487" width="6.19921875" style="18" bestFit="1" customWidth="1"/>
    <col min="9488" max="9488" width="9.8984375" style="18" bestFit="1" customWidth="1"/>
    <col min="9489" max="9489" width="11.8984375" style="18" bestFit="1" customWidth="1"/>
    <col min="9490" max="9490" width="9.69921875" style="18" bestFit="1" customWidth="1"/>
    <col min="9491" max="9491" width="6" style="18" bestFit="1" customWidth="1"/>
    <col min="9492" max="9728" width="11" style="18"/>
    <col min="9729" max="9729" width="19.59765625" style="18" customWidth="1"/>
    <col min="9730" max="9730" width="8.5" style="18" customWidth="1"/>
    <col min="9731" max="9731" width="8.59765625" style="18" bestFit="1" customWidth="1"/>
    <col min="9732" max="9732" width="8.8984375" style="18" bestFit="1" customWidth="1"/>
    <col min="9733" max="9733" width="7.8984375" style="18" bestFit="1" customWidth="1"/>
    <col min="9734" max="9734" width="10.8984375" style="18" bestFit="1" customWidth="1"/>
    <col min="9735" max="9735" width="8.59765625" style="18" bestFit="1" customWidth="1"/>
    <col min="9736" max="9736" width="7.59765625" style="18" bestFit="1" customWidth="1"/>
    <col min="9737" max="9737" width="10.19921875" style="18" customWidth="1"/>
    <col min="9738" max="9738" width="10.59765625" style="18" bestFit="1" customWidth="1"/>
    <col min="9739" max="9739" width="9" style="18" bestFit="1" customWidth="1"/>
    <col min="9740" max="9740" width="8.59765625" style="18" bestFit="1" customWidth="1"/>
    <col min="9741" max="9741" width="10.19921875" style="18" bestFit="1" customWidth="1"/>
    <col min="9742" max="9742" width="9.09765625" style="18" bestFit="1" customWidth="1"/>
    <col min="9743" max="9743" width="6.19921875" style="18" bestFit="1" customWidth="1"/>
    <col min="9744" max="9744" width="9.8984375" style="18" bestFit="1" customWidth="1"/>
    <col min="9745" max="9745" width="11.8984375" style="18" bestFit="1" customWidth="1"/>
    <col min="9746" max="9746" width="9.69921875" style="18" bestFit="1" customWidth="1"/>
    <col min="9747" max="9747" width="6" style="18" bestFit="1" customWidth="1"/>
    <col min="9748" max="9984" width="11" style="18"/>
    <col min="9985" max="9985" width="19.59765625" style="18" customWidth="1"/>
    <col min="9986" max="9986" width="8.5" style="18" customWidth="1"/>
    <col min="9987" max="9987" width="8.59765625" style="18" bestFit="1" customWidth="1"/>
    <col min="9988" max="9988" width="8.8984375" style="18" bestFit="1" customWidth="1"/>
    <col min="9989" max="9989" width="7.8984375" style="18" bestFit="1" customWidth="1"/>
    <col min="9990" max="9990" width="10.8984375" style="18" bestFit="1" customWidth="1"/>
    <col min="9991" max="9991" width="8.59765625" style="18" bestFit="1" customWidth="1"/>
    <col min="9992" max="9992" width="7.59765625" style="18" bestFit="1" customWidth="1"/>
    <col min="9993" max="9993" width="10.19921875" style="18" customWidth="1"/>
    <col min="9994" max="9994" width="10.59765625" style="18" bestFit="1" customWidth="1"/>
    <col min="9995" max="9995" width="9" style="18" bestFit="1" customWidth="1"/>
    <col min="9996" max="9996" width="8.59765625" style="18" bestFit="1" customWidth="1"/>
    <col min="9997" max="9997" width="10.19921875" style="18" bestFit="1" customWidth="1"/>
    <col min="9998" max="9998" width="9.09765625" style="18" bestFit="1" customWidth="1"/>
    <col min="9999" max="9999" width="6.19921875" style="18" bestFit="1" customWidth="1"/>
    <col min="10000" max="10000" width="9.8984375" style="18" bestFit="1" customWidth="1"/>
    <col min="10001" max="10001" width="11.8984375" style="18" bestFit="1" customWidth="1"/>
    <col min="10002" max="10002" width="9.69921875" style="18" bestFit="1" customWidth="1"/>
    <col min="10003" max="10003" width="6" style="18" bestFit="1" customWidth="1"/>
    <col min="10004" max="10240" width="11" style="18"/>
    <col min="10241" max="10241" width="19.59765625" style="18" customWidth="1"/>
    <col min="10242" max="10242" width="8.5" style="18" customWidth="1"/>
    <col min="10243" max="10243" width="8.59765625" style="18" bestFit="1" customWidth="1"/>
    <col min="10244" max="10244" width="8.8984375" style="18" bestFit="1" customWidth="1"/>
    <col min="10245" max="10245" width="7.8984375" style="18" bestFit="1" customWidth="1"/>
    <col min="10246" max="10246" width="10.8984375" style="18" bestFit="1" customWidth="1"/>
    <col min="10247" max="10247" width="8.59765625" style="18" bestFit="1" customWidth="1"/>
    <col min="10248" max="10248" width="7.59765625" style="18" bestFit="1" customWidth="1"/>
    <col min="10249" max="10249" width="10.19921875" style="18" customWidth="1"/>
    <col min="10250" max="10250" width="10.59765625" style="18" bestFit="1" customWidth="1"/>
    <col min="10251" max="10251" width="9" style="18" bestFit="1" customWidth="1"/>
    <col min="10252" max="10252" width="8.59765625" style="18" bestFit="1" customWidth="1"/>
    <col min="10253" max="10253" width="10.19921875" style="18" bestFit="1" customWidth="1"/>
    <col min="10254" max="10254" width="9.09765625" style="18" bestFit="1" customWidth="1"/>
    <col min="10255" max="10255" width="6.19921875" style="18" bestFit="1" customWidth="1"/>
    <col min="10256" max="10256" width="9.8984375" style="18" bestFit="1" customWidth="1"/>
    <col min="10257" max="10257" width="11.8984375" style="18" bestFit="1" customWidth="1"/>
    <col min="10258" max="10258" width="9.69921875" style="18" bestFit="1" customWidth="1"/>
    <col min="10259" max="10259" width="6" style="18" bestFit="1" customWidth="1"/>
    <col min="10260" max="10496" width="11" style="18"/>
    <col min="10497" max="10497" width="19.59765625" style="18" customWidth="1"/>
    <col min="10498" max="10498" width="8.5" style="18" customWidth="1"/>
    <col min="10499" max="10499" width="8.59765625" style="18" bestFit="1" customWidth="1"/>
    <col min="10500" max="10500" width="8.8984375" style="18" bestFit="1" customWidth="1"/>
    <col min="10501" max="10501" width="7.8984375" style="18" bestFit="1" customWidth="1"/>
    <col min="10502" max="10502" width="10.8984375" style="18" bestFit="1" customWidth="1"/>
    <col min="10503" max="10503" width="8.59765625" style="18" bestFit="1" customWidth="1"/>
    <col min="10504" max="10504" width="7.59765625" style="18" bestFit="1" customWidth="1"/>
    <col min="10505" max="10505" width="10.19921875" style="18" customWidth="1"/>
    <col min="10506" max="10506" width="10.59765625" style="18" bestFit="1" customWidth="1"/>
    <col min="10507" max="10507" width="9" style="18" bestFit="1" customWidth="1"/>
    <col min="10508" max="10508" width="8.59765625" style="18" bestFit="1" customWidth="1"/>
    <col min="10509" max="10509" width="10.19921875" style="18" bestFit="1" customWidth="1"/>
    <col min="10510" max="10510" width="9.09765625" style="18" bestFit="1" customWidth="1"/>
    <col min="10511" max="10511" width="6.19921875" style="18" bestFit="1" customWidth="1"/>
    <col min="10512" max="10512" width="9.8984375" style="18" bestFit="1" customWidth="1"/>
    <col min="10513" max="10513" width="11.8984375" style="18" bestFit="1" customWidth="1"/>
    <col min="10514" max="10514" width="9.69921875" style="18" bestFit="1" customWidth="1"/>
    <col min="10515" max="10515" width="6" style="18" bestFit="1" customWidth="1"/>
    <col min="10516" max="10752" width="11" style="18"/>
    <col min="10753" max="10753" width="19.59765625" style="18" customWidth="1"/>
    <col min="10754" max="10754" width="8.5" style="18" customWidth="1"/>
    <col min="10755" max="10755" width="8.59765625" style="18" bestFit="1" customWidth="1"/>
    <col min="10756" max="10756" width="8.8984375" style="18" bestFit="1" customWidth="1"/>
    <col min="10757" max="10757" width="7.8984375" style="18" bestFit="1" customWidth="1"/>
    <col min="10758" max="10758" width="10.8984375" style="18" bestFit="1" customWidth="1"/>
    <col min="10759" max="10759" width="8.59765625" style="18" bestFit="1" customWidth="1"/>
    <col min="10760" max="10760" width="7.59765625" style="18" bestFit="1" customWidth="1"/>
    <col min="10761" max="10761" width="10.19921875" style="18" customWidth="1"/>
    <col min="10762" max="10762" width="10.59765625" style="18" bestFit="1" customWidth="1"/>
    <col min="10763" max="10763" width="9" style="18" bestFit="1" customWidth="1"/>
    <col min="10764" max="10764" width="8.59765625" style="18" bestFit="1" customWidth="1"/>
    <col min="10765" max="10765" width="10.19921875" style="18" bestFit="1" customWidth="1"/>
    <col min="10766" max="10766" width="9.09765625" style="18" bestFit="1" customWidth="1"/>
    <col min="10767" max="10767" width="6.19921875" style="18" bestFit="1" customWidth="1"/>
    <col min="10768" max="10768" width="9.8984375" style="18" bestFit="1" customWidth="1"/>
    <col min="10769" max="10769" width="11.8984375" style="18" bestFit="1" customWidth="1"/>
    <col min="10770" max="10770" width="9.69921875" style="18" bestFit="1" customWidth="1"/>
    <col min="10771" max="10771" width="6" style="18" bestFit="1" customWidth="1"/>
    <col min="10772" max="11008" width="11" style="18"/>
    <col min="11009" max="11009" width="19.59765625" style="18" customWidth="1"/>
    <col min="11010" max="11010" width="8.5" style="18" customWidth="1"/>
    <col min="11011" max="11011" width="8.59765625" style="18" bestFit="1" customWidth="1"/>
    <col min="11012" max="11012" width="8.8984375" style="18" bestFit="1" customWidth="1"/>
    <col min="11013" max="11013" width="7.8984375" style="18" bestFit="1" customWidth="1"/>
    <col min="11014" max="11014" width="10.8984375" style="18" bestFit="1" customWidth="1"/>
    <col min="11015" max="11015" width="8.59765625" style="18" bestFit="1" customWidth="1"/>
    <col min="11016" max="11016" width="7.59765625" style="18" bestFit="1" customWidth="1"/>
    <col min="11017" max="11017" width="10.19921875" style="18" customWidth="1"/>
    <col min="11018" max="11018" width="10.59765625" style="18" bestFit="1" customWidth="1"/>
    <col min="11019" max="11019" width="9" style="18" bestFit="1" customWidth="1"/>
    <col min="11020" max="11020" width="8.59765625" style="18" bestFit="1" customWidth="1"/>
    <col min="11021" max="11021" width="10.19921875" style="18" bestFit="1" customWidth="1"/>
    <col min="11022" max="11022" width="9.09765625" style="18" bestFit="1" customWidth="1"/>
    <col min="11023" max="11023" width="6.19921875" style="18" bestFit="1" customWidth="1"/>
    <col min="11024" max="11024" width="9.8984375" style="18" bestFit="1" customWidth="1"/>
    <col min="11025" max="11025" width="11.8984375" style="18" bestFit="1" customWidth="1"/>
    <col min="11026" max="11026" width="9.69921875" style="18" bestFit="1" customWidth="1"/>
    <col min="11027" max="11027" width="6" style="18" bestFit="1" customWidth="1"/>
    <col min="11028" max="11264" width="11" style="18"/>
    <col min="11265" max="11265" width="19.59765625" style="18" customWidth="1"/>
    <col min="11266" max="11266" width="8.5" style="18" customWidth="1"/>
    <col min="11267" max="11267" width="8.59765625" style="18" bestFit="1" customWidth="1"/>
    <col min="11268" max="11268" width="8.8984375" style="18" bestFit="1" customWidth="1"/>
    <col min="11269" max="11269" width="7.8984375" style="18" bestFit="1" customWidth="1"/>
    <col min="11270" max="11270" width="10.8984375" style="18" bestFit="1" customWidth="1"/>
    <col min="11271" max="11271" width="8.59765625" style="18" bestFit="1" customWidth="1"/>
    <col min="11272" max="11272" width="7.59765625" style="18" bestFit="1" customWidth="1"/>
    <col min="11273" max="11273" width="10.19921875" style="18" customWidth="1"/>
    <col min="11274" max="11274" width="10.59765625" style="18" bestFit="1" customWidth="1"/>
    <col min="11275" max="11275" width="9" style="18" bestFit="1" customWidth="1"/>
    <col min="11276" max="11276" width="8.59765625" style="18" bestFit="1" customWidth="1"/>
    <col min="11277" max="11277" width="10.19921875" style="18" bestFit="1" customWidth="1"/>
    <col min="11278" max="11278" width="9.09765625" style="18" bestFit="1" customWidth="1"/>
    <col min="11279" max="11279" width="6.19921875" style="18" bestFit="1" customWidth="1"/>
    <col min="11280" max="11280" width="9.8984375" style="18" bestFit="1" customWidth="1"/>
    <col min="11281" max="11281" width="11.8984375" style="18" bestFit="1" customWidth="1"/>
    <col min="11282" max="11282" width="9.69921875" style="18" bestFit="1" customWidth="1"/>
    <col min="11283" max="11283" width="6" style="18" bestFit="1" customWidth="1"/>
    <col min="11284" max="11520" width="11" style="18"/>
    <col min="11521" max="11521" width="19.59765625" style="18" customWidth="1"/>
    <col min="11522" max="11522" width="8.5" style="18" customWidth="1"/>
    <col min="11523" max="11523" width="8.59765625" style="18" bestFit="1" customWidth="1"/>
    <col min="11524" max="11524" width="8.8984375" style="18" bestFit="1" customWidth="1"/>
    <col min="11525" max="11525" width="7.8984375" style="18" bestFit="1" customWidth="1"/>
    <col min="11526" max="11526" width="10.8984375" style="18" bestFit="1" customWidth="1"/>
    <col min="11527" max="11527" width="8.59765625" style="18" bestFit="1" customWidth="1"/>
    <col min="11528" max="11528" width="7.59765625" style="18" bestFit="1" customWidth="1"/>
    <col min="11529" max="11529" width="10.19921875" style="18" customWidth="1"/>
    <col min="11530" max="11530" width="10.59765625" style="18" bestFit="1" customWidth="1"/>
    <col min="11531" max="11531" width="9" style="18" bestFit="1" customWidth="1"/>
    <col min="11532" max="11532" width="8.59765625" style="18" bestFit="1" customWidth="1"/>
    <col min="11533" max="11533" width="10.19921875" style="18" bestFit="1" customWidth="1"/>
    <col min="11534" max="11534" width="9.09765625" style="18" bestFit="1" customWidth="1"/>
    <col min="11535" max="11535" width="6.19921875" style="18" bestFit="1" customWidth="1"/>
    <col min="11536" max="11536" width="9.8984375" style="18" bestFit="1" customWidth="1"/>
    <col min="11537" max="11537" width="11.8984375" style="18" bestFit="1" customWidth="1"/>
    <col min="11538" max="11538" width="9.69921875" style="18" bestFit="1" customWidth="1"/>
    <col min="11539" max="11539" width="6" style="18" bestFit="1" customWidth="1"/>
    <col min="11540" max="11776" width="11" style="18"/>
    <col min="11777" max="11777" width="19.59765625" style="18" customWidth="1"/>
    <col min="11778" max="11778" width="8.5" style="18" customWidth="1"/>
    <col min="11779" max="11779" width="8.59765625" style="18" bestFit="1" customWidth="1"/>
    <col min="11780" max="11780" width="8.8984375" style="18" bestFit="1" customWidth="1"/>
    <col min="11781" max="11781" width="7.8984375" style="18" bestFit="1" customWidth="1"/>
    <col min="11782" max="11782" width="10.8984375" style="18" bestFit="1" customWidth="1"/>
    <col min="11783" max="11783" width="8.59765625" style="18" bestFit="1" customWidth="1"/>
    <col min="11784" max="11784" width="7.59765625" style="18" bestFit="1" customWidth="1"/>
    <col min="11785" max="11785" width="10.19921875" style="18" customWidth="1"/>
    <col min="11786" max="11786" width="10.59765625" style="18" bestFit="1" customWidth="1"/>
    <col min="11787" max="11787" width="9" style="18" bestFit="1" customWidth="1"/>
    <col min="11788" max="11788" width="8.59765625" style="18" bestFit="1" customWidth="1"/>
    <col min="11789" max="11789" width="10.19921875" style="18" bestFit="1" customWidth="1"/>
    <col min="11790" max="11790" width="9.09765625" style="18" bestFit="1" customWidth="1"/>
    <col min="11791" max="11791" width="6.19921875" style="18" bestFit="1" customWidth="1"/>
    <col min="11792" max="11792" width="9.8984375" style="18" bestFit="1" customWidth="1"/>
    <col min="11793" max="11793" width="11.8984375" style="18" bestFit="1" customWidth="1"/>
    <col min="11794" max="11794" width="9.69921875" style="18" bestFit="1" customWidth="1"/>
    <col min="11795" max="11795" width="6" style="18" bestFit="1" customWidth="1"/>
    <col min="11796" max="12032" width="11" style="18"/>
    <col min="12033" max="12033" width="19.59765625" style="18" customWidth="1"/>
    <col min="12034" max="12034" width="8.5" style="18" customWidth="1"/>
    <col min="12035" max="12035" width="8.59765625" style="18" bestFit="1" customWidth="1"/>
    <col min="12036" max="12036" width="8.8984375" style="18" bestFit="1" customWidth="1"/>
    <col min="12037" max="12037" width="7.8984375" style="18" bestFit="1" customWidth="1"/>
    <col min="12038" max="12038" width="10.8984375" style="18" bestFit="1" customWidth="1"/>
    <col min="12039" max="12039" width="8.59765625" style="18" bestFit="1" customWidth="1"/>
    <col min="12040" max="12040" width="7.59765625" style="18" bestFit="1" customWidth="1"/>
    <col min="12041" max="12041" width="10.19921875" style="18" customWidth="1"/>
    <col min="12042" max="12042" width="10.59765625" style="18" bestFit="1" customWidth="1"/>
    <col min="12043" max="12043" width="9" style="18" bestFit="1" customWidth="1"/>
    <col min="12044" max="12044" width="8.59765625" style="18" bestFit="1" customWidth="1"/>
    <col min="12045" max="12045" width="10.19921875" style="18" bestFit="1" customWidth="1"/>
    <col min="12046" max="12046" width="9.09765625" style="18" bestFit="1" customWidth="1"/>
    <col min="12047" max="12047" width="6.19921875" style="18" bestFit="1" customWidth="1"/>
    <col min="12048" max="12048" width="9.8984375" style="18" bestFit="1" customWidth="1"/>
    <col min="12049" max="12049" width="11.8984375" style="18" bestFit="1" customWidth="1"/>
    <col min="12050" max="12050" width="9.69921875" style="18" bestFit="1" customWidth="1"/>
    <col min="12051" max="12051" width="6" style="18" bestFit="1" customWidth="1"/>
    <col min="12052" max="12288" width="11" style="18"/>
    <col min="12289" max="12289" width="19.59765625" style="18" customWidth="1"/>
    <col min="12290" max="12290" width="8.5" style="18" customWidth="1"/>
    <col min="12291" max="12291" width="8.59765625" style="18" bestFit="1" customWidth="1"/>
    <col min="12292" max="12292" width="8.8984375" style="18" bestFit="1" customWidth="1"/>
    <col min="12293" max="12293" width="7.8984375" style="18" bestFit="1" customWidth="1"/>
    <col min="12294" max="12294" width="10.8984375" style="18" bestFit="1" customWidth="1"/>
    <col min="12295" max="12295" width="8.59765625" style="18" bestFit="1" customWidth="1"/>
    <col min="12296" max="12296" width="7.59765625" style="18" bestFit="1" customWidth="1"/>
    <col min="12297" max="12297" width="10.19921875" style="18" customWidth="1"/>
    <col min="12298" max="12298" width="10.59765625" style="18" bestFit="1" customWidth="1"/>
    <col min="12299" max="12299" width="9" style="18" bestFit="1" customWidth="1"/>
    <col min="12300" max="12300" width="8.59765625" style="18" bestFit="1" customWidth="1"/>
    <col min="12301" max="12301" width="10.19921875" style="18" bestFit="1" customWidth="1"/>
    <col min="12302" max="12302" width="9.09765625" style="18" bestFit="1" customWidth="1"/>
    <col min="12303" max="12303" width="6.19921875" style="18" bestFit="1" customWidth="1"/>
    <col min="12304" max="12304" width="9.8984375" style="18" bestFit="1" customWidth="1"/>
    <col min="12305" max="12305" width="11.8984375" style="18" bestFit="1" customWidth="1"/>
    <col min="12306" max="12306" width="9.69921875" style="18" bestFit="1" customWidth="1"/>
    <col min="12307" max="12307" width="6" style="18" bestFit="1" customWidth="1"/>
    <col min="12308" max="12544" width="11" style="18"/>
    <col min="12545" max="12545" width="19.59765625" style="18" customWidth="1"/>
    <col min="12546" max="12546" width="8.5" style="18" customWidth="1"/>
    <col min="12547" max="12547" width="8.59765625" style="18" bestFit="1" customWidth="1"/>
    <col min="12548" max="12548" width="8.8984375" style="18" bestFit="1" customWidth="1"/>
    <col min="12549" max="12549" width="7.8984375" style="18" bestFit="1" customWidth="1"/>
    <col min="12550" max="12550" width="10.8984375" style="18" bestFit="1" customWidth="1"/>
    <col min="12551" max="12551" width="8.59765625" style="18" bestFit="1" customWidth="1"/>
    <col min="12552" max="12552" width="7.59765625" style="18" bestFit="1" customWidth="1"/>
    <col min="12553" max="12553" width="10.19921875" style="18" customWidth="1"/>
    <col min="12554" max="12554" width="10.59765625" style="18" bestFit="1" customWidth="1"/>
    <col min="12555" max="12555" width="9" style="18" bestFit="1" customWidth="1"/>
    <col min="12556" max="12556" width="8.59765625" style="18" bestFit="1" customWidth="1"/>
    <col min="12557" max="12557" width="10.19921875" style="18" bestFit="1" customWidth="1"/>
    <col min="12558" max="12558" width="9.09765625" style="18" bestFit="1" customWidth="1"/>
    <col min="12559" max="12559" width="6.19921875" style="18" bestFit="1" customWidth="1"/>
    <col min="12560" max="12560" width="9.8984375" style="18" bestFit="1" customWidth="1"/>
    <col min="12561" max="12561" width="11.8984375" style="18" bestFit="1" customWidth="1"/>
    <col min="12562" max="12562" width="9.69921875" style="18" bestFit="1" customWidth="1"/>
    <col min="12563" max="12563" width="6" style="18" bestFit="1" customWidth="1"/>
    <col min="12564" max="12800" width="11" style="18"/>
    <col min="12801" max="12801" width="19.59765625" style="18" customWidth="1"/>
    <col min="12802" max="12802" width="8.5" style="18" customWidth="1"/>
    <col min="12803" max="12803" width="8.59765625" style="18" bestFit="1" customWidth="1"/>
    <col min="12804" max="12804" width="8.8984375" style="18" bestFit="1" customWidth="1"/>
    <col min="12805" max="12805" width="7.8984375" style="18" bestFit="1" customWidth="1"/>
    <col min="12806" max="12806" width="10.8984375" style="18" bestFit="1" customWidth="1"/>
    <col min="12807" max="12807" width="8.59765625" style="18" bestFit="1" customWidth="1"/>
    <col min="12808" max="12808" width="7.59765625" style="18" bestFit="1" customWidth="1"/>
    <col min="12809" max="12809" width="10.19921875" style="18" customWidth="1"/>
    <col min="12810" max="12810" width="10.59765625" style="18" bestFit="1" customWidth="1"/>
    <col min="12811" max="12811" width="9" style="18" bestFit="1" customWidth="1"/>
    <col min="12812" max="12812" width="8.59765625" style="18" bestFit="1" customWidth="1"/>
    <col min="12813" max="12813" width="10.19921875" style="18" bestFit="1" customWidth="1"/>
    <col min="12814" max="12814" width="9.09765625" style="18" bestFit="1" customWidth="1"/>
    <col min="12815" max="12815" width="6.19921875" style="18" bestFit="1" customWidth="1"/>
    <col min="12816" max="12816" width="9.8984375" style="18" bestFit="1" customWidth="1"/>
    <col min="12817" max="12817" width="11.8984375" style="18" bestFit="1" customWidth="1"/>
    <col min="12818" max="12818" width="9.69921875" style="18" bestFit="1" customWidth="1"/>
    <col min="12819" max="12819" width="6" style="18" bestFit="1" customWidth="1"/>
    <col min="12820" max="13056" width="11" style="18"/>
    <col min="13057" max="13057" width="19.59765625" style="18" customWidth="1"/>
    <col min="13058" max="13058" width="8.5" style="18" customWidth="1"/>
    <col min="13059" max="13059" width="8.59765625" style="18" bestFit="1" customWidth="1"/>
    <col min="13060" max="13060" width="8.8984375" style="18" bestFit="1" customWidth="1"/>
    <col min="13061" max="13061" width="7.8984375" style="18" bestFit="1" customWidth="1"/>
    <col min="13062" max="13062" width="10.8984375" style="18" bestFit="1" customWidth="1"/>
    <col min="13063" max="13063" width="8.59765625" style="18" bestFit="1" customWidth="1"/>
    <col min="13064" max="13064" width="7.59765625" style="18" bestFit="1" customWidth="1"/>
    <col min="13065" max="13065" width="10.19921875" style="18" customWidth="1"/>
    <col min="13066" max="13066" width="10.59765625" style="18" bestFit="1" customWidth="1"/>
    <col min="13067" max="13067" width="9" style="18" bestFit="1" customWidth="1"/>
    <col min="13068" max="13068" width="8.59765625" style="18" bestFit="1" customWidth="1"/>
    <col min="13069" max="13069" width="10.19921875" style="18" bestFit="1" customWidth="1"/>
    <col min="13070" max="13070" width="9.09765625" style="18" bestFit="1" customWidth="1"/>
    <col min="13071" max="13071" width="6.19921875" style="18" bestFit="1" customWidth="1"/>
    <col min="13072" max="13072" width="9.8984375" style="18" bestFit="1" customWidth="1"/>
    <col min="13073" max="13073" width="11.8984375" style="18" bestFit="1" customWidth="1"/>
    <col min="13074" max="13074" width="9.69921875" style="18" bestFit="1" customWidth="1"/>
    <col min="13075" max="13075" width="6" style="18" bestFit="1" customWidth="1"/>
    <col min="13076" max="13312" width="11" style="18"/>
    <col min="13313" max="13313" width="19.59765625" style="18" customWidth="1"/>
    <col min="13314" max="13314" width="8.5" style="18" customWidth="1"/>
    <col min="13315" max="13315" width="8.59765625" style="18" bestFit="1" customWidth="1"/>
    <col min="13316" max="13316" width="8.8984375" style="18" bestFit="1" customWidth="1"/>
    <col min="13317" max="13317" width="7.8984375" style="18" bestFit="1" customWidth="1"/>
    <col min="13318" max="13318" width="10.8984375" style="18" bestFit="1" customWidth="1"/>
    <col min="13319" max="13319" width="8.59765625" style="18" bestFit="1" customWidth="1"/>
    <col min="13320" max="13320" width="7.59765625" style="18" bestFit="1" customWidth="1"/>
    <col min="13321" max="13321" width="10.19921875" style="18" customWidth="1"/>
    <col min="13322" max="13322" width="10.59765625" style="18" bestFit="1" customWidth="1"/>
    <col min="13323" max="13323" width="9" style="18" bestFit="1" customWidth="1"/>
    <col min="13324" max="13324" width="8.59765625" style="18" bestFit="1" customWidth="1"/>
    <col min="13325" max="13325" width="10.19921875" style="18" bestFit="1" customWidth="1"/>
    <col min="13326" max="13326" width="9.09765625" style="18" bestFit="1" customWidth="1"/>
    <col min="13327" max="13327" width="6.19921875" style="18" bestFit="1" customWidth="1"/>
    <col min="13328" max="13328" width="9.8984375" style="18" bestFit="1" customWidth="1"/>
    <col min="13329" max="13329" width="11.8984375" style="18" bestFit="1" customWidth="1"/>
    <col min="13330" max="13330" width="9.69921875" style="18" bestFit="1" customWidth="1"/>
    <col min="13331" max="13331" width="6" style="18" bestFit="1" customWidth="1"/>
    <col min="13332" max="13568" width="11" style="18"/>
    <col min="13569" max="13569" width="19.59765625" style="18" customWidth="1"/>
    <col min="13570" max="13570" width="8.5" style="18" customWidth="1"/>
    <col min="13571" max="13571" width="8.59765625" style="18" bestFit="1" customWidth="1"/>
    <col min="13572" max="13572" width="8.8984375" style="18" bestFit="1" customWidth="1"/>
    <col min="13573" max="13573" width="7.8984375" style="18" bestFit="1" customWidth="1"/>
    <col min="13574" max="13574" width="10.8984375" style="18" bestFit="1" customWidth="1"/>
    <col min="13575" max="13575" width="8.59765625" style="18" bestFit="1" customWidth="1"/>
    <col min="13576" max="13576" width="7.59765625" style="18" bestFit="1" customWidth="1"/>
    <col min="13577" max="13577" width="10.19921875" style="18" customWidth="1"/>
    <col min="13578" max="13578" width="10.59765625" style="18" bestFit="1" customWidth="1"/>
    <col min="13579" max="13579" width="9" style="18" bestFit="1" customWidth="1"/>
    <col min="13580" max="13580" width="8.59765625" style="18" bestFit="1" customWidth="1"/>
    <col min="13581" max="13581" width="10.19921875" style="18" bestFit="1" customWidth="1"/>
    <col min="13582" max="13582" width="9.09765625" style="18" bestFit="1" customWidth="1"/>
    <col min="13583" max="13583" width="6.19921875" style="18" bestFit="1" customWidth="1"/>
    <col min="13584" max="13584" width="9.8984375" style="18" bestFit="1" customWidth="1"/>
    <col min="13585" max="13585" width="11.8984375" style="18" bestFit="1" customWidth="1"/>
    <col min="13586" max="13586" width="9.69921875" style="18" bestFit="1" customWidth="1"/>
    <col min="13587" max="13587" width="6" style="18" bestFit="1" customWidth="1"/>
    <col min="13588" max="13824" width="11" style="18"/>
    <col min="13825" max="13825" width="19.59765625" style="18" customWidth="1"/>
    <col min="13826" max="13826" width="8.5" style="18" customWidth="1"/>
    <col min="13827" max="13827" width="8.59765625" style="18" bestFit="1" customWidth="1"/>
    <col min="13828" max="13828" width="8.8984375" style="18" bestFit="1" customWidth="1"/>
    <col min="13829" max="13829" width="7.8984375" style="18" bestFit="1" customWidth="1"/>
    <col min="13830" max="13830" width="10.8984375" style="18" bestFit="1" customWidth="1"/>
    <col min="13831" max="13831" width="8.59765625" style="18" bestFit="1" customWidth="1"/>
    <col min="13832" max="13832" width="7.59765625" style="18" bestFit="1" customWidth="1"/>
    <col min="13833" max="13833" width="10.19921875" style="18" customWidth="1"/>
    <col min="13834" max="13834" width="10.59765625" style="18" bestFit="1" customWidth="1"/>
    <col min="13835" max="13835" width="9" style="18" bestFit="1" customWidth="1"/>
    <col min="13836" max="13836" width="8.59765625" style="18" bestFit="1" customWidth="1"/>
    <col min="13837" max="13837" width="10.19921875" style="18" bestFit="1" customWidth="1"/>
    <col min="13838" max="13838" width="9.09765625" style="18" bestFit="1" customWidth="1"/>
    <col min="13839" max="13839" width="6.19921875" style="18" bestFit="1" customWidth="1"/>
    <col min="13840" max="13840" width="9.8984375" style="18" bestFit="1" customWidth="1"/>
    <col min="13841" max="13841" width="11.8984375" style="18" bestFit="1" customWidth="1"/>
    <col min="13842" max="13842" width="9.69921875" style="18" bestFit="1" customWidth="1"/>
    <col min="13843" max="13843" width="6" style="18" bestFit="1" customWidth="1"/>
    <col min="13844" max="14080" width="11" style="18"/>
    <col min="14081" max="14081" width="19.59765625" style="18" customWidth="1"/>
    <col min="14082" max="14082" width="8.5" style="18" customWidth="1"/>
    <col min="14083" max="14083" width="8.59765625" style="18" bestFit="1" customWidth="1"/>
    <col min="14084" max="14084" width="8.8984375" style="18" bestFit="1" customWidth="1"/>
    <col min="14085" max="14085" width="7.8984375" style="18" bestFit="1" customWidth="1"/>
    <col min="14086" max="14086" width="10.8984375" style="18" bestFit="1" customWidth="1"/>
    <col min="14087" max="14087" width="8.59765625" style="18" bestFit="1" customWidth="1"/>
    <col min="14088" max="14088" width="7.59765625" style="18" bestFit="1" customWidth="1"/>
    <col min="14089" max="14089" width="10.19921875" style="18" customWidth="1"/>
    <col min="14090" max="14090" width="10.59765625" style="18" bestFit="1" customWidth="1"/>
    <col min="14091" max="14091" width="9" style="18" bestFit="1" customWidth="1"/>
    <col min="14092" max="14092" width="8.59765625" style="18" bestFit="1" customWidth="1"/>
    <col min="14093" max="14093" width="10.19921875" style="18" bestFit="1" customWidth="1"/>
    <col min="14094" max="14094" width="9.09765625" style="18" bestFit="1" customWidth="1"/>
    <col min="14095" max="14095" width="6.19921875" style="18" bestFit="1" customWidth="1"/>
    <col min="14096" max="14096" width="9.8984375" style="18" bestFit="1" customWidth="1"/>
    <col min="14097" max="14097" width="11.8984375" style="18" bestFit="1" customWidth="1"/>
    <col min="14098" max="14098" width="9.69921875" style="18" bestFit="1" customWidth="1"/>
    <col min="14099" max="14099" width="6" style="18" bestFit="1" customWidth="1"/>
    <col min="14100" max="14336" width="11" style="18"/>
    <col min="14337" max="14337" width="19.59765625" style="18" customWidth="1"/>
    <col min="14338" max="14338" width="8.5" style="18" customWidth="1"/>
    <col min="14339" max="14339" width="8.59765625" style="18" bestFit="1" customWidth="1"/>
    <col min="14340" max="14340" width="8.8984375" style="18" bestFit="1" customWidth="1"/>
    <col min="14341" max="14341" width="7.8984375" style="18" bestFit="1" customWidth="1"/>
    <col min="14342" max="14342" width="10.8984375" style="18" bestFit="1" customWidth="1"/>
    <col min="14343" max="14343" width="8.59765625" style="18" bestFit="1" customWidth="1"/>
    <col min="14344" max="14344" width="7.59765625" style="18" bestFit="1" customWidth="1"/>
    <col min="14345" max="14345" width="10.19921875" style="18" customWidth="1"/>
    <col min="14346" max="14346" width="10.59765625" style="18" bestFit="1" customWidth="1"/>
    <col min="14347" max="14347" width="9" style="18" bestFit="1" customWidth="1"/>
    <col min="14348" max="14348" width="8.59765625" style="18" bestFit="1" customWidth="1"/>
    <col min="14349" max="14349" width="10.19921875" style="18" bestFit="1" customWidth="1"/>
    <col min="14350" max="14350" width="9.09765625" style="18" bestFit="1" customWidth="1"/>
    <col min="14351" max="14351" width="6.19921875" style="18" bestFit="1" customWidth="1"/>
    <col min="14352" max="14352" width="9.8984375" style="18" bestFit="1" customWidth="1"/>
    <col min="14353" max="14353" width="11.8984375" style="18" bestFit="1" customWidth="1"/>
    <col min="14354" max="14354" width="9.69921875" style="18" bestFit="1" customWidth="1"/>
    <col min="14355" max="14355" width="6" style="18" bestFit="1" customWidth="1"/>
    <col min="14356" max="14592" width="11" style="18"/>
    <col min="14593" max="14593" width="19.59765625" style="18" customWidth="1"/>
    <col min="14594" max="14594" width="8.5" style="18" customWidth="1"/>
    <col min="14595" max="14595" width="8.59765625" style="18" bestFit="1" customWidth="1"/>
    <col min="14596" max="14596" width="8.8984375" style="18" bestFit="1" customWidth="1"/>
    <col min="14597" max="14597" width="7.8984375" style="18" bestFit="1" customWidth="1"/>
    <col min="14598" max="14598" width="10.8984375" style="18" bestFit="1" customWidth="1"/>
    <col min="14599" max="14599" width="8.59765625" style="18" bestFit="1" customWidth="1"/>
    <col min="14600" max="14600" width="7.59765625" style="18" bestFit="1" customWidth="1"/>
    <col min="14601" max="14601" width="10.19921875" style="18" customWidth="1"/>
    <col min="14602" max="14602" width="10.59765625" style="18" bestFit="1" customWidth="1"/>
    <col min="14603" max="14603" width="9" style="18" bestFit="1" customWidth="1"/>
    <col min="14604" max="14604" width="8.59765625" style="18" bestFit="1" customWidth="1"/>
    <col min="14605" max="14605" width="10.19921875" style="18" bestFit="1" customWidth="1"/>
    <col min="14606" max="14606" width="9.09765625" style="18" bestFit="1" customWidth="1"/>
    <col min="14607" max="14607" width="6.19921875" style="18" bestFit="1" customWidth="1"/>
    <col min="14608" max="14608" width="9.8984375" style="18" bestFit="1" customWidth="1"/>
    <col min="14609" max="14609" width="11.8984375" style="18" bestFit="1" customWidth="1"/>
    <col min="14610" max="14610" width="9.69921875" style="18" bestFit="1" customWidth="1"/>
    <col min="14611" max="14611" width="6" style="18" bestFit="1" customWidth="1"/>
    <col min="14612" max="14848" width="11" style="18"/>
    <col min="14849" max="14849" width="19.59765625" style="18" customWidth="1"/>
    <col min="14850" max="14850" width="8.5" style="18" customWidth="1"/>
    <col min="14851" max="14851" width="8.59765625" style="18" bestFit="1" customWidth="1"/>
    <col min="14852" max="14852" width="8.8984375" style="18" bestFit="1" customWidth="1"/>
    <col min="14853" max="14853" width="7.8984375" style="18" bestFit="1" customWidth="1"/>
    <col min="14854" max="14854" width="10.8984375" style="18" bestFit="1" customWidth="1"/>
    <col min="14855" max="14855" width="8.59765625" style="18" bestFit="1" customWidth="1"/>
    <col min="14856" max="14856" width="7.59765625" style="18" bestFit="1" customWidth="1"/>
    <col min="14857" max="14857" width="10.19921875" style="18" customWidth="1"/>
    <col min="14858" max="14858" width="10.59765625" style="18" bestFit="1" customWidth="1"/>
    <col min="14859" max="14859" width="9" style="18" bestFit="1" customWidth="1"/>
    <col min="14860" max="14860" width="8.59765625" style="18" bestFit="1" customWidth="1"/>
    <col min="14861" max="14861" width="10.19921875" style="18" bestFit="1" customWidth="1"/>
    <col min="14862" max="14862" width="9.09765625" style="18" bestFit="1" customWidth="1"/>
    <col min="14863" max="14863" width="6.19921875" style="18" bestFit="1" customWidth="1"/>
    <col min="14864" max="14864" width="9.8984375" style="18" bestFit="1" customWidth="1"/>
    <col min="14865" max="14865" width="11.8984375" style="18" bestFit="1" customWidth="1"/>
    <col min="14866" max="14866" width="9.69921875" style="18" bestFit="1" customWidth="1"/>
    <col min="14867" max="14867" width="6" style="18" bestFit="1" customWidth="1"/>
    <col min="14868" max="15104" width="11" style="18"/>
    <col min="15105" max="15105" width="19.59765625" style="18" customWidth="1"/>
    <col min="15106" max="15106" width="8.5" style="18" customWidth="1"/>
    <col min="15107" max="15107" width="8.59765625" style="18" bestFit="1" customWidth="1"/>
    <col min="15108" max="15108" width="8.8984375" style="18" bestFit="1" customWidth="1"/>
    <col min="15109" max="15109" width="7.8984375" style="18" bestFit="1" customWidth="1"/>
    <col min="15110" max="15110" width="10.8984375" style="18" bestFit="1" customWidth="1"/>
    <col min="15111" max="15111" width="8.59765625" style="18" bestFit="1" customWidth="1"/>
    <col min="15112" max="15112" width="7.59765625" style="18" bestFit="1" customWidth="1"/>
    <col min="15113" max="15113" width="10.19921875" style="18" customWidth="1"/>
    <col min="15114" max="15114" width="10.59765625" style="18" bestFit="1" customWidth="1"/>
    <col min="15115" max="15115" width="9" style="18" bestFit="1" customWidth="1"/>
    <col min="15116" max="15116" width="8.59765625" style="18" bestFit="1" customWidth="1"/>
    <col min="15117" max="15117" width="10.19921875" style="18" bestFit="1" customWidth="1"/>
    <col min="15118" max="15118" width="9.09765625" style="18" bestFit="1" customWidth="1"/>
    <col min="15119" max="15119" width="6.19921875" style="18" bestFit="1" customWidth="1"/>
    <col min="15120" max="15120" width="9.8984375" style="18" bestFit="1" customWidth="1"/>
    <col min="15121" max="15121" width="11.8984375" style="18" bestFit="1" customWidth="1"/>
    <col min="15122" max="15122" width="9.69921875" style="18" bestFit="1" customWidth="1"/>
    <col min="15123" max="15123" width="6" style="18" bestFit="1" customWidth="1"/>
    <col min="15124" max="15360" width="11" style="18"/>
    <col min="15361" max="15361" width="19.59765625" style="18" customWidth="1"/>
    <col min="15362" max="15362" width="8.5" style="18" customWidth="1"/>
    <col min="15363" max="15363" width="8.59765625" style="18" bestFit="1" customWidth="1"/>
    <col min="15364" max="15364" width="8.8984375" style="18" bestFit="1" customWidth="1"/>
    <col min="15365" max="15365" width="7.8984375" style="18" bestFit="1" customWidth="1"/>
    <col min="15366" max="15366" width="10.8984375" style="18" bestFit="1" customWidth="1"/>
    <col min="15367" max="15367" width="8.59765625" style="18" bestFit="1" customWidth="1"/>
    <col min="15368" max="15368" width="7.59765625" style="18" bestFit="1" customWidth="1"/>
    <col min="15369" max="15369" width="10.19921875" style="18" customWidth="1"/>
    <col min="15370" max="15370" width="10.59765625" style="18" bestFit="1" customWidth="1"/>
    <col min="15371" max="15371" width="9" style="18" bestFit="1" customWidth="1"/>
    <col min="15372" max="15372" width="8.59765625" style="18" bestFit="1" customWidth="1"/>
    <col min="15373" max="15373" width="10.19921875" style="18" bestFit="1" customWidth="1"/>
    <col min="15374" max="15374" width="9.09765625" style="18" bestFit="1" customWidth="1"/>
    <col min="15375" max="15375" width="6.19921875" style="18" bestFit="1" customWidth="1"/>
    <col min="15376" max="15376" width="9.8984375" style="18" bestFit="1" customWidth="1"/>
    <col min="15377" max="15377" width="11.8984375" style="18" bestFit="1" customWidth="1"/>
    <col min="15378" max="15378" width="9.69921875" style="18" bestFit="1" customWidth="1"/>
    <col min="15379" max="15379" width="6" style="18" bestFit="1" customWidth="1"/>
    <col min="15380" max="15616" width="11" style="18"/>
    <col min="15617" max="15617" width="19.59765625" style="18" customWidth="1"/>
    <col min="15618" max="15618" width="8.5" style="18" customWidth="1"/>
    <col min="15619" max="15619" width="8.59765625" style="18" bestFit="1" customWidth="1"/>
    <col min="15620" max="15620" width="8.8984375" style="18" bestFit="1" customWidth="1"/>
    <col min="15621" max="15621" width="7.8984375" style="18" bestFit="1" customWidth="1"/>
    <col min="15622" max="15622" width="10.8984375" style="18" bestFit="1" customWidth="1"/>
    <col min="15623" max="15623" width="8.59765625" style="18" bestFit="1" customWidth="1"/>
    <col min="15624" max="15624" width="7.59765625" style="18" bestFit="1" customWidth="1"/>
    <col min="15625" max="15625" width="10.19921875" style="18" customWidth="1"/>
    <col min="15626" max="15626" width="10.59765625" style="18" bestFit="1" customWidth="1"/>
    <col min="15627" max="15627" width="9" style="18" bestFit="1" customWidth="1"/>
    <col min="15628" max="15628" width="8.59765625" style="18" bestFit="1" customWidth="1"/>
    <col min="15629" max="15629" width="10.19921875" style="18" bestFit="1" customWidth="1"/>
    <col min="15630" max="15630" width="9.09765625" style="18" bestFit="1" customWidth="1"/>
    <col min="15631" max="15631" width="6.19921875" style="18" bestFit="1" customWidth="1"/>
    <col min="15632" max="15632" width="9.8984375" style="18" bestFit="1" customWidth="1"/>
    <col min="15633" max="15633" width="11.8984375" style="18" bestFit="1" customWidth="1"/>
    <col min="15634" max="15634" width="9.69921875" style="18" bestFit="1" customWidth="1"/>
    <col min="15635" max="15635" width="6" style="18" bestFit="1" customWidth="1"/>
    <col min="15636" max="15872" width="11" style="18"/>
    <col min="15873" max="15873" width="19.59765625" style="18" customWidth="1"/>
    <col min="15874" max="15874" width="8.5" style="18" customWidth="1"/>
    <col min="15875" max="15875" width="8.59765625" style="18" bestFit="1" customWidth="1"/>
    <col min="15876" max="15876" width="8.8984375" style="18" bestFit="1" customWidth="1"/>
    <col min="15877" max="15877" width="7.8984375" style="18" bestFit="1" customWidth="1"/>
    <col min="15878" max="15878" width="10.8984375" style="18" bestFit="1" customWidth="1"/>
    <col min="15879" max="15879" width="8.59765625" style="18" bestFit="1" customWidth="1"/>
    <col min="15880" max="15880" width="7.59765625" style="18" bestFit="1" customWidth="1"/>
    <col min="15881" max="15881" width="10.19921875" style="18" customWidth="1"/>
    <col min="15882" max="15882" width="10.59765625" style="18" bestFit="1" customWidth="1"/>
    <col min="15883" max="15883" width="9" style="18" bestFit="1" customWidth="1"/>
    <col min="15884" max="15884" width="8.59765625" style="18" bestFit="1" customWidth="1"/>
    <col min="15885" max="15885" width="10.19921875" style="18" bestFit="1" customWidth="1"/>
    <col min="15886" max="15886" width="9.09765625" style="18" bestFit="1" customWidth="1"/>
    <col min="15887" max="15887" width="6.19921875" style="18" bestFit="1" customWidth="1"/>
    <col min="15888" max="15888" width="9.8984375" style="18" bestFit="1" customWidth="1"/>
    <col min="15889" max="15889" width="11.8984375" style="18" bestFit="1" customWidth="1"/>
    <col min="15890" max="15890" width="9.69921875" style="18" bestFit="1" customWidth="1"/>
    <col min="15891" max="15891" width="6" style="18" bestFit="1" customWidth="1"/>
    <col min="15892" max="16128" width="11" style="18"/>
    <col min="16129" max="16129" width="19.59765625" style="18" customWidth="1"/>
    <col min="16130" max="16130" width="8.5" style="18" customWidth="1"/>
    <col min="16131" max="16131" width="8.59765625" style="18" bestFit="1" customWidth="1"/>
    <col min="16132" max="16132" width="8.8984375" style="18" bestFit="1" customWidth="1"/>
    <col min="16133" max="16133" width="7.8984375" style="18" bestFit="1" customWidth="1"/>
    <col min="16134" max="16134" width="10.8984375" style="18" bestFit="1" customWidth="1"/>
    <col min="16135" max="16135" width="8.59765625" style="18" bestFit="1" customWidth="1"/>
    <col min="16136" max="16136" width="7.59765625" style="18" bestFit="1" customWidth="1"/>
    <col min="16137" max="16137" width="10.19921875" style="18" customWidth="1"/>
    <col min="16138" max="16138" width="10.59765625" style="18" bestFit="1" customWidth="1"/>
    <col min="16139" max="16139" width="9" style="18" bestFit="1" customWidth="1"/>
    <col min="16140" max="16140" width="8.59765625" style="18" bestFit="1" customWidth="1"/>
    <col min="16141" max="16141" width="10.19921875" style="18" bestFit="1" customWidth="1"/>
    <col min="16142" max="16142" width="9.09765625" style="18" bestFit="1" customWidth="1"/>
    <col min="16143" max="16143" width="6.19921875" style="18" bestFit="1" customWidth="1"/>
    <col min="16144" max="16144" width="9.8984375" style="18" bestFit="1" customWidth="1"/>
    <col min="16145" max="16145" width="11.8984375" style="18" bestFit="1" customWidth="1"/>
    <col min="16146" max="16146" width="9.69921875" style="18" bestFit="1" customWidth="1"/>
    <col min="16147" max="16147" width="6" style="18" bestFit="1" customWidth="1"/>
    <col min="16148" max="16384" width="11" style="18"/>
  </cols>
  <sheetData>
    <row r="1" spans="1:11" ht="15.6" x14ac:dyDescent="0.3">
      <c r="A1" s="15" t="s">
        <v>213</v>
      </c>
    </row>
    <row r="2" spans="1:11" ht="15.6" x14ac:dyDescent="0.3">
      <c r="A2" s="15"/>
    </row>
    <row r="3" spans="1:11" ht="15.6" x14ac:dyDescent="0.3">
      <c r="A3" s="15" t="s">
        <v>215</v>
      </c>
    </row>
    <row r="4" spans="1:11" ht="14.25" customHeight="1" x14ac:dyDescent="0.25">
      <c r="A4" s="96" t="s">
        <v>2</v>
      </c>
      <c r="B4" s="96" t="s">
        <v>3</v>
      </c>
      <c r="C4" s="96" t="s">
        <v>149</v>
      </c>
      <c r="D4" s="96" t="s">
        <v>214</v>
      </c>
      <c r="E4" s="35" t="s">
        <v>103</v>
      </c>
      <c r="F4" s="35" t="s">
        <v>61</v>
      </c>
      <c r="G4" s="35" t="s">
        <v>62</v>
      </c>
      <c r="H4" s="35" t="s">
        <v>79</v>
      </c>
      <c r="I4" s="35" t="s">
        <v>80</v>
      </c>
    </row>
    <row r="5" spans="1:11" ht="26.4" x14ac:dyDescent="0.25">
      <c r="A5" s="97"/>
      <c r="B5" s="97"/>
      <c r="C5" s="97"/>
      <c r="D5" s="97"/>
      <c r="E5" s="36" t="s">
        <v>104</v>
      </c>
      <c r="F5" s="36" t="s">
        <v>105</v>
      </c>
      <c r="G5" s="36" t="s">
        <v>106</v>
      </c>
      <c r="H5" s="36" t="s">
        <v>107</v>
      </c>
      <c r="I5" s="36" t="s">
        <v>108</v>
      </c>
    </row>
    <row r="6" spans="1:11" ht="15.75" customHeight="1" x14ac:dyDescent="0.25">
      <c r="A6" s="97"/>
      <c r="B6" s="97"/>
      <c r="C6" s="97"/>
      <c r="D6" s="97"/>
      <c r="E6" s="35">
        <v>300</v>
      </c>
      <c r="F6" s="35">
        <v>500</v>
      </c>
      <c r="G6" s="35">
        <v>450</v>
      </c>
      <c r="H6" s="35">
        <v>600</v>
      </c>
      <c r="I6" s="35">
        <v>250</v>
      </c>
    </row>
    <row r="7" spans="1:11" x14ac:dyDescent="0.25">
      <c r="A7" s="98"/>
      <c r="B7" s="98"/>
      <c r="C7" s="98"/>
      <c r="D7" s="98"/>
      <c r="E7" s="35" t="s">
        <v>64</v>
      </c>
      <c r="F7" s="35" t="s">
        <v>65</v>
      </c>
      <c r="G7" s="35" t="s">
        <v>64</v>
      </c>
      <c r="H7" s="35" t="s">
        <v>64</v>
      </c>
      <c r="I7" s="35" t="s">
        <v>65</v>
      </c>
      <c r="J7" s="19" t="s">
        <v>246</v>
      </c>
      <c r="K7" s="18" t="s">
        <v>247</v>
      </c>
    </row>
    <row r="8" spans="1:11" ht="13.8" x14ac:dyDescent="0.25">
      <c r="A8" s="3" t="s">
        <v>51</v>
      </c>
      <c r="B8" s="3" t="s">
        <v>91</v>
      </c>
      <c r="C8" s="3" t="s">
        <v>175</v>
      </c>
      <c r="D8" s="31" t="s">
        <v>66</v>
      </c>
      <c r="E8" s="31">
        <v>170.4</v>
      </c>
      <c r="F8" s="31"/>
      <c r="G8" s="31"/>
      <c r="H8" s="31"/>
      <c r="I8" s="31"/>
      <c r="J8" s="55">
        <f>'Planilla Remunerac'!H26</f>
        <v>170.39999999999998</v>
      </c>
      <c r="K8" s="56">
        <f>SUM(E8:I8)-J8</f>
        <v>0</v>
      </c>
    </row>
    <row r="9" spans="1:11" ht="13.8" x14ac:dyDescent="0.25">
      <c r="A9" s="3"/>
      <c r="B9" s="3"/>
      <c r="C9" s="3" t="s">
        <v>176</v>
      </c>
      <c r="D9" s="31" t="s">
        <v>66</v>
      </c>
      <c r="E9" s="31"/>
      <c r="F9" s="31">
        <v>189.6</v>
      </c>
      <c r="G9" s="31"/>
      <c r="H9" s="31"/>
      <c r="I9" s="31"/>
      <c r="J9" s="55">
        <f>'Planilla Remunerac'!H27</f>
        <v>189.60000000000002</v>
      </c>
      <c r="K9" s="56">
        <f t="shared" ref="K9:K26" si="0">SUM(E9:I9)-J9</f>
        <v>0</v>
      </c>
    </row>
    <row r="10" spans="1:11" ht="13.8" x14ac:dyDescent="0.25">
      <c r="A10" s="3"/>
      <c r="B10" s="3"/>
      <c r="C10" s="3" t="s">
        <v>177</v>
      </c>
      <c r="D10" s="31" t="s">
        <v>66</v>
      </c>
      <c r="E10" s="31"/>
      <c r="F10" s="31"/>
      <c r="G10" s="31">
        <v>65</v>
      </c>
      <c r="H10" s="31">
        <v>80</v>
      </c>
      <c r="I10" s="31">
        <v>42.2</v>
      </c>
      <c r="J10" s="55">
        <f>'Planilla Remunerac'!H28</f>
        <v>187.2</v>
      </c>
      <c r="K10" s="56">
        <f t="shared" si="0"/>
        <v>0</v>
      </c>
    </row>
    <row r="11" spans="1:11" ht="13.8" x14ac:dyDescent="0.25">
      <c r="A11" s="3" t="s">
        <v>52</v>
      </c>
      <c r="B11" s="3" t="s">
        <v>92</v>
      </c>
      <c r="C11" s="3" t="s">
        <v>179</v>
      </c>
      <c r="D11" s="31" t="s">
        <v>66</v>
      </c>
      <c r="E11" s="31">
        <v>120</v>
      </c>
      <c r="F11" s="31">
        <v>69.599999999999994</v>
      </c>
      <c r="G11" s="31"/>
      <c r="H11" s="31"/>
      <c r="I11" s="31"/>
      <c r="J11" s="55">
        <f>'Planilla Remunerac'!H30</f>
        <v>189.60000000000002</v>
      </c>
      <c r="K11" s="56">
        <f t="shared" si="0"/>
        <v>0</v>
      </c>
    </row>
    <row r="12" spans="1:11" ht="13.8" x14ac:dyDescent="0.25">
      <c r="A12" s="3"/>
      <c r="B12" s="3"/>
      <c r="C12" s="3" t="s">
        <v>180</v>
      </c>
      <c r="D12" s="31" t="s">
        <v>66</v>
      </c>
      <c r="E12" s="31"/>
      <c r="F12" s="31"/>
      <c r="G12" s="31">
        <v>85</v>
      </c>
      <c r="H12" s="31">
        <v>78</v>
      </c>
      <c r="I12" s="31">
        <v>19.399999999999999</v>
      </c>
      <c r="J12" s="55">
        <f>'Planilla Remunerac'!H31</f>
        <v>182.39999999999998</v>
      </c>
      <c r="K12" s="56">
        <f t="shared" si="0"/>
        <v>0</v>
      </c>
    </row>
    <row r="13" spans="1:11" ht="13.8" x14ac:dyDescent="0.25">
      <c r="A13" s="3" t="s">
        <v>53</v>
      </c>
      <c r="B13" s="3" t="s">
        <v>93</v>
      </c>
      <c r="C13" s="3" t="s">
        <v>182</v>
      </c>
      <c r="D13" s="31" t="s">
        <v>66</v>
      </c>
      <c r="E13" s="31"/>
      <c r="F13" s="31"/>
      <c r="G13" s="31">
        <v>82.4</v>
      </c>
      <c r="H13" s="31">
        <v>100</v>
      </c>
      <c r="I13" s="31"/>
      <c r="J13" s="55">
        <f>'Planilla Remunerac'!H33</f>
        <v>182.39999999999998</v>
      </c>
      <c r="K13" s="56">
        <f t="shared" si="0"/>
        <v>0</v>
      </c>
    </row>
    <row r="14" spans="1:11" ht="13.8" x14ac:dyDescent="0.25">
      <c r="A14" s="3"/>
      <c r="B14" s="3"/>
      <c r="C14" s="3" t="s">
        <v>183</v>
      </c>
      <c r="D14" s="31" t="s">
        <v>66</v>
      </c>
      <c r="E14" s="31"/>
      <c r="F14" s="31"/>
      <c r="G14" s="31"/>
      <c r="H14" s="31">
        <v>90</v>
      </c>
      <c r="I14" s="31">
        <v>90</v>
      </c>
      <c r="J14" s="55">
        <f>'Planilla Remunerac'!H34</f>
        <v>180</v>
      </c>
      <c r="K14" s="56">
        <f t="shared" si="0"/>
        <v>0</v>
      </c>
    </row>
    <row r="15" spans="1:11" ht="13.8" x14ac:dyDescent="0.25">
      <c r="A15" s="3" t="s">
        <v>53</v>
      </c>
      <c r="B15" s="3" t="s">
        <v>94</v>
      </c>
      <c r="C15" s="3" t="s">
        <v>185</v>
      </c>
      <c r="D15" s="31" t="s">
        <v>66</v>
      </c>
      <c r="E15" s="31"/>
      <c r="F15" s="31"/>
      <c r="G15" s="31">
        <v>60</v>
      </c>
      <c r="H15" s="31">
        <v>60</v>
      </c>
      <c r="I15" s="31">
        <v>60</v>
      </c>
      <c r="J15" s="55">
        <f>'Planilla Remunerac'!H36</f>
        <v>180</v>
      </c>
      <c r="K15" s="56">
        <f t="shared" si="0"/>
        <v>0</v>
      </c>
    </row>
    <row r="16" spans="1:11" ht="13.8" x14ac:dyDescent="0.25">
      <c r="A16" s="3" t="s">
        <v>95</v>
      </c>
      <c r="B16" s="3" t="s">
        <v>96</v>
      </c>
      <c r="C16" s="3" t="s">
        <v>187</v>
      </c>
      <c r="D16" s="31" t="s">
        <v>66</v>
      </c>
      <c r="E16" s="31">
        <v>30</v>
      </c>
      <c r="F16" s="31">
        <v>40</v>
      </c>
      <c r="G16" s="31">
        <v>25</v>
      </c>
      <c r="H16" s="31">
        <v>45</v>
      </c>
      <c r="I16" s="31">
        <v>32.799999999999997</v>
      </c>
      <c r="J16" s="55">
        <f>'Planilla Remunerac'!H38</f>
        <v>172.8</v>
      </c>
      <c r="K16" s="56">
        <f t="shared" si="0"/>
        <v>0</v>
      </c>
    </row>
    <row r="17" spans="1:11" ht="13.8" x14ac:dyDescent="0.25">
      <c r="A17" s="3" t="s">
        <v>97</v>
      </c>
      <c r="B17" s="3" t="s">
        <v>98</v>
      </c>
      <c r="C17" s="3" t="s">
        <v>189</v>
      </c>
      <c r="D17" s="31" t="s">
        <v>66</v>
      </c>
      <c r="E17" s="31"/>
      <c r="F17" s="31"/>
      <c r="G17" s="31">
        <v>175.2</v>
      </c>
      <c r="H17" s="31"/>
      <c r="I17" s="31"/>
      <c r="J17" s="55">
        <f>'Planilla Remunerac'!H40</f>
        <v>175.2</v>
      </c>
      <c r="K17" s="56">
        <f t="shared" si="0"/>
        <v>0</v>
      </c>
    </row>
    <row r="18" spans="1:11" ht="13.8" x14ac:dyDescent="0.25">
      <c r="A18" s="3"/>
      <c r="B18" s="3"/>
      <c r="C18" s="3" t="s">
        <v>190</v>
      </c>
      <c r="D18" s="31" t="s">
        <v>66</v>
      </c>
      <c r="E18" s="31"/>
      <c r="F18" s="31"/>
      <c r="G18" s="31"/>
      <c r="H18" s="31">
        <v>177.6</v>
      </c>
      <c r="I18" s="31"/>
      <c r="J18" s="55">
        <f>'Planilla Remunerac'!H41</f>
        <v>177.60000000000002</v>
      </c>
      <c r="K18" s="56">
        <f t="shared" si="0"/>
        <v>0</v>
      </c>
    </row>
    <row r="19" spans="1:11" ht="13.8" x14ac:dyDescent="0.25">
      <c r="A19" s="3"/>
      <c r="B19" s="3"/>
      <c r="C19" s="3" t="s">
        <v>192</v>
      </c>
      <c r="D19" s="31" t="s">
        <v>66</v>
      </c>
      <c r="E19" s="31"/>
      <c r="F19" s="31"/>
      <c r="G19" s="31"/>
      <c r="H19" s="31"/>
      <c r="I19" s="31">
        <v>165.6</v>
      </c>
      <c r="J19" s="55">
        <f>'Planilla Remunerac'!H42</f>
        <v>165.60000000000002</v>
      </c>
      <c r="K19" s="56">
        <f t="shared" si="0"/>
        <v>0</v>
      </c>
    </row>
    <row r="20" spans="1:11" ht="13.8" x14ac:dyDescent="0.25">
      <c r="A20" s="3" t="s">
        <v>99</v>
      </c>
      <c r="B20" s="3" t="s">
        <v>100</v>
      </c>
      <c r="C20" s="3" t="s">
        <v>193</v>
      </c>
      <c r="D20" s="31" t="s">
        <v>66</v>
      </c>
      <c r="E20" s="31"/>
      <c r="F20" s="31">
        <v>170.4</v>
      </c>
      <c r="G20" s="31"/>
      <c r="H20" s="31"/>
      <c r="I20" s="31"/>
      <c r="J20" s="55">
        <f>'Planilla Remunerac'!H44</f>
        <v>170.39999999999998</v>
      </c>
      <c r="K20" s="56">
        <f t="shared" si="0"/>
        <v>0</v>
      </c>
    </row>
    <row r="21" spans="1:11" ht="13.8" x14ac:dyDescent="0.25">
      <c r="A21" s="3"/>
      <c r="B21" s="3"/>
      <c r="C21" s="3" t="s">
        <v>194</v>
      </c>
      <c r="D21" s="31" t="s">
        <v>66</v>
      </c>
      <c r="E21" s="31">
        <v>100</v>
      </c>
      <c r="F21" s="31">
        <v>87.2</v>
      </c>
      <c r="G21" s="31"/>
      <c r="H21" s="31"/>
      <c r="I21" s="31"/>
      <c r="J21" s="55">
        <f>'Planilla Remunerac'!H45</f>
        <v>187.2</v>
      </c>
      <c r="K21" s="56">
        <f t="shared" si="0"/>
        <v>0</v>
      </c>
    </row>
    <row r="22" spans="1:11" ht="13.8" x14ac:dyDescent="0.25">
      <c r="A22" s="3"/>
      <c r="B22" s="3"/>
      <c r="C22" s="3" t="s">
        <v>195</v>
      </c>
      <c r="D22" s="31" t="s">
        <v>66</v>
      </c>
      <c r="E22" s="31">
        <v>63.2</v>
      </c>
      <c r="F22" s="31">
        <v>100</v>
      </c>
      <c r="G22" s="31"/>
      <c r="H22" s="31"/>
      <c r="I22" s="31"/>
      <c r="J22" s="55">
        <f>'Planilla Remunerac'!H46</f>
        <v>163.19999999999999</v>
      </c>
      <c r="K22" s="56">
        <f t="shared" si="0"/>
        <v>0</v>
      </c>
    </row>
    <row r="23" spans="1:11" ht="13.8" x14ac:dyDescent="0.25">
      <c r="A23" s="3" t="s">
        <v>101</v>
      </c>
      <c r="B23" s="3" t="s">
        <v>102</v>
      </c>
      <c r="C23" s="3" t="s">
        <v>197</v>
      </c>
      <c r="D23" s="31" t="s">
        <v>66</v>
      </c>
      <c r="E23" s="31">
        <v>91.2</v>
      </c>
      <c r="F23" s="31">
        <v>91.2</v>
      </c>
      <c r="G23" s="31"/>
      <c r="H23" s="31"/>
      <c r="I23" s="31"/>
      <c r="J23" s="55">
        <f>'Planilla Remunerac'!H48</f>
        <v>182.39999999999998</v>
      </c>
      <c r="K23" s="56">
        <f t="shared" si="0"/>
        <v>0</v>
      </c>
    </row>
    <row r="24" spans="1:11" ht="13.8" x14ac:dyDescent="0.25">
      <c r="A24" s="3"/>
      <c r="B24" s="3"/>
      <c r="C24" s="3" t="s">
        <v>198</v>
      </c>
      <c r="D24" s="31" t="s">
        <v>66</v>
      </c>
      <c r="E24" s="31"/>
      <c r="F24" s="31"/>
      <c r="G24" s="31">
        <v>180</v>
      </c>
      <c r="H24" s="31"/>
      <c r="I24" s="31"/>
      <c r="J24" s="55">
        <f>'Planilla Remunerac'!H49</f>
        <v>180</v>
      </c>
      <c r="K24" s="56">
        <f t="shared" si="0"/>
        <v>0</v>
      </c>
    </row>
    <row r="25" spans="1:11" ht="13.8" x14ac:dyDescent="0.25">
      <c r="A25" s="3"/>
      <c r="B25" s="3"/>
      <c r="C25" s="3" t="s">
        <v>199</v>
      </c>
      <c r="D25" s="31" t="s">
        <v>66</v>
      </c>
      <c r="E25" s="31"/>
      <c r="F25" s="31"/>
      <c r="G25" s="31"/>
      <c r="H25" s="31">
        <v>182.4</v>
      </c>
      <c r="I25" s="31"/>
      <c r="J25" s="55">
        <f>'Planilla Remunerac'!H50</f>
        <v>182.39999999999998</v>
      </c>
      <c r="K25" s="56">
        <f t="shared" si="0"/>
        <v>0</v>
      </c>
    </row>
    <row r="26" spans="1:11" ht="13.8" x14ac:dyDescent="0.25">
      <c r="A26" s="3"/>
      <c r="B26" s="3"/>
      <c r="C26" s="3" t="s">
        <v>245</v>
      </c>
      <c r="D26" s="31" t="s">
        <v>66</v>
      </c>
      <c r="E26" s="31"/>
      <c r="F26" s="31"/>
      <c r="G26" s="31"/>
      <c r="H26" s="31"/>
      <c r="I26" s="31">
        <v>184.8</v>
      </c>
      <c r="J26" s="55">
        <f>'Planilla Remunerac'!H51</f>
        <v>184.8</v>
      </c>
      <c r="K26" s="56">
        <f t="shared" si="0"/>
        <v>0</v>
      </c>
    </row>
    <row r="28" spans="1:11" ht="15.6" x14ac:dyDescent="0.3">
      <c r="A28" s="15" t="s">
        <v>216</v>
      </c>
    </row>
    <row r="29" spans="1:11" x14ac:dyDescent="0.25">
      <c r="A29" s="96" t="s">
        <v>2</v>
      </c>
      <c r="B29" s="96" t="s">
        <v>3</v>
      </c>
      <c r="C29" s="96" t="s">
        <v>149</v>
      </c>
      <c r="D29" s="96" t="s">
        <v>214</v>
      </c>
      <c r="E29" s="35" t="s">
        <v>103</v>
      </c>
      <c r="F29" s="35" t="s">
        <v>61</v>
      </c>
      <c r="G29" s="35" t="s">
        <v>62</v>
      </c>
      <c r="H29" s="35" t="s">
        <v>79</v>
      </c>
      <c r="I29" s="35" t="s">
        <v>80</v>
      </c>
    </row>
    <row r="30" spans="1:11" ht="26.4" x14ac:dyDescent="0.25">
      <c r="A30" s="97"/>
      <c r="B30" s="97"/>
      <c r="C30" s="97"/>
      <c r="D30" s="97"/>
      <c r="E30" s="36" t="s">
        <v>104</v>
      </c>
      <c r="F30" s="36" t="s">
        <v>105</v>
      </c>
      <c r="G30" s="36" t="s">
        <v>106</v>
      </c>
      <c r="H30" s="36" t="s">
        <v>107</v>
      </c>
      <c r="I30" s="36" t="s">
        <v>108</v>
      </c>
    </row>
    <row r="31" spans="1:11" x14ac:dyDescent="0.25">
      <c r="A31" s="97"/>
      <c r="B31" s="97"/>
      <c r="C31" s="97"/>
      <c r="D31" s="97"/>
      <c r="E31" s="35">
        <v>300</v>
      </c>
      <c r="F31" s="35">
        <v>500</v>
      </c>
      <c r="G31" s="35">
        <v>450</v>
      </c>
      <c r="H31" s="35">
        <v>600</v>
      </c>
      <c r="I31" s="35">
        <v>250</v>
      </c>
    </row>
    <row r="32" spans="1:11" x14ac:dyDescent="0.25">
      <c r="A32" s="98"/>
      <c r="B32" s="98"/>
      <c r="C32" s="98"/>
      <c r="D32" s="98"/>
      <c r="E32" s="35" t="s">
        <v>64</v>
      </c>
      <c r="F32" s="35" t="s">
        <v>65</v>
      </c>
      <c r="G32" s="35" t="s">
        <v>64</v>
      </c>
      <c r="H32" s="35" t="s">
        <v>64</v>
      </c>
      <c r="I32" s="35" t="s">
        <v>65</v>
      </c>
    </row>
    <row r="33" spans="1:9" ht="13.8" x14ac:dyDescent="0.25">
      <c r="A33" s="3" t="s">
        <v>51</v>
      </c>
      <c r="B33" s="3" t="s">
        <v>91</v>
      </c>
      <c r="C33" s="3" t="s">
        <v>175</v>
      </c>
      <c r="D33" s="31" t="s">
        <v>66</v>
      </c>
      <c r="E33" s="68"/>
      <c r="F33" s="68"/>
      <c r="G33" s="68"/>
      <c r="H33" s="68"/>
      <c r="I33" s="68"/>
    </row>
    <row r="34" spans="1:9" ht="13.8" x14ac:dyDescent="0.25">
      <c r="A34" s="3"/>
      <c r="B34" s="3"/>
      <c r="C34" s="3" t="s">
        <v>176</v>
      </c>
      <c r="D34" s="31" t="s">
        <v>66</v>
      </c>
      <c r="E34" s="68"/>
      <c r="F34" s="68"/>
      <c r="G34" s="68"/>
      <c r="H34" s="68"/>
      <c r="I34" s="68"/>
    </row>
    <row r="35" spans="1:9" ht="13.8" x14ac:dyDescent="0.25">
      <c r="A35" s="3"/>
      <c r="B35" s="3"/>
      <c r="C35" s="3" t="s">
        <v>177</v>
      </c>
      <c r="D35" s="31" t="s">
        <v>66</v>
      </c>
      <c r="E35" s="68"/>
      <c r="F35" s="68"/>
      <c r="G35" s="68"/>
      <c r="H35" s="68"/>
      <c r="I35" s="68"/>
    </row>
    <row r="36" spans="1:9" ht="13.8" x14ac:dyDescent="0.25">
      <c r="A36" s="3" t="s">
        <v>52</v>
      </c>
      <c r="B36" s="3" t="s">
        <v>92</v>
      </c>
      <c r="C36" s="3" t="s">
        <v>179</v>
      </c>
      <c r="D36" s="31" t="s">
        <v>66</v>
      </c>
      <c r="E36" s="68"/>
      <c r="F36" s="68"/>
      <c r="G36" s="68"/>
      <c r="H36" s="68"/>
      <c r="I36" s="68"/>
    </row>
    <row r="37" spans="1:9" ht="13.8" x14ac:dyDescent="0.25">
      <c r="A37" s="3"/>
      <c r="B37" s="3"/>
      <c r="C37" s="3" t="s">
        <v>180</v>
      </c>
      <c r="D37" s="31" t="s">
        <v>66</v>
      </c>
      <c r="E37" s="68"/>
      <c r="F37" s="68"/>
      <c r="G37" s="68"/>
      <c r="H37" s="68"/>
      <c r="I37" s="68"/>
    </row>
    <row r="38" spans="1:9" ht="13.8" x14ac:dyDescent="0.25">
      <c r="A38" s="3" t="s">
        <v>53</v>
      </c>
      <c r="B38" s="3" t="s">
        <v>93</v>
      </c>
      <c r="C38" s="3" t="s">
        <v>182</v>
      </c>
      <c r="D38" s="31" t="s">
        <v>66</v>
      </c>
      <c r="E38" s="68"/>
      <c r="F38" s="68"/>
      <c r="G38" s="68"/>
      <c r="H38" s="68"/>
      <c r="I38" s="68"/>
    </row>
    <row r="39" spans="1:9" ht="13.8" x14ac:dyDescent="0.25">
      <c r="A39" s="3"/>
      <c r="B39" s="3"/>
      <c r="C39" s="3" t="s">
        <v>183</v>
      </c>
      <c r="D39" s="31" t="s">
        <v>66</v>
      </c>
      <c r="E39" s="68"/>
      <c r="F39" s="68"/>
      <c r="G39" s="68"/>
      <c r="H39" s="68"/>
      <c r="I39" s="68"/>
    </row>
    <row r="40" spans="1:9" ht="13.8" x14ac:dyDescent="0.25">
      <c r="A40" s="3" t="s">
        <v>53</v>
      </c>
      <c r="B40" s="3" t="s">
        <v>94</v>
      </c>
      <c r="C40" s="3" t="s">
        <v>185</v>
      </c>
      <c r="D40" s="31" t="s">
        <v>66</v>
      </c>
      <c r="E40" s="68"/>
      <c r="F40" s="68"/>
      <c r="G40" s="68"/>
      <c r="H40" s="68"/>
      <c r="I40" s="68"/>
    </row>
    <row r="41" spans="1:9" ht="13.8" x14ac:dyDescent="0.25">
      <c r="A41" s="3" t="s">
        <v>95</v>
      </c>
      <c r="B41" s="3" t="s">
        <v>96</v>
      </c>
      <c r="C41" s="3" t="s">
        <v>187</v>
      </c>
      <c r="D41" s="31" t="s">
        <v>66</v>
      </c>
      <c r="E41" s="68"/>
      <c r="F41" s="68"/>
      <c r="G41" s="68"/>
      <c r="H41" s="68"/>
      <c r="I41" s="68"/>
    </row>
    <row r="42" spans="1:9" ht="13.8" x14ac:dyDescent="0.25">
      <c r="A42" s="3" t="s">
        <v>97</v>
      </c>
      <c r="B42" s="3" t="s">
        <v>98</v>
      </c>
      <c r="C42" s="3" t="s">
        <v>189</v>
      </c>
      <c r="D42" s="31" t="s">
        <v>66</v>
      </c>
      <c r="E42" s="68"/>
      <c r="F42" s="68"/>
      <c r="G42" s="68"/>
      <c r="H42" s="68"/>
      <c r="I42" s="68"/>
    </row>
    <row r="43" spans="1:9" ht="13.8" x14ac:dyDescent="0.25">
      <c r="A43" s="3"/>
      <c r="B43" s="3"/>
      <c r="C43" s="3" t="s">
        <v>190</v>
      </c>
      <c r="D43" s="31" t="s">
        <v>66</v>
      </c>
      <c r="E43" s="68"/>
      <c r="F43" s="68"/>
      <c r="G43" s="68"/>
      <c r="H43" s="68"/>
      <c r="I43" s="68"/>
    </row>
    <row r="44" spans="1:9" ht="13.8" x14ac:dyDescent="0.25">
      <c r="A44" s="3"/>
      <c r="B44" s="3"/>
      <c r="C44" s="3" t="s">
        <v>192</v>
      </c>
      <c r="D44" s="31" t="s">
        <v>66</v>
      </c>
      <c r="E44" s="68"/>
      <c r="F44" s="68"/>
      <c r="G44" s="68"/>
      <c r="H44" s="68"/>
      <c r="I44" s="68"/>
    </row>
    <row r="45" spans="1:9" ht="13.8" x14ac:dyDescent="0.25">
      <c r="A45" s="3" t="s">
        <v>99</v>
      </c>
      <c r="B45" s="3" t="s">
        <v>100</v>
      </c>
      <c r="C45" s="3" t="s">
        <v>193</v>
      </c>
      <c r="D45" s="31" t="s">
        <v>66</v>
      </c>
      <c r="E45" s="68"/>
      <c r="F45" s="68"/>
      <c r="G45" s="68"/>
      <c r="H45" s="68"/>
      <c r="I45" s="68"/>
    </row>
    <row r="46" spans="1:9" ht="13.8" x14ac:dyDescent="0.25">
      <c r="A46" s="3"/>
      <c r="B46" s="3"/>
      <c r="C46" s="3" t="s">
        <v>194</v>
      </c>
      <c r="D46" s="31" t="s">
        <v>66</v>
      </c>
      <c r="E46" s="68"/>
      <c r="F46" s="68"/>
      <c r="G46" s="68"/>
      <c r="H46" s="68"/>
      <c r="I46" s="68"/>
    </row>
    <row r="47" spans="1:9" ht="13.8" x14ac:dyDescent="0.25">
      <c r="A47" s="3"/>
      <c r="B47" s="3"/>
      <c r="C47" s="3" t="s">
        <v>195</v>
      </c>
      <c r="D47" s="31" t="s">
        <v>66</v>
      </c>
      <c r="E47" s="68"/>
      <c r="F47" s="68"/>
      <c r="G47" s="68"/>
      <c r="H47" s="68"/>
      <c r="I47" s="68"/>
    </row>
    <row r="48" spans="1:9" ht="13.8" x14ac:dyDescent="0.25">
      <c r="A48" s="3" t="s">
        <v>101</v>
      </c>
      <c r="B48" s="3" t="s">
        <v>102</v>
      </c>
      <c r="C48" s="3" t="s">
        <v>197</v>
      </c>
      <c r="D48" s="31" t="s">
        <v>66</v>
      </c>
      <c r="E48" s="68"/>
      <c r="F48" s="68"/>
      <c r="G48" s="68"/>
      <c r="H48" s="68"/>
      <c r="I48" s="68"/>
    </row>
    <row r="49" spans="1:9" ht="13.8" x14ac:dyDescent="0.25">
      <c r="A49" s="3"/>
      <c r="B49" s="3"/>
      <c r="C49" s="3" t="s">
        <v>198</v>
      </c>
      <c r="D49" s="31" t="s">
        <v>66</v>
      </c>
      <c r="E49" s="68"/>
      <c r="F49" s="68"/>
      <c r="G49" s="68"/>
      <c r="H49" s="68"/>
      <c r="I49" s="68"/>
    </row>
    <row r="50" spans="1:9" ht="13.8" x14ac:dyDescent="0.25">
      <c r="A50" s="3"/>
      <c r="B50" s="3"/>
      <c r="C50" s="3" t="s">
        <v>199</v>
      </c>
      <c r="D50" s="31" t="s">
        <v>66</v>
      </c>
      <c r="E50" s="68"/>
      <c r="F50" s="68"/>
      <c r="G50" s="68"/>
      <c r="H50" s="68"/>
      <c r="I50" s="68"/>
    </row>
    <row r="51" spans="1:9" ht="13.8" x14ac:dyDescent="0.25">
      <c r="A51" s="3"/>
      <c r="B51" s="3"/>
      <c r="C51" s="3" t="s">
        <v>245</v>
      </c>
      <c r="D51" s="31" t="s">
        <v>66</v>
      </c>
      <c r="E51" s="68"/>
      <c r="F51" s="68"/>
      <c r="G51" s="68"/>
      <c r="H51" s="68"/>
      <c r="I51" s="68"/>
    </row>
    <row r="52" spans="1:9" ht="15.6" x14ac:dyDescent="0.3">
      <c r="B52" s="93" t="s">
        <v>294</v>
      </c>
      <c r="C52" s="94"/>
      <c r="D52" s="95"/>
      <c r="E52" s="24"/>
      <c r="F52" s="24"/>
      <c r="G52" s="24"/>
      <c r="H52" s="24"/>
      <c r="I52" s="24"/>
    </row>
    <row r="53" spans="1:9" ht="15" x14ac:dyDescent="0.25">
      <c r="E53" s="78" t="s">
        <v>64</v>
      </c>
      <c r="F53" s="78" t="s">
        <v>65</v>
      </c>
      <c r="G53" s="78" t="s">
        <v>64</v>
      </c>
      <c r="H53" s="78" t="s">
        <v>64</v>
      </c>
      <c r="I53" s="78" t="s">
        <v>65</v>
      </c>
    </row>
    <row r="54" spans="1:9" ht="15" x14ac:dyDescent="0.25">
      <c r="E54" s="78"/>
      <c r="F54" s="78"/>
      <c r="G54" s="78"/>
      <c r="H54" s="78"/>
      <c r="I54" s="78"/>
    </row>
    <row r="55" spans="1:9" x14ac:dyDescent="0.25">
      <c r="E55" s="19" t="s">
        <v>248</v>
      </c>
      <c r="F55" s="19"/>
      <c r="G55" s="57">
        <f>F52+I52</f>
        <v>0</v>
      </c>
      <c r="H55" s="57"/>
    </row>
    <row r="56" spans="1:9" x14ac:dyDescent="0.25">
      <c r="E56" s="19" t="s">
        <v>249</v>
      </c>
      <c r="F56" s="19"/>
      <c r="G56" s="57">
        <f>E52+G52+H52</f>
        <v>0</v>
      </c>
      <c r="H56" s="57"/>
    </row>
  </sheetData>
  <mergeCells count="9">
    <mergeCell ref="A4:A7"/>
    <mergeCell ref="B4:B7"/>
    <mergeCell ref="C4:C7"/>
    <mergeCell ref="D4:D7"/>
    <mergeCell ref="B52:D52"/>
    <mergeCell ref="A29:A32"/>
    <mergeCell ref="B29:B32"/>
    <mergeCell ref="C29:C32"/>
    <mergeCell ref="D29:D32"/>
  </mergeCells>
  <pageMargins left="0.75" right="0.75" top="1" bottom="1" header="0" footer="0"/>
  <pageSetup paperSize="9" orientation="portrait" horizontalDpi="180" verticalDpi="18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5:D25"/>
  <sheetViews>
    <sheetView topLeftCell="A4" workbookViewId="0">
      <selection activeCell="E25" sqref="E25"/>
    </sheetView>
  </sheetViews>
  <sheetFormatPr baseColWidth="10" defaultColWidth="11" defaultRowHeight="13.8" x14ac:dyDescent="0.25"/>
  <cols>
    <col min="1" max="16384" width="11" style="21"/>
  </cols>
  <sheetData>
    <row r="25" spans="3:4" ht="24.6" x14ac:dyDescent="0.4">
      <c r="C25" s="58" t="s">
        <v>250</v>
      </c>
      <c r="D25" s="1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63"/>
  <sheetViews>
    <sheetView zoomScaleNormal="100" workbookViewId="0">
      <selection activeCell="F63" sqref="F63:W63"/>
    </sheetView>
  </sheetViews>
  <sheetFormatPr baseColWidth="10" defaultRowHeight="13.8" x14ac:dyDescent="0.25"/>
  <cols>
    <col min="1" max="1" width="6.59765625" customWidth="1"/>
    <col min="2" max="2" width="16.69921875" customWidth="1"/>
    <col min="3" max="3" width="9.59765625" bestFit="1" customWidth="1"/>
    <col min="4" max="4" width="8.5" bestFit="1" customWidth="1"/>
    <col min="5" max="5" width="8.8984375" customWidth="1"/>
    <col min="6" max="6" width="9.09765625" customWidth="1"/>
    <col min="7" max="7" width="8.69921875" customWidth="1"/>
    <col min="8" max="8" width="10.69921875" customWidth="1"/>
    <col min="9" max="9" width="9.09765625" customWidth="1"/>
    <col min="10" max="10" width="8.8984375" customWidth="1"/>
    <col min="11" max="11" width="9.69921875" customWidth="1"/>
    <col min="12" max="12" width="10.19921875" customWidth="1"/>
    <col min="13" max="13" width="9" customWidth="1"/>
    <col min="14" max="14" width="9.8984375" customWidth="1"/>
    <col min="15" max="15" width="9.19921875" customWidth="1"/>
    <col min="16" max="16" width="8.69921875" bestFit="1" customWidth="1"/>
    <col min="17" max="17" width="8.8984375" customWidth="1"/>
    <col min="18" max="19" width="9.19921875" customWidth="1"/>
    <col min="20" max="20" width="11.5" customWidth="1"/>
    <col min="21" max="21" width="10" customWidth="1"/>
    <col min="22" max="22" width="10.59765625" customWidth="1"/>
    <col min="24" max="24" width="5.59765625" customWidth="1"/>
  </cols>
  <sheetData>
    <row r="1" spans="1:19" ht="17.399999999999999" x14ac:dyDescent="0.3">
      <c r="A1" s="2" t="s">
        <v>217</v>
      </c>
    </row>
    <row r="3" spans="1:19" x14ac:dyDescent="0.25">
      <c r="A3" s="1" t="s">
        <v>34</v>
      </c>
    </row>
    <row r="4" spans="1:19" x14ac:dyDescent="0.25">
      <c r="A4" t="s">
        <v>69</v>
      </c>
    </row>
    <row r="5" spans="1:19" x14ac:dyDescent="0.25">
      <c r="A5" t="s">
        <v>70</v>
      </c>
    </row>
    <row r="6" spans="1:19" x14ac:dyDescent="0.25">
      <c r="A6" t="s">
        <v>71</v>
      </c>
    </row>
    <row r="7" spans="1:19" x14ac:dyDescent="0.25">
      <c r="A7" t="s">
        <v>72</v>
      </c>
    </row>
    <row r="8" spans="1:19" x14ac:dyDescent="0.25">
      <c r="A8" t="s">
        <v>251</v>
      </c>
    </row>
    <row r="10" spans="1:19" x14ac:dyDescent="0.25">
      <c r="A10" s="1" t="s">
        <v>73</v>
      </c>
    </row>
    <row r="11" spans="1:19" x14ac:dyDescent="0.25">
      <c r="A11" s="1"/>
      <c r="C11" s="28" t="s">
        <v>47</v>
      </c>
      <c r="D11" s="28" t="s">
        <v>48</v>
      </c>
      <c r="E11" s="40" t="s">
        <v>49</v>
      </c>
      <c r="F11" s="40" t="s">
        <v>50</v>
      </c>
      <c r="G11" s="40" t="s">
        <v>89</v>
      </c>
      <c r="H11" s="44" t="s">
        <v>47</v>
      </c>
      <c r="I11" s="44" t="s">
        <v>48</v>
      </c>
      <c r="J11" s="44" t="s">
        <v>48</v>
      </c>
      <c r="K11" s="44" t="s">
        <v>87</v>
      </c>
      <c r="L11" s="41" t="s">
        <v>51</v>
      </c>
      <c r="M11" s="41" t="s">
        <v>52</v>
      </c>
      <c r="N11" s="41" t="s">
        <v>53</v>
      </c>
      <c r="O11" s="41" t="s">
        <v>53</v>
      </c>
      <c r="P11" s="41" t="s">
        <v>95</v>
      </c>
      <c r="Q11" s="41" t="s">
        <v>97</v>
      </c>
      <c r="R11" s="41" t="s">
        <v>99</v>
      </c>
      <c r="S11" s="41" t="s">
        <v>101</v>
      </c>
    </row>
    <row r="12" spans="1:19" ht="55.2" x14ac:dyDescent="0.25">
      <c r="A12" s="37" t="s">
        <v>2</v>
      </c>
      <c r="B12" s="37" t="s">
        <v>3</v>
      </c>
      <c r="C12" s="46" t="s">
        <v>54</v>
      </c>
      <c r="D12" s="46" t="s">
        <v>55</v>
      </c>
      <c r="E12" s="46" t="s">
        <v>56</v>
      </c>
      <c r="F12" s="46" t="s">
        <v>57</v>
      </c>
      <c r="G12" s="46" t="s">
        <v>90</v>
      </c>
      <c r="H12" s="46" t="s">
        <v>58</v>
      </c>
      <c r="I12" s="46" t="s">
        <v>88</v>
      </c>
      <c r="J12" s="46" t="s">
        <v>59</v>
      </c>
      <c r="K12" s="46" t="s">
        <v>23</v>
      </c>
      <c r="L12" s="46" t="s">
        <v>91</v>
      </c>
      <c r="M12" s="46" t="s">
        <v>92</v>
      </c>
      <c r="N12" s="46" t="s">
        <v>93</v>
      </c>
      <c r="O12" s="46" t="s">
        <v>94</v>
      </c>
      <c r="P12" s="46" t="s">
        <v>96</v>
      </c>
      <c r="Q12" s="46" t="s">
        <v>98</v>
      </c>
      <c r="R12" s="46" t="s">
        <v>100</v>
      </c>
      <c r="S12" s="46" t="s">
        <v>102</v>
      </c>
    </row>
    <row r="13" spans="1:19" x14ac:dyDescent="0.25">
      <c r="A13" s="26" t="s">
        <v>7</v>
      </c>
      <c r="B13" s="39" t="str">
        <f>Maestros!B8</f>
        <v>Mano Obra Indirecta</v>
      </c>
      <c r="C13" s="5"/>
      <c r="D13" s="5"/>
      <c r="E13" s="5"/>
      <c r="F13" s="5"/>
      <c r="G13" s="5"/>
      <c r="H13" s="5" t="s">
        <v>252</v>
      </c>
      <c r="I13" s="5" t="s">
        <v>252</v>
      </c>
      <c r="J13" s="5" t="s">
        <v>252</v>
      </c>
      <c r="K13" s="5" t="s">
        <v>252</v>
      </c>
      <c r="L13" s="5" t="s">
        <v>252</v>
      </c>
      <c r="M13" s="5" t="s">
        <v>252</v>
      </c>
      <c r="N13" s="5" t="s">
        <v>252</v>
      </c>
      <c r="O13" s="5" t="s">
        <v>252</v>
      </c>
      <c r="P13" s="5" t="s">
        <v>252</v>
      </c>
      <c r="Q13" s="5" t="s">
        <v>252</v>
      </c>
      <c r="R13" s="5" t="s">
        <v>252</v>
      </c>
      <c r="S13" s="5" t="s">
        <v>252</v>
      </c>
    </row>
    <row r="14" spans="1:19" x14ac:dyDescent="0.25">
      <c r="A14" s="26" t="s">
        <v>8</v>
      </c>
      <c r="B14" s="39" t="str">
        <f>Maestros!B9</f>
        <v>Materiales indirectos</v>
      </c>
      <c r="C14" s="5"/>
      <c r="D14" s="5"/>
      <c r="E14" s="5"/>
      <c r="F14" s="5"/>
      <c r="G14" s="5"/>
      <c r="H14" s="5"/>
      <c r="I14" s="5"/>
      <c r="J14" s="5"/>
      <c r="K14" s="5"/>
      <c r="L14" s="5" t="s">
        <v>252</v>
      </c>
      <c r="M14" s="5" t="s">
        <v>252</v>
      </c>
      <c r="N14" s="5" t="s">
        <v>252</v>
      </c>
      <c r="O14" s="5" t="s">
        <v>252</v>
      </c>
      <c r="P14" s="5" t="s">
        <v>252</v>
      </c>
      <c r="Q14" s="5" t="s">
        <v>252</v>
      </c>
      <c r="R14" s="5" t="s">
        <v>252</v>
      </c>
      <c r="S14" s="5" t="s">
        <v>252</v>
      </c>
    </row>
    <row r="15" spans="1:19" x14ac:dyDescent="0.25">
      <c r="A15" s="26" t="s">
        <v>9</v>
      </c>
      <c r="B15" s="39" t="str">
        <f>Maestros!B10</f>
        <v>Energía eléctrica</v>
      </c>
      <c r="C15" s="5" t="s">
        <v>252</v>
      </c>
      <c r="D15" s="5" t="s">
        <v>252</v>
      </c>
      <c r="E15" s="5" t="s">
        <v>252</v>
      </c>
      <c r="F15" s="5" t="s">
        <v>252</v>
      </c>
      <c r="G15" s="5" t="s">
        <v>252</v>
      </c>
      <c r="H15" s="5" t="s">
        <v>252</v>
      </c>
      <c r="I15" s="5" t="s">
        <v>252</v>
      </c>
      <c r="J15" s="5" t="s">
        <v>252</v>
      </c>
      <c r="K15" s="5" t="s">
        <v>252</v>
      </c>
      <c r="L15" s="5" t="s">
        <v>252</v>
      </c>
      <c r="M15" s="5" t="s">
        <v>252</v>
      </c>
      <c r="N15" s="5" t="s">
        <v>252</v>
      </c>
      <c r="O15" s="5" t="s">
        <v>252</v>
      </c>
      <c r="P15" s="5" t="s">
        <v>252</v>
      </c>
      <c r="Q15" s="5" t="s">
        <v>252</v>
      </c>
      <c r="R15" s="5" t="s">
        <v>252</v>
      </c>
      <c r="S15" s="5" t="s">
        <v>252</v>
      </c>
    </row>
    <row r="16" spans="1:19" x14ac:dyDescent="0.25">
      <c r="A16" s="26" t="s">
        <v>10</v>
      </c>
      <c r="B16" s="39" t="str">
        <f>Maestros!B11</f>
        <v>Agua</v>
      </c>
      <c r="C16" s="5" t="s">
        <v>252</v>
      </c>
      <c r="D16" s="5" t="s">
        <v>252</v>
      </c>
      <c r="E16" s="5" t="s">
        <v>252</v>
      </c>
      <c r="F16" s="5" t="s">
        <v>252</v>
      </c>
      <c r="G16" s="5" t="s">
        <v>252</v>
      </c>
      <c r="H16" s="5" t="s">
        <v>252</v>
      </c>
      <c r="I16" s="5" t="s">
        <v>252</v>
      </c>
      <c r="J16" s="5" t="s">
        <v>252</v>
      </c>
      <c r="K16" s="5" t="s">
        <v>252</v>
      </c>
      <c r="L16" s="5" t="s">
        <v>252</v>
      </c>
      <c r="M16" s="5" t="s">
        <v>252</v>
      </c>
      <c r="N16" s="5" t="s">
        <v>252</v>
      </c>
      <c r="O16" s="5" t="s">
        <v>252</v>
      </c>
      <c r="P16" s="5" t="s">
        <v>252</v>
      </c>
      <c r="Q16" s="5" t="s">
        <v>252</v>
      </c>
      <c r="R16" s="5" t="s">
        <v>252</v>
      </c>
      <c r="S16" s="5" t="s">
        <v>252</v>
      </c>
    </row>
    <row r="17" spans="1:19" x14ac:dyDescent="0.25">
      <c r="A17" s="26" t="s">
        <v>11</v>
      </c>
      <c r="B17" s="39" t="str">
        <f>Maestros!B12</f>
        <v>Teléfono</v>
      </c>
      <c r="C17" s="5" t="s">
        <v>252</v>
      </c>
      <c r="D17" s="5" t="s">
        <v>252</v>
      </c>
      <c r="E17" s="5" t="s">
        <v>252</v>
      </c>
      <c r="F17" s="5" t="s">
        <v>252</v>
      </c>
      <c r="G17" s="5" t="s">
        <v>252</v>
      </c>
      <c r="H17" s="5" t="s">
        <v>252</v>
      </c>
      <c r="I17" s="5" t="s">
        <v>252</v>
      </c>
      <c r="J17" s="5" t="s">
        <v>252</v>
      </c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25">
      <c r="A18" s="26" t="s">
        <v>12</v>
      </c>
      <c r="B18" s="39" t="str">
        <f>Maestros!B13</f>
        <v>Internet</v>
      </c>
      <c r="C18" s="5" t="s">
        <v>252</v>
      </c>
      <c r="D18" s="5" t="s">
        <v>252</v>
      </c>
      <c r="E18" s="5" t="s">
        <v>252</v>
      </c>
      <c r="F18" s="5" t="s">
        <v>252</v>
      </c>
      <c r="G18" s="5"/>
      <c r="H18" s="5" t="s">
        <v>252</v>
      </c>
      <c r="I18" s="5" t="s">
        <v>252</v>
      </c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25">
      <c r="A19" s="26" t="s">
        <v>13</v>
      </c>
      <c r="B19" s="39" t="str">
        <f>Maestros!B14</f>
        <v>Mantenimiento</v>
      </c>
      <c r="C19" s="5"/>
      <c r="D19" s="5"/>
      <c r="E19" s="5"/>
      <c r="F19" s="5"/>
      <c r="G19" s="5"/>
      <c r="H19" s="5"/>
      <c r="I19" s="5"/>
      <c r="J19" s="5"/>
      <c r="K19" s="5" t="s">
        <v>252</v>
      </c>
      <c r="L19" s="5" t="s">
        <v>252</v>
      </c>
      <c r="M19" s="5" t="s">
        <v>252</v>
      </c>
      <c r="N19" s="5" t="s">
        <v>252</v>
      </c>
      <c r="O19" s="5" t="s">
        <v>252</v>
      </c>
      <c r="P19" s="5" t="s">
        <v>252</v>
      </c>
      <c r="Q19" s="5" t="s">
        <v>252</v>
      </c>
      <c r="R19" s="5" t="s">
        <v>252</v>
      </c>
      <c r="S19" s="5" t="s">
        <v>252</v>
      </c>
    </row>
    <row r="20" spans="1:19" x14ac:dyDescent="0.25">
      <c r="A20" s="26" t="s">
        <v>14</v>
      </c>
      <c r="B20" s="39" t="str">
        <f>Maestros!B15</f>
        <v>Seguros</v>
      </c>
      <c r="C20" s="5"/>
      <c r="D20" s="5"/>
      <c r="E20" s="5"/>
      <c r="F20" s="5"/>
      <c r="G20" s="5" t="s">
        <v>252</v>
      </c>
      <c r="H20" s="5"/>
      <c r="I20" s="5"/>
      <c r="J20" s="5" t="s">
        <v>252</v>
      </c>
      <c r="K20" s="5"/>
      <c r="L20" s="5" t="s">
        <v>252</v>
      </c>
      <c r="M20" s="5" t="s">
        <v>252</v>
      </c>
      <c r="N20" s="5" t="s">
        <v>252</v>
      </c>
      <c r="O20" s="5" t="s">
        <v>252</v>
      </c>
      <c r="P20" s="5" t="s">
        <v>252</v>
      </c>
      <c r="Q20" s="5" t="s">
        <v>252</v>
      </c>
      <c r="R20" s="5" t="s">
        <v>252</v>
      </c>
      <c r="S20" s="5" t="s">
        <v>252</v>
      </c>
    </row>
    <row r="21" spans="1:19" x14ac:dyDescent="0.25">
      <c r="A21" s="26" t="s">
        <v>15</v>
      </c>
      <c r="B21" s="39" t="str">
        <f>Maestros!B16</f>
        <v>Alquileres</v>
      </c>
      <c r="C21" s="5"/>
      <c r="D21" s="5"/>
      <c r="E21" s="5"/>
      <c r="F21" s="5"/>
      <c r="G21" s="5" t="s">
        <v>252</v>
      </c>
      <c r="H21" s="5" t="s">
        <v>252</v>
      </c>
      <c r="I21" s="5" t="s">
        <v>252</v>
      </c>
      <c r="J21" s="5" t="s">
        <v>252</v>
      </c>
      <c r="K21" s="5" t="s">
        <v>252</v>
      </c>
      <c r="L21" s="5" t="s">
        <v>252</v>
      </c>
      <c r="M21" s="5" t="s">
        <v>252</v>
      </c>
      <c r="N21" s="5" t="s">
        <v>252</v>
      </c>
      <c r="O21" s="5" t="s">
        <v>252</v>
      </c>
      <c r="P21" s="5" t="s">
        <v>252</v>
      </c>
      <c r="Q21" s="5" t="s">
        <v>252</v>
      </c>
      <c r="R21" s="5" t="s">
        <v>252</v>
      </c>
      <c r="S21" s="5" t="s">
        <v>252</v>
      </c>
    </row>
    <row r="22" spans="1:19" x14ac:dyDescent="0.25">
      <c r="A22" s="26" t="s">
        <v>16</v>
      </c>
      <c r="B22" s="39" t="str">
        <f>Maestros!B17</f>
        <v>Impuestos prediales</v>
      </c>
      <c r="C22" s="5" t="s">
        <v>252</v>
      </c>
      <c r="D22" s="5" t="s">
        <v>252</v>
      </c>
      <c r="E22" s="5" t="s">
        <v>252</v>
      </c>
      <c r="F22" s="5" t="s">
        <v>252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4" spans="1:19" x14ac:dyDescent="0.25">
      <c r="A24" s="1" t="s">
        <v>74</v>
      </c>
    </row>
    <row r="25" spans="1:19" x14ac:dyDescent="0.25">
      <c r="A25" s="37" t="s">
        <v>2</v>
      </c>
      <c r="B25" s="37" t="s">
        <v>3</v>
      </c>
      <c r="C25" s="101" t="s">
        <v>3</v>
      </c>
      <c r="D25" s="101"/>
      <c r="E25" s="101"/>
    </row>
    <row r="26" spans="1:19" x14ac:dyDescent="0.25">
      <c r="A26" s="26" t="s">
        <v>7</v>
      </c>
      <c r="B26" s="45" t="str">
        <f>B13</f>
        <v>Mano Obra Indirecta</v>
      </c>
      <c r="C26" s="102" t="s">
        <v>253</v>
      </c>
      <c r="D26" s="102"/>
      <c r="E26" s="102"/>
    </row>
    <row r="27" spans="1:19" x14ac:dyDescent="0.25">
      <c r="A27" s="26" t="s">
        <v>8</v>
      </c>
      <c r="B27" s="45" t="str">
        <f t="shared" ref="B27:B35" si="0">B14</f>
        <v>Materiales indirectos</v>
      </c>
      <c r="C27" s="102" t="s">
        <v>254</v>
      </c>
      <c r="D27" s="102"/>
      <c r="E27" s="102"/>
    </row>
    <row r="28" spans="1:19" x14ac:dyDescent="0.25">
      <c r="A28" s="26" t="s">
        <v>9</v>
      </c>
      <c r="B28" s="45" t="str">
        <f t="shared" si="0"/>
        <v>Energía eléctrica</v>
      </c>
      <c r="C28" s="102" t="s">
        <v>255</v>
      </c>
      <c r="D28" s="102"/>
      <c r="E28" s="102"/>
    </row>
    <row r="29" spans="1:19" x14ac:dyDescent="0.25">
      <c r="A29" s="26" t="s">
        <v>10</v>
      </c>
      <c r="B29" s="45" t="str">
        <f t="shared" si="0"/>
        <v>Agua</v>
      </c>
      <c r="C29" s="102" t="s">
        <v>256</v>
      </c>
      <c r="D29" s="102"/>
      <c r="E29" s="102"/>
    </row>
    <row r="30" spans="1:19" x14ac:dyDescent="0.25">
      <c r="A30" s="26" t="s">
        <v>11</v>
      </c>
      <c r="B30" s="45" t="str">
        <f t="shared" si="0"/>
        <v>Teléfono</v>
      </c>
      <c r="C30" s="102" t="s">
        <v>257</v>
      </c>
      <c r="D30" s="102"/>
      <c r="E30" s="102"/>
    </row>
    <row r="31" spans="1:19" x14ac:dyDescent="0.25">
      <c r="A31" s="26" t="s">
        <v>12</v>
      </c>
      <c r="B31" s="45" t="str">
        <f t="shared" si="0"/>
        <v>Internet</v>
      </c>
      <c r="C31" s="102" t="s">
        <v>258</v>
      </c>
      <c r="D31" s="102"/>
      <c r="E31" s="102"/>
    </row>
    <row r="32" spans="1:19" x14ac:dyDescent="0.25">
      <c r="A32" s="26" t="s">
        <v>13</v>
      </c>
      <c r="B32" s="45" t="str">
        <f t="shared" si="0"/>
        <v>Mantenimiento</v>
      </c>
      <c r="C32" s="102" t="s">
        <v>254</v>
      </c>
      <c r="D32" s="102"/>
      <c r="E32" s="102"/>
    </row>
    <row r="33" spans="1:23" x14ac:dyDescent="0.25">
      <c r="A33" s="26" t="s">
        <v>14</v>
      </c>
      <c r="B33" s="45" t="str">
        <f t="shared" si="0"/>
        <v>Seguros</v>
      </c>
      <c r="C33" s="102" t="s">
        <v>259</v>
      </c>
      <c r="D33" s="102"/>
      <c r="E33" s="102"/>
    </row>
    <row r="34" spans="1:23" x14ac:dyDescent="0.25">
      <c r="A34" s="26" t="s">
        <v>15</v>
      </c>
      <c r="B34" s="45" t="str">
        <f t="shared" si="0"/>
        <v>Alquileres</v>
      </c>
      <c r="C34" s="102" t="s">
        <v>260</v>
      </c>
      <c r="D34" s="102"/>
      <c r="E34" s="102"/>
    </row>
    <row r="35" spans="1:23" x14ac:dyDescent="0.25">
      <c r="A35" s="26" t="s">
        <v>16</v>
      </c>
      <c r="B35" s="45" t="str">
        <f t="shared" si="0"/>
        <v>Impuestos prediales</v>
      </c>
      <c r="C35" s="102" t="s">
        <v>260</v>
      </c>
      <c r="D35" s="102"/>
      <c r="E35" s="102"/>
    </row>
    <row r="37" spans="1:23" x14ac:dyDescent="0.25">
      <c r="A37" s="1" t="s">
        <v>75</v>
      </c>
      <c r="F37" s="28" t="s">
        <v>47</v>
      </c>
      <c r="G37" s="28" t="s">
        <v>48</v>
      </c>
      <c r="H37" s="40" t="s">
        <v>49</v>
      </c>
      <c r="I37" s="40" t="s">
        <v>50</v>
      </c>
      <c r="J37" s="40" t="s">
        <v>89</v>
      </c>
      <c r="K37" s="44" t="s">
        <v>47</v>
      </c>
      <c r="L37" s="44" t="s">
        <v>48</v>
      </c>
      <c r="M37" s="44" t="s">
        <v>48</v>
      </c>
      <c r="N37" s="44" t="s">
        <v>87</v>
      </c>
      <c r="O37" s="41" t="s">
        <v>51</v>
      </c>
      <c r="P37" s="41" t="s">
        <v>52</v>
      </c>
      <c r="Q37" s="41" t="s">
        <v>53</v>
      </c>
      <c r="R37" s="41" t="s">
        <v>53</v>
      </c>
      <c r="S37" s="41" t="s">
        <v>95</v>
      </c>
      <c r="T37" s="41" t="s">
        <v>97</v>
      </c>
      <c r="U37" s="41" t="s">
        <v>99</v>
      </c>
      <c r="V37" s="41" t="s">
        <v>101</v>
      </c>
      <c r="W37" s="99" t="s">
        <v>35</v>
      </c>
    </row>
    <row r="38" spans="1:23" ht="41.4" x14ac:dyDescent="0.25">
      <c r="A38" s="37" t="s">
        <v>2</v>
      </c>
      <c r="B38" s="37" t="s">
        <v>3</v>
      </c>
      <c r="C38" s="101" t="s">
        <v>3</v>
      </c>
      <c r="D38" s="101"/>
      <c r="E38" s="101"/>
      <c r="F38" s="46" t="s">
        <v>54</v>
      </c>
      <c r="G38" s="46" t="s">
        <v>55</v>
      </c>
      <c r="H38" s="46" t="s">
        <v>56</v>
      </c>
      <c r="I38" s="46" t="s">
        <v>57</v>
      </c>
      <c r="J38" s="46" t="s">
        <v>90</v>
      </c>
      <c r="K38" s="46" t="s">
        <v>58</v>
      </c>
      <c r="L38" s="46" t="s">
        <v>88</v>
      </c>
      <c r="M38" s="46" t="s">
        <v>59</v>
      </c>
      <c r="N38" s="46" t="s">
        <v>23</v>
      </c>
      <c r="O38" s="46" t="s">
        <v>91</v>
      </c>
      <c r="P38" s="46" t="s">
        <v>92</v>
      </c>
      <c r="Q38" s="46" t="s">
        <v>93</v>
      </c>
      <c r="R38" s="46" t="s">
        <v>94</v>
      </c>
      <c r="S38" s="46" t="s">
        <v>96</v>
      </c>
      <c r="T38" s="46" t="s">
        <v>98</v>
      </c>
      <c r="U38" s="46" t="s">
        <v>100</v>
      </c>
      <c r="V38" s="46" t="s">
        <v>102</v>
      </c>
      <c r="W38" s="100"/>
    </row>
    <row r="39" spans="1:23" x14ac:dyDescent="0.25">
      <c r="A39" s="26" t="s">
        <v>7</v>
      </c>
      <c r="B39" s="39" t="str">
        <f>B26</f>
        <v>Mano Obra Indirecta</v>
      </c>
      <c r="C39" s="102" t="str">
        <f>C26</f>
        <v>No personas indirectas</v>
      </c>
      <c r="D39" s="102"/>
      <c r="E39" s="102"/>
      <c r="F39" s="5"/>
      <c r="G39" s="5"/>
      <c r="H39" s="5"/>
      <c r="I39" s="5"/>
      <c r="J39" s="5"/>
      <c r="K39" s="5">
        <v>3</v>
      </c>
      <c r="L39" s="5">
        <v>4</v>
      </c>
      <c r="M39" s="5">
        <v>6</v>
      </c>
      <c r="N39" s="5">
        <v>5</v>
      </c>
      <c r="O39" s="5">
        <v>1</v>
      </c>
      <c r="P39" s="5">
        <v>2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43">
        <f>SUM(F39:V39)</f>
        <v>27</v>
      </c>
    </row>
    <row r="40" spans="1:23" x14ac:dyDescent="0.25">
      <c r="A40" s="26" t="s">
        <v>8</v>
      </c>
      <c r="B40" s="39" t="str">
        <f t="shared" ref="B40:C48" si="1">B27</f>
        <v>Materiales indirectos</v>
      </c>
      <c r="C40" s="102" t="str">
        <f t="shared" si="1"/>
        <v>% Asignación</v>
      </c>
      <c r="D40" s="102"/>
      <c r="E40" s="102"/>
      <c r="F40" s="5"/>
      <c r="G40" s="5"/>
      <c r="H40" s="5"/>
      <c r="I40" s="5"/>
      <c r="J40" s="5"/>
      <c r="K40" s="5"/>
      <c r="L40" s="5"/>
      <c r="M40" s="5"/>
      <c r="N40" s="5"/>
      <c r="O40" s="59">
        <v>0.05</v>
      </c>
      <c r="P40" s="59">
        <v>0.02</v>
      </c>
      <c r="Q40" s="59">
        <v>0.03</v>
      </c>
      <c r="R40" s="59">
        <v>0.01</v>
      </c>
      <c r="S40" s="59">
        <v>0.1</v>
      </c>
      <c r="T40" s="59">
        <v>0.3</v>
      </c>
      <c r="U40" s="59">
        <v>0.25</v>
      </c>
      <c r="V40" s="59">
        <v>0.24</v>
      </c>
      <c r="W40" s="60">
        <f t="shared" ref="W40:W48" si="2">SUM(F40:V40)</f>
        <v>1</v>
      </c>
    </row>
    <row r="41" spans="1:23" x14ac:dyDescent="0.25">
      <c r="A41" s="26" t="s">
        <v>9</v>
      </c>
      <c r="B41" s="39" t="str">
        <f t="shared" si="1"/>
        <v>Energía eléctrica</v>
      </c>
      <c r="C41" s="102" t="str">
        <f t="shared" si="1"/>
        <v>Kws</v>
      </c>
      <c r="D41" s="102"/>
      <c r="E41" s="102"/>
      <c r="F41" s="5">
        <v>10</v>
      </c>
      <c r="G41" s="5">
        <v>8</v>
      </c>
      <c r="H41" s="5">
        <v>6</v>
      </c>
      <c r="I41" s="5">
        <v>4</v>
      </c>
      <c r="J41" s="5">
        <v>30</v>
      </c>
      <c r="K41" s="5">
        <v>12</v>
      </c>
      <c r="L41" s="5">
        <v>8</v>
      </c>
      <c r="M41" s="5">
        <v>11</v>
      </c>
      <c r="N41" s="5">
        <v>21</v>
      </c>
      <c r="O41" s="5">
        <v>45</v>
      </c>
      <c r="P41" s="5">
        <v>60</v>
      </c>
      <c r="Q41" s="5">
        <v>50</v>
      </c>
      <c r="R41" s="5">
        <v>35</v>
      </c>
      <c r="S41" s="5">
        <v>25</v>
      </c>
      <c r="T41" s="5">
        <v>60</v>
      </c>
      <c r="U41" s="5">
        <v>40</v>
      </c>
      <c r="V41" s="5">
        <v>45</v>
      </c>
      <c r="W41" s="43">
        <f t="shared" si="2"/>
        <v>470</v>
      </c>
    </row>
    <row r="42" spans="1:23" x14ac:dyDescent="0.25">
      <c r="A42" s="26" t="s">
        <v>10</v>
      </c>
      <c r="B42" s="39" t="str">
        <f t="shared" si="1"/>
        <v>Agua</v>
      </c>
      <c r="C42" s="102" t="str">
        <f t="shared" si="1"/>
        <v>No personas totales</v>
      </c>
      <c r="D42" s="102"/>
      <c r="E42" s="102"/>
      <c r="F42" s="5">
        <v>2</v>
      </c>
      <c r="G42" s="5">
        <v>4</v>
      </c>
      <c r="H42" s="5">
        <v>2</v>
      </c>
      <c r="I42" s="5">
        <v>3</v>
      </c>
      <c r="J42" s="5">
        <v>6</v>
      </c>
      <c r="K42" s="5">
        <v>3</v>
      </c>
      <c r="L42" s="5">
        <v>4</v>
      </c>
      <c r="M42" s="5">
        <v>6</v>
      </c>
      <c r="N42" s="5">
        <v>5</v>
      </c>
      <c r="O42" s="5">
        <v>10</v>
      </c>
      <c r="P42" s="5">
        <v>6</v>
      </c>
      <c r="Q42" s="5">
        <v>5</v>
      </c>
      <c r="R42" s="5">
        <v>3</v>
      </c>
      <c r="S42" s="5">
        <v>4</v>
      </c>
      <c r="T42" s="5">
        <v>10</v>
      </c>
      <c r="U42" s="5">
        <v>8</v>
      </c>
      <c r="V42" s="5">
        <v>6</v>
      </c>
      <c r="W42" s="43">
        <f t="shared" si="2"/>
        <v>87</v>
      </c>
    </row>
    <row r="43" spans="1:23" x14ac:dyDescent="0.25">
      <c r="A43" s="26" t="s">
        <v>11</v>
      </c>
      <c r="B43" s="39" t="str">
        <f t="shared" si="1"/>
        <v>Teléfono</v>
      </c>
      <c r="C43" s="102" t="str">
        <f t="shared" si="1"/>
        <v>No anexos</v>
      </c>
      <c r="D43" s="102"/>
      <c r="E43" s="102"/>
      <c r="F43" s="5">
        <v>2</v>
      </c>
      <c r="G43" s="5">
        <v>2</v>
      </c>
      <c r="H43" s="5">
        <v>2</v>
      </c>
      <c r="I43" s="5">
        <v>3</v>
      </c>
      <c r="J43" s="5">
        <v>1</v>
      </c>
      <c r="K43" s="5">
        <v>2</v>
      </c>
      <c r="L43" s="5">
        <v>3</v>
      </c>
      <c r="M43" s="5">
        <v>1</v>
      </c>
      <c r="N43" s="5"/>
      <c r="O43" s="5"/>
      <c r="P43" s="5"/>
      <c r="Q43" s="5"/>
      <c r="R43" s="5"/>
      <c r="S43" s="5"/>
      <c r="T43" s="5"/>
      <c r="U43" s="5"/>
      <c r="V43" s="5"/>
      <c r="W43" s="43">
        <f t="shared" si="2"/>
        <v>16</v>
      </c>
    </row>
    <row r="44" spans="1:23" x14ac:dyDescent="0.25">
      <c r="A44" s="26" t="s">
        <v>12</v>
      </c>
      <c r="B44" s="39" t="str">
        <f t="shared" si="1"/>
        <v>Internet</v>
      </c>
      <c r="C44" s="102" t="str">
        <f t="shared" si="1"/>
        <v>No Pcs</v>
      </c>
      <c r="D44" s="102"/>
      <c r="E44" s="102"/>
      <c r="F44" s="5">
        <v>2</v>
      </c>
      <c r="G44" s="5">
        <v>2</v>
      </c>
      <c r="H44" s="5">
        <v>2</v>
      </c>
      <c r="I44" s="5">
        <v>2</v>
      </c>
      <c r="J44" s="5"/>
      <c r="K44" s="5">
        <v>2</v>
      </c>
      <c r="L44" s="5">
        <v>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43">
        <f t="shared" si="2"/>
        <v>13</v>
      </c>
    </row>
    <row r="45" spans="1:23" x14ac:dyDescent="0.25">
      <c r="A45" s="26" t="s">
        <v>13</v>
      </c>
      <c r="B45" s="39" t="str">
        <f t="shared" si="1"/>
        <v>Mantenimiento</v>
      </c>
      <c r="C45" s="102" t="str">
        <f t="shared" si="1"/>
        <v>% Asignación</v>
      </c>
      <c r="D45" s="102"/>
      <c r="E45" s="102"/>
      <c r="F45" s="5"/>
      <c r="G45" s="5"/>
      <c r="H45" s="5"/>
      <c r="I45" s="5"/>
      <c r="J45" s="5"/>
      <c r="K45" s="5"/>
      <c r="L45" s="5"/>
      <c r="M45" s="5"/>
      <c r="N45" s="59">
        <v>0.1</v>
      </c>
      <c r="O45" s="59">
        <v>0.05</v>
      </c>
      <c r="P45" s="59">
        <v>0.08</v>
      </c>
      <c r="Q45" s="59">
        <v>0.06</v>
      </c>
      <c r="R45" s="59">
        <v>0.15</v>
      </c>
      <c r="S45" s="59">
        <v>0.1</v>
      </c>
      <c r="T45" s="59">
        <v>0.16</v>
      </c>
      <c r="U45" s="59">
        <v>0.18</v>
      </c>
      <c r="V45" s="59">
        <v>0.12</v>
      </c>
      <c r="W45" s="60">
        <f t="shared" si="2"/>
        <v>1</v>
      </c>
    </row>
    <row r="46" spans="1:23" x14ac:dyDescent="0.25">
      <c r="A46" s="26" t="s">
        <v>14</v>
      </c>
      <c r="B46" s="39" t="str">
        <f t="shared" si="1"/>
        <v>Seguros</v>
      </c>
      <c r="C46" s="102" t="str">
        <f t="shared" si="1"/>
        <v>Valor Maq y equipo</v>
      </c>
      <c r="D46" s="102"/>
      <c r="E46" s="102"/>
      <c r="F46" s="5"/>
      <c r="G46" s="5"/>
      <c r="H46" s="5"/>
      <c r="I46" s="5"/>
      <c r="J46" s="5">
        <v>15000</v>
      </c>
      <c r="K46" s="5"/>
      <c r="L46" s="5"/>
      <c r="M46" s="5">
        <v>25000</v>
      </c>
      <c r="N46" s="5"/>
      <c r="O46" s="5">
        <v>120000</v>
      </c>
      <c r="P46" s="5">
        <v>80000</v>
      </c>
      <c r="Q46" s="5">
        <v>30000</v>
      </c>
      <c r="R46" s="5">
        <v>40000</v>
      </c>
      <c r="S46" s="5">
        <v>25000</v>
      </c>
      <c r="T46" s="5">
        <v>50000</v>
      </c>
      <c r="U46" s="5">
        <v>45000</v>
      </c>
      <c r="V46" s="5">
        <v>35000</v>
      </c>
      <c r="W46" s="43">
        <f t="shared" si="2"/>
        <v>465000</v>
      </c>
    </row>
    <row r="47" spans="1:23" x14ac:dyDescent="0.25">
      <c r="A47" s="26" t="s">
        <v>15</v>
      </c>
      <c r="B47" s="39" t="str">
        <f t="shared" si="1"/>
        <v>Alquileres</v>
      </c>
      <c r="C47" s="102" t="str">
        <f t="shared" si="1"/>
        <v>M2</v>
      </c>
      <c r="D47" s="102"/>
      <c r="E47" s="102"/>
      <c r="F47" s="5"/>
      <c r="G47" s="5"/>
      <c r="H47" s="5"/>
      <c r="I47" s="5"/>
      <c r="J47" s="5">
        <v>450</v>
      </c>
      <c r="K47" s="5">
        <v>36</v>
      </c>
      <c r="L47" s="5">
        <v>40</v>
      </c>
      <c r="M47" s="5">
        <v>600</v>
      </c>
      <c r="N47" s="5">
        <v>25</v>
      </c>
      <c r="O47" s="5">
        <v>200</v>
      </c>
      <c r="P47" s="5">
        <v>120</v>
      </c>
      <c r="Q47" s="5">
        <v>260</v>
      </c>
      <c r="R47" s="5">
        <v>90</v>
      </c>
      <c r="S47" s="5">
        <v>60</v>
      </c>
      <c r="T47" s="5">
        <v>180</v>
      </c>
      <c r="U47" s="5">
        <v>150</v>
      </c>
      <c r="V47" s="5">
        <v>60</v>
      </c>
      <c r="W47" s="43">
        <f t="shared" si="2"/>
        <v>2271</v>
      </c>
    </row>
    <row r="48" spans="1:23" x14ac:dyDescent="0.25">
      <c r="A48" s="26" t="s">
        <v>16</v>
      </c>
      <c r="B48" s="39" t="str">
        <f t="shared" si="1"/>
        <v>Impuestos prediales</v>
      </c>
      <c r="C48" s="102" t="str">
        <f t="shared" si="1"/>
        <v>M2</v>
      </c>
      <c r="D48" s="102"/>
      <c r="E48" s="102"/>
      <c r="F48" s="5">
        <v>20</v>
      </c>
      <c r="G48" s="5">
        <v>25</v>
      </c>
      <c r="H48" s="5">
        <v>30</v>
      </c>
      <c r="I48" s="5">
        <v>35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43">
        <f t="shared" si="2"/>
        <v>110</v>
      </c>
    </row>
    <row r="50" spans="1:24" x14ac:dyDescent="0.25">
      <c r="A50" s="1" t="s">
        <v>76</v>
      </c>
    </row>
    <row r="51" spans="1:24" x14ac:dyDescent="0.25">
      <c r="F51" s="28" t="s">
        <v>47</v>
      </c>
      <c r="G51" s="28" t="s">
        <v>48</v>
      </c>
      <c r="H51" s="40" t="s">
        <v>49</v>
      </c>
      <c r="I51" s="40" t="s">
        <v>50</v>
      </c>
      <c r="J51" s="40" t="s">
        <v>89</v>
      </c>
      <c r="K51" s="44" t="s">
        <v>47</v>
      </c>
      <c r="L51" s="44" t="s">
        <v>48</v>
      </c>
      <c r="M51" s="44" t="s">
        <v>48</v>
      </c>
      <c r="N51" s="44" t="s">
        <v>87</v>
      </c>
      <c r="O51" s="41" t="s">
        <v>51</v>
      </c>
      <c r="P51" s="41" t="s">
        <v>52</v>
      </c>
      <c r="Q51" s="41" t="s">
        <v>53</v>
      </c>
      <c r="R51" s="41" t="s">
        <v>53</v>
      </c>
      <c r="S51" s="41" t="s">
        <v>95</v>
      </c>
      <c r="T51" s="41" t="s">
        <v>97</v>
      </c>
      <c r="U51" s="41" t="s">
        <v>99</v>
      </c>
      <c r="V51" s="41" t="s">
        <v>101</v>
      </c>
      <c r="W51" s="99" t="s">
        <v>35</v>
      </c>
    </row>
    <row r="52" spans="1:24" ht="41.4" x14ac:dyDescent="0.25">
      <c r="A52" s="37" t="s">
        <v>2</v>
      </c>
      <c r="B52" s="37" t="s">
        <v>3</v>
      </c>
      <c r="C52" s="101" t="s">
        <v>6</v>
      </c>
      <c r="D52" s="101"/>
      <c r="E52" s="101"/>
      <c r="F52" s="46" t="s">
        <v>54</v>
      </c>
      <c r="G52" s="46" t="s">
        <v>55</v>
      </c>
      <c r="H52" s="46" t="s">
        <v>56</v>
      </c>
      <c r="I52" s="46" t="s">
        <v>57</v>
      </c>
      <c r="J52" s="46" t="s">
        <v>90</v>
      </c>
      <c r="K52" s="46" t="s">
        <v>58</v>
      </c>
      <c r="L52" s="46" t="s">
        <v>88</v>
      </c>
      <c r="M52" s="46" t="s">
        <v>59</v>
      </c>
      <c r="N52" s="46" t="s">
        <v>23</v>
      </c>
      <c r="O52" s="46" t="s">
        <v>91</v>
      </c>
      <c r="P52" s="46" t="s">
        <v>92</v>
      </c>
      <c r="Q52" s="46" t="s">
        <v>93</v>
      </c>
      <c r="R52" s="46" t="s">
        <v>94</v>
      </c>
      <c r="S52" s="46" t="s">
        <v>96</v>
      </c>
      <c r="T52" s="46" t="s">
        <v>98</v>
      </c>
      <c r="U52" s="46" t="s">
        <v>100</v>
      </c>
      <c r="V52" s="46" t="s">
        <v>102</v>
      </c>
      <c r="W52" s="100"/>
    </row>
    <row r="53" spans="1:24" x14ac:dyDescent="0.25">
      <c r="A53" s="26" t="s">
        <v>7</v>
      </c>
      <c r="B53" s="39" t="s">
        <v>17</v>
      </c>
      <c r="C53" s="103"/>
      <c r="D53" s="103"/>
      <c r="E53" s="10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3"/>
      <c r="X53" s="61">
        <f>W53-C53</f>
        <v>0</v>
      </c>
    </row>
    <row r="54" spans="1:24" x14ac:dyDescent="0.25">
      <c r="A54" s="26" t="s">
        <v>8</v>
      </c>
      <c r="B54" s="39" t="s">
        <v>18</v>
      </c>
      <c r="C54" s="103"/>
      <c r="D54" s="103"/>
      <c r="E54" s="10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3"/>
      <c r="X54" s="61">
        <f t="shared" ref="X54:X62" si="3">W54-C54</f>
        <v>0</v>
      </c>
    </row>
    <row r="55" spans="1:24" x14ac:dyDescent="0.25">
      <c r="A55" s="26" t="s">
        <v>9</v>
      </c>
      <c r="B55" s="39" t="s">
        <v>19</v>
      </c>
      <c r="C55" s="103"/>
      <c r="D55" s="103"/>
      <c r="E55" s="10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3"/>
      <c r="X55" s="61">
        <f t="shared" si="3"/>
        <v>0</v>
      </c>
    </row>
    <row r="56" spans="1:24" x14ac:dyDescent="0.25">
      <c r="A56" s="26" t="s">
        <v>10</v>
      </c>
      <c r="B56" s="39" t="s">
        <v>20</v>
      </c>
      <c r="C56" s="103"/>
      <c r="D56" s="103"/>
      <c r="E56" s="10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3"/>
      <c r="X56" s="61">
        <f t="shared" si="3"/>
        <v>0</v>
      </c>
    </row>
    <row r="57" spans="1:24" x14ac:dyDescent="0.25">
      <c r="A57" s="26" t="s">
        <v>11</v>
      </c>
      <c r="B57" s="39" t="s">
        <v>21</v>
      </c>
      <c r="C57" s="103"/>
      <c r="D57" s="103"/>
      <c r="E57" s="10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3"/>
      <c r="X57" s="61">
        <f t="shared" si="3"/>
        <v>0</v>
      </c>
    </row>
    <row r="58" spans="1:24" x14ac:dyDescent="0.25">
      <c r="A58" s="26" t="s">
        <v>12</v>
      </c>
      <c r="B58" s="39" t="s">
        <v>22</v>
      </c>
      <c r="C58" s="103"/>
      <c r="D58" s="103"/>
      <c r="E58" s="10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3"/>
      <c r="X58" s="61">
        <f t="shared" si="3"/>
        <v>0</v>
      </c>
    </row>
    <row r="59" spans="1:24" x14ac:dyDescent="0.25">
      <c r="A59" s="26" t="s">
        <v>13</v>
      </c>
      <c r="B59" s="39" t="s">
        <v>23</v>
      </c>
      <c r="C59" s="103"/>
      <c r="D59" s="103"/>
      <c r="E59" s="10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3"/>
      <c r="X59" s="61">
        <f t="shared" si="3"/>
        <v>0</v>
      </c>
    </row>
    <row r="60" spans="1:24" x14ac:dyDescent="0.25">
      <c r="A60" s="26" t="s">
        <v>14</v>
      </c>
      <c r="B60" s="39" t="s">
        <v>24</v>
      </c>
      <c r="C60" s="103"/>
      <c r="D60" s="103"/>
      <c r="E60" s="10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3"/>
      <c r="X60" s="61">
        <f t="shared" si="3"/>
        <v>0</v>
      </c>
    </row>
    <row r="61" spans="1:24" x14ac:dyDescent="0.25">
      <c r="A61" s="26" t="s">
        <v>15</v>
      </c>
      <c r="B61" s="39" t="s">
        <v>25</v>
      </c>
      <c r="C61" s="103"/>
      <c r="D61" s="103"/>
      <c r="E61" s="10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3"/>
      <c r="X61" s="61">
        <f t="shared" si="3"/>
        <v>0</v>
      </c>
    </row>
    <row r="62" spans="1:24" x14ac:dyDescent="0.25">
      <c r="A62" s="26" t="s">
        <v>16</v>
      </c>
      <c r="B62" s="39" t="s">
        <v>26</v>
      </c>
      <c r="C62" s="103"/>
      <c r="D62" s="103"/>
      <c r="E62" s="10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3"/>
      <c r="X62" s="61">
        <f t="shared" si="3"/>
        <v>0</v>
      </c>
    </row>
    <row r="63" spans="1:24" x14ac:dyDescent="0.25">
      <c r="A63" s="3"/>
      <c r="B63" s="3"/>
      <c r="C63" s="104" t="s">
        <v>36</v>
      </c>
      <c r="D63" s="104"/>
      <c r="E63" s="104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</row>
  </sheetData>
  <mergeCells count="36">
    <mergeCell ref="C63:E63"/>
    <mergeCell ref="C60:E60"/>
    <mergeCell ref="C61:E61"/>
    <mergeCell ref="C62:E62"/>
    <mergeCell ref="C54:E54"/>
    <mergeCell ref="C55:E55"/>
    <mergeCell ref="C56:E56"/>
    <mergeCell ref="C57:E57"/>
    <mergeCell ref="C58:E58"/>
    <mergeCell ref="C59:E59"/>
    <mergeCell ref="C53:E53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52:E52"/>
    <mergeCell ref="W37:W38"/>
    <mergeCell ref="W51:W52"/>
    <mergeCell ref="C38:E38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1"/>
  <sheetViews>
    <sheetView topLeftCell="E1" zoomScale="120" zoomScaleNormal="120" workbookViewId="0">
      <selection activeCell="F41" sqref="F41:N41"/>
    </sheetView>
  </sheetViews>
  <sheetFormatPr baseColWidth="10" defaultRowHeight="13.8" x14ac:dyDescent="0.25"/>
  <cols>
    <col min="1" max="1" width="8" customWidth="1"/>
    <col min="2" max="2" width="24.19921875" customWidth="1"/>
    <col min="5" max="5" width="6" bestFit="1" customWidth="1"/>
    <col min="6" max="6" width="10.19921875" bestFit="1" customWidth="1"/>
    <col min="7" max="7" width="8.69921875" bestFit="1" customWidth="1"/>
    <col min="8" max="8" width="9.09765625" customWidth="1"/>
    <col min="9" max="9" width="10.19921875" bestFit="1" customWidth="1"/>
    <col min="10" max="10" width="9.5" bestFit="1" customWidth="1"/>
    <col min="11" max="11" width="12.8984375" customWidth="1"/>
    <col min="12" max="12" width="9.09765625" bestFit="1" customWidth="1"/>
    <col min="13" max="13" width="9.5" bestFit="1" customWidth="1"/>
    <col min="14" max="14" width="8.69921875" bestFit="1" customWidth="1"/>
  </cols>
  <sheetData>
    <row r="1" spans="1:10" ht="17.399999999999999" x14ac:dyDescent="0.3">
      <c r="A1" s="2" t="s">
        <v>218</v>
      </c>
    </row>
    <row r="3" spans="1:10" x14ac:dyDescent="0.25">
      <c r="A3" s="1" t="s">
        <v>34</v>
      </c>
    </row>
    <row r="4" spans="1:10" x14ac:dyDescent="0.25">
      <c r="A4" t="s">
        <v>219</v>
      </c>
    </row>
    <row r="5" spans="1:10" x14ac:dyDescent="0.25">
      <c r="A5" t="s">
        <v>224</v>
      </c>
    </row>
    <row r="6" spans="1:10" x14ac:dyDescent="0.25">
      <c r="A6" t="s">
        <v>225</v>
      </c>
    </row>
    <row r="7" spans="1:10" x14ac:dyDescent="0.25">
      <c r="A7" t="s">
        <v>226</v>
      </c>
    </row>
    <row r="8" spans="1:10" x14ac:dyDescent="0.25">
      <c r="A8" t="s">
        <v>261</v>
      </c>
    </row>
    <row r="10" spans="1:10" x14ac:dyDescent="0.25">
      <c r="A10" s="1" t="s">
        <v>220</v>
      </c>
    </row>
    <row r="11" spans="1:10" x14ac:dyDescent="0.25">
      <c r="A11" s="1"/>
      <c r="C11" s="29" t="str">
        <f>Maestros!A31</f>
        <v>CCP1</v>
      </c>
      <c r="D11" s="29" t="str">
        <f>Maestros!A32</f>
        <v>CCP2</v>
      </c>
      <c r="E11" s="29" t="str">
        <f>Maestros!A33</f>
        <v>CCP3</v>
      </c>
      <c r="F11" s="29" t="str">
        <f>Maestros!A34</f>
        <v>CCP4</v>
      </c>
      <c r="G11" s="29" t="str">
        <f>Maestros!A35</f>
        <v>CCP5</v>
      </c>
      <c r="H11" s="29" t="str">
        <f>Maestros!A36</f>
        <v>CCP6</v>
      </c>
      <c r="I11" s="29" t="str">
        <f>Maestros!A37</f>
        <v>CCP7</v>
      </c>
      <c r="J11" s="29" t="str">
        <f>Maestros!A38</f>
        <v>CCP8</v>
      </c>
    </row>
    <row r="12" spans="1:10" ht="41.4" x14ac:dyDescent="0.25">
      <c r="A12" s="37" t="s">
        <v>2</v>
      </c>
      <c r="B12" s="47" t="s">
        <v>3</v>
      </c>
      <c r="C12" s="38" t="str">
        <f>Maestros!B31</f>
        <v>Mecanica</v>
      </c>
      <c r="D12" s="38" t="str">
        <f>Maestros!B32</f>
        <v>Pintura</v>
      </c>
      <c r="E12" s="38" t="str">
        <f>Maestros!B33</f>
        <v>Plasticos</v>
      </c>
      <c r="F12" s="38" t="str">
        <f>Maestros!B34</f>
        <v>Aislamiento</v>
      </c>
      <c r="G12" s="38" t="str">
        <f>Maestros!B35</f>
        <v>Sub conjuntos</v>
      </c>
      <c r="H12" s="38" t="str">
        <f>Maestros!B36</f>
        <v>Ensamble Refrigeradoras</v>
      </c>
      <c r="I12" s="38" t="str">
        <f>Maestros!B37</f>
        <v>Ensamble Cocinas</v>
      </c>
      <c r="J12" s="38" t="str">
        <f>Maestros!B38</f>
        <v>Acabado y Embalajes</v>
      </c>
    </row>
    <row r="13" spans="1:10" x14ac:dyDescent="0.25">
      <c r="A13" s="26" t="str">
        <f>Maestros!A27</f>
        <v>CCA1</v>
      </c>
      <c r="B13" s="3" t="str">
        <f>Maestros!B27</f>
        <v>Gerencia Producción</v>
      </c>
      <c r="C13" s="62" t="s">
        <v>252</v>
      </c>
      <c r="D13" s="63" t="s">
        <v>252</v>
      </c>
      <c r="E13" s="63" t="s">
        <v>252</v>
      </c>
      <c r="F13" s="63" t="s">
        <v>252</v>
      </c>
      <c r="G13" s="63" t="s">
        <v>252</v>
      </c>
      <c r="H13" s="63" t="s">
        <v>252</v>
      </c>
      <c r="I13" s="63" t="s">
        <v>252</v>
      </c>
      <c r="J13" s="63" t="s">
        <v>252</v>
      </c>
    </row>
    <row r="14" spans="1:10" x14ac:dyDescent="0.25">
      <c r="A14" s="26" t="str">
        <f>Maestros!A28</f>
        <v>CCA2</v>
      </c>
      <c r="B14" s="3" t="str">
        <f>Maestros!B28</f>
        <v>Planeamiento Producción</v>
      </c>
      <c r="C14" s="50" t="s">
        <v>252</v>
      </c>
      <c r="D14" s="5" t="s">
        <v>252</v>
      </c>
      <c r="E14" s="5" t="s">
        <v>252</v>
      </c>
      <c r="F14" s="5" t="s">
        <v>252</v>
      </c>
      <c r="G14" s="5" t="s">
        <v>252</v>
      </c>
      <c r="H14" s="5" t="s">
        <v>252</v>
      </c>
      <c r="I14" s="5" t="s">
        <v>252</v>
      </c>
      <c r="J14" s="5" t="s">
        <v>252</v>
      </c>
    </row>
    <row r="15" spans="1:10" x14ac:dyDescent="0.25">
      <c r="A15" s="26" t="str">
        <f>Maestros!A29</f>
        <v>CCA3</v>
      </c>
      <c r="B15" s="3" t="str">
        <f>Maestros!B29</f>
        <v>Almacenes fábrica</v>
      </c>
      <c r="C15" s="50" t="s">
        <v>252</v>
      </c>
      <c r="D15" s="5" t="s">
        <v>252</v>
      </c>
      <c r="E15" s="5" t="s">
        <v>252</v>
      </c>
      <c r="F15" s="5" t="s">
        <v>252</v>
      </c>
      <c r="G15" s="5" t="s">
        <v>252</v>
      </c>
      <c r="H15" s="5" t="s">
        <v>252</v>
      </c>
      <c r="I15" s="5" t="s">
        <v>252</v>
      </c>
      <c r="J15" s="5" t="s">
        <v>252</v>
      </c>
    </row>
    <row r="16" spans="1:10" x14ac:dyDescent="0.25">
      <c r="A16" s="26" t="str">
        <f>Maestros!A30</f>
        <v>CCA4</v>
      </c>
      <c r="B16" s="3" t="str">
        <f>Maestros!B30</f>
        <v>Mantenimiento</v>
      </c>
      <c r="C16" s="50" t="s">
        <v>252</v>
      </c>
      <c r="D16" s="5" t="s">
        <v>252</v>
      </c>
      <c r="E16" s="5" t="s">
        <v>252</v>
      </c>
      <c r="F16" s="5" t="s">
        <v>252</v>
      </c>
      <c r="G16" s="5" t="s">
        <v>252</v>
      </c>
      <c r="H16" s="5" t="s">
        <v>252</v>
      </c>
      <c r="I16" s="5" t="s">
        <v>252</v>
      </c>
      <c r="J16" s="5" t="s">
        <v>252</v>
      </c>
    </row>
    <row r="18" spans="1:14" x14ac:dyDescent="0.25">
      <c r="A18" s="1" t="s">
        <v>228</v>
      </c>
    </row>
    <row r="19" spans="1:14" x14ac:dyDescent="0.25">
      <c r="A19" s="37" t="s">
        <v>2</v>
      </c>
      <c r="B19" s="37" t="s">
        <v>3</v>
      </c>
      <c r="C19" s="101" t="s">
        <v>223</v>
      </c>
      <c r="D19" s="101"/>
      <c r="E19" s="101"/>
    </row>
    <row r="20" spans="1:14" x14ac:dyDescent="0.25">
      <c r="A20" s="26" t="str">
        <f>A13</f>
        <v>CCA1</v>
      </c>
      <c r="B20" s="3" t="str">
        <f>B13</f>
        <v>Gerencia Producción</v>
      </c>
      <c r="C20" s="102" t="s">
        <v>254</v>
      </c>
      <c r="D20" s="102"/>
      <c r="E20" s="102"/>
    </row>
    <row r="21" spans="1:14" x14ac:dyDescent="0.25">
      <c r="A21" s="26" t="str">
        <f t="shared" ref="A21:B23" si="0">A14</f>
        <v>CCA2</v>
      </c>
      <c r="B21" s="3" t="str">
        <f t="shared" si="0"/>
        <v>Planeamiento Producción</v>
      </c>
      <c r="C21" s="102" t="s">
        <v>262</v>
      </c>
      <c r="D21" s="102"/>
      <c r="E21" s="102"/>
    </row>
    <row r="22" spans="1:14" x14ac:dyDescent="0.25">
      <c r="A22" s="26" t="str">
        <f t="shared" si="0"/>
        <v>CCA3</v>
      </c>
      <c r="B22" s="3" t="str">
        <f t="shared" si="0"/>
        <v>Almacenes fábrica</v>
      </c>
      <c r="C22" s="102" t="s">
        <v>254</v>
      </c>
      <c r="D22" s="102"/>
      <c r="E22" s="102"/>
    </row>
    <row r="23" spans="1:14" x14ac:dyDescent="0.25">
      <c r="A23" s="26" t="str">
        <f t="shared" si="0"/>
        <v>CCA4</v>
      </c>
      <c r="B23" s="3" t="str">
        <f t="shared" si="0"/>
        <v>Mantenimiento</v>
      </c>
      <c r="C23" s="102" t="s">
        <v>263</v>
      </c>
      <c r="D23" s="102"/>
      <c r="E23" s="102"/>
    </row>
    <row r="24" spans="1:14" x14ac:dyDescent="0.25">
      <c r="C24" s="32"/>
      <c r="D24" s="32"/>
      <c r="E24" s="32"/>
    </row>
    <row r="26" spans="1:14" x14ac:dyDescent="0.25">
      <c r="A26" s="1" t="s">
        <v>229</v>
      </c>
      <c r="F26" s="29" t="str">
        <f>C11</f>
        <v>CCP1</v>
      </c>
      <c r="G26" s="29" t="str">
        <f t="shared" ref="G26:M26" si="1">D11</f>
        <v>CCP2</v>
      </c>
      <c r="H26" s="29" t="str">
        <f t="shared" si="1"/>
        <v>CCP3</v>
      </c>
      <c r="I26" s="29" t="str">
        <f t="shared" si="1"/>
        <v>CCP4</v>
      </c>
      <c r="J26" s="29" t="str">
        <f t="shared" si="1"/>
        <v>CCP5</v>
      </c>
      <c r="K26" s="29" t="str">
        <f t="shared" si="1"/>
        <v>CCP6</v>
      </c>
      <c r="L26" s="29" t="str">
        <f t="shared" si="1"/>
        <v>CCP7</v>
      </c>
      <c r="M26" s="29" t="str">
        <f t="shared" si="1"/>
        <v>CCP8</v>
      </c>
    </row>
    <row r="27" spans="1:14" ht="27.6" x14ac:dyDescent="0.25">
      <c r="A27" s="37" t="s">
        <v>2</v>
      </c>
      <c r="B27" s="37" t="s">
        <v>3</v>
      </c>
      <c r="C27" s="101" t="s">
        <v>227</v>
      </c>
      <c r="D27" s="101"/>
      <c r="E27" s="101"/>
      <c r="F27" s="38" t="str">
        <f>C12</f>
        <v>Mecanica</v>
      </c>
      <c r="G27" s="38" t="str">
        <f t="shared" ref="G27:M27" si="2">D12</f>
        <v>Pintura</v>
      </c>
      <c r="H27" s="38" t="str">
        <f t="shared" si="2"/>
        <v>Plasticos</v>
      </c>
      <c r="I27" s="38" t="str">
        <f t="shared" si="2"/>
        <v>Aislamiento</v>
      </c>
      <c r="J27" s="38" t="str">
        <f t="shared" si="2"/>
        <v>Sub conjuntos</v>
      </c>
      <c r="K27" s="38" t="str">
        <f t="shared" si="2"/>
        <v>Ensamble Refrigeradoras</v>
      </c>
      <c r="L27" s="38" t="str">
        <f t="shared" si="2"/>
        <v>Ensamble Cocinas</v>
      </c>
      <c r="M27" s="38" t="str">
        <f t="shared" si="2"/>
        <v>Acabado y Embalajes</v>
      </c>
      <c r="N27" s="42" t="s">
        <v>35</v>
      </c>
    </row>
    <row r="28" spans="1:14" x14ac:dyDescent="0.25">
      <c r="A28" s="26" t="str">
        <f>A20</f>
        <v>CCA1</v>
      </c>
      <c r="B28" s="3" t="str">
        <f>B20</f>
        <v>Gerencia Producción</v>
      </c>
      <c r="C28" s="108" t="str">
        <f>C20</f>
        <v>% Asignación</v>
      </c>
      <c r="D28" s="108"/>
      <c r="E28" s="108"/>
      <c r="F28" s="64">
        <v>0.25</v>
      </c>
      <c r="G28" s="65">
        <v>0.1</v>
      </c>
      <c r="H28" s="65">
        <v>0.05</v>
      </c>
      <c r="I28" s="65">
        <v>0.05</v>
      </c>
      <c r="J28" s="65">
        <v>0.05</v>
      </c>
      <c r="K28" s="65">
        <v>0.1</v>
      </c>
      <c r="L28" s="65">
        <v>0.2</v>
      </c>
      <c r="M28" s="65">
        <v>0.2</v>
      </c>
      <c r="N28" s="66">
        <f>SUM(F28:M28)</f>
        <v>1</v>
      </c>
    </row>
    <row r="29" spans="1:14" x14ac:dyDescent="0.25">
      <c r="A29" s="26" t="str">
        <f t="shared" ref="A29:C31" si="3">A21</f>
        <v>CCA2</v>
      </c>
      <c r="B29" s="3" t="str">
        <f t="shared" si="3"/>
        <v>Planeamiento Producción</v>
      </c>
      <c r="C29" s="108" t="str">
        <f t="shared" si="3"/>
        <v>No OT</v>
      </c>
      <c r="D29" s="108"/>
      <c r="E29" s="108"/>
      <c r="F29" s="50">
        <v>5</v>
      </c>
      <c r="G29" s="5">
        <v>5</v>
      </c>
      <c r="H29" s="5">
        <v>5</v>
      </c>
      <c r="I29" s="5">
        <v>5</v>
      </c>
      <c r="J29" s="5">
        <v>5</v>
      </c>
      <c r="K29" s="5">
        <v>5</v>
      </c>
      <c r="L29" s="5">
        <v>5</v>
      </c>
      <c r="M29" s="5">
        <v>5</v>
      </c>
      <c r="N29" s="48">
        <f t="shared" ref="N29:N31" si="4">SUM(F29:M29)</f>
        <v>40</v>
      </c>
    </row>
    <row r="30" spans="1:14" x14ac:dyDescent="0.25">
      <c r="A30" s="26" t="str">
        <f t="shared" si="3"/>
        <v>CCA3</v>
      </c>
      <c r="B30" s="3" t="str">
        <f t="shared" si="3"/>
        <v>Almacenes fábrica</v>
      </c>
      <c r="C30" s="108" t="str">
        <f t="shared" si="3"/>
        <v>% Asignación</v>
      </c>
      <c r="D30" s="108"/>
      <c r="E30" s="108"/>
      <c r="F30" s="67">
        <v>0.3</v>
      </c>
      <c r="G30" s="59">
        <v>0.2</v>
      </c>
      <c r="H30" s="59">
        <v>0.1</v>
      </c>
      <c r="I30" s="59">
        <v>0.05</v>
      </c>
      <c r="J30" s="59">
        <v>0.05</v>
      </c>
      <c r="K30" s="59">
        <v>0.12</v>
      </c>
      <c r="L30" s="59">
        <v>0.1</v>
      </c>
      <c r="M30" s="59">
        <v>0.08</v>
      </c>
      <c r="N30" s="66">
        <f t="shared" si="4"/>
        <v>1</v>
      </c>
    </row>
    <row r="31" spans="1:14" x14ac:dyDescent="0.25">
      <c r="A31" s="26" t="str">
        <f t="shared" si="3"/>
        <v>CCA4</v>
      </c>
      <c r="B31" s="3" t="str">
        <f t="shared" si="3"/>
        <v>Mantenimiento</v>
      </c>
      <c r="C31" s="108" t="str">
        <f t="shared" si="3"/>
        <v>No reparaciones</v>
      </c>
      <c r="D31" s="108"/>
      <c r="E31" s="108"/>
      <c r="F31" s="50">
        <v>4</v>
      </c>
      <c r="G31" s="5">
        <v>2</v>
      </c>
      <c r="H31" s="5">
        <v>1</v>
      </c>
      <c r="I31" s="5">
        <v>1</v>
      </c>
      <c r="J31" s="5">
        <v>0</v>
      </c>
      <c r="K31" s="5">
        <v>1</v>
      </c>
      <c r="L31" s="5">
        <v>2</v>
      </c>
      <c r="M31" s="5">
        <v>0</v>
      </c>
      <c r="N31" s="48">
        <f t="shared" si="4"/>
        <v>11</v>
      </c>
    </row>
    <row r="33" spans="1:14" x14ac:dyDescent="0.25">
      <c r="A33" s="1" t="s">
        <v>230</v>
      </c>
    </row>
    <row r="34" spans="1:14" x14ac:dyDescent="0.25">
      <c r="A34" s="1"/>
    </row>
    <row r="35" spans="1:14" x14ac:dyDescent="0.25">
      <c r="F35" s="29" t="str">
        <f>F26</f>
        <v>CCP1</v>
      </c>
      <c r="G35" s="29" t="str">
        <f t="shared" ref="G35:M35" si="5">G26</f>
        <v>CCP2</v>
      </c>
      <c r="H35" s="29" t="str">
        <f t="shared" si="5"/>
        <v>CCP3</v>
      </c>
      <c r="I35" s="29" t="str">
        <f t="shared" si="5"/>
        <v>CCP4</v>
      </c>
      <c r="J35" s="29" t="str">
        <f t="shared" si="5"/>
        <v>CCP5</v>
      </c>
      <c r="K35" s="29" t="str">
        <f t="shared" si="5"/>
        <v>CCP6</v>
      </c>
      <c r="L35" s="29" t="str">
        <f t="shared" si="5"/>
        <v>CCP7</v>
      </c>
      <c r="M35" s="29" t="str">
        <f t="shared" si="5"/>
        <v>CCP8</v>
      </c>
    </row>
    <row r="36" spans="1:14" ht="27.6" x14ac:dyDescent="0.25">
      <c r="A36" s="37" t="s">
        <v>2</v>
      </c>
      <c r="B36" s="37" t="s">
        <v>3</v>
      </c>
      <c r="C36" s="101" t="s">
        <v>6</v>
      </c>
      <c r="D36" s="101"/>
      <c r="E36" s="101"/>
      <c r="F36" s="38" t="str">
        <f>F27</f>
        <v>Mecanica</v>
      </c>
      <c r="G36" s="38" t="str">
        <f t="shared" ref="G36:M36" si="6">G27</f>
        <v>Pintura</v>
      </c>
      <c r="H36" s="38" t="str">
        <f t="shared" si="6"/>
        <v>Plasticos</v>
      </c>
      <c r="I36" s="38" t="str">
        <f t="shared" si="6"/>
        <v>Aislamiento</v>
      </c>
      <c r="J36" s="38" t="str">
        <f t="shared" si="6"/>
        <v>Sub conjuntos</v>
      </c>
      <c r="K36" s="38" t="str">
        <f t="shared" si="6"/>
        <v>Ensamble Refrigeradoras</v>
      </c>
      <c r="L36" s="38" t="str">
        <f t="shared" si="6"/>
        <v>Ensamble Cocinas</v>
      </c>
      <c r="M36" s="38" t="str">
        <f t="shared" si="6"/>
        <v>Acabado y Embalajes</v>
      </c>
      <c r="N36" s="42" t="s">
        <v>35</v>
      </c>
    </row>
    <row r="37" spans="1:14" x14ac:dyDescent="0.25">
      <c r="A37" s="26" t="str">
        <f>A28</f>
        <v>CCA1</v>
      </c>
      <c r="B37" s="3" t="str">
        <f>B28</f>
        <v>Gerencia Producción</v>
      </c>
      <c r="C37" s="109"/>
      <c r="D37" s="109"/>
      <c r="E37" s="109"/>
      <c r="F37" s="4"/>
      <c r="G37" s="4"/>
      <c r="H37" s="4"/>
      <c r="I37" s="4"/>
      <c r="J37" s="4"/>
      <c r="K37" s="4"/>
      <c r="L37" s="4"/>
      <c r="M37" s="4"/>
      <c r="N37" s="48"/>
    </row>
    <row r="38" spans="1:14" x14ac:dyDescent="0.25">
      <c r="A38" s="26" t="str">
        <f t="shared" ref="A38:B40" si="7">A29</f>
        <v>CCA2</v>
      </c>
      <c r="B38" s="3" t="str">
        <f t="shared" si="7"/>
        <v>Planeamiento Producción</v>
      </c>
      <c r="C38" s="109"/>
      <c r="D38" s="109"/>
      <c r="E38" s="109"/>
      <c r="F38" s="4"/>
      <c r="G38" s="4"/>
      <c r="H38" s="4"/>
      <c r="I38" s="4"/>
      <c r="J38" s="4"/>
      <c r="K38" s="4"/>
      <c r="L38" s="4"/>
      <c r="M38" s="4"/>
      <c r="N38" s="48"/>
    </row>
    <row r="39" spans="1:14" x14ac:dyDescent="0.25">
      <c r="A39" s="26" t="str">
        <f t="shared" si="7"/>
        <v>CCA3</v>
      </c>
      <c r="B39" s="3" t="str">
        <f t="shared" si="7"/>
        <v>Almacenes fábrica</v>
      </c>
      <c r="C39" s="109"/>
      <c r="D39" s="109"/>
      <c r="E39" s="109"/>
      <c r="F39" s="4"/>
      <c r="G39" s="4"/>
      <c r="H39" s="4"/>
      <c r="I39" s="4"/>
      <c r="J39" s="4"/>
      <c r="K39" s="4"/>
      <c r="L39" s="4"/>
      <c r="M39" s="4"/>
      <c r="N39" s="48"/>
    </row>
    <row r="40" spans="1:14" x14ac:dyDescent="0.25">
      <c r="A40" s="26" t="str">
        <f t="shared" si="7"/>
        <v>CCA4</v>
      </c>
      <c r="B40" s="3" t="str">
        <f t="shared" si="7"/>
        <v>Mantenimiento</v>
      </c>
      <c r="C40" s="109"/>
      <c r="D40" s="109"/>
      <c r="E40" s="109"/>
      <c r="F40" s="4"/>
      <c r="G40" s="4"/>
      <c r="H40" s="4"/>
      <c r="I40" s="4"/>
      <c r="J40" s="4"/>
      <c r="K40" s="4"/>
      <c r="L40" s="4"/>
      <c r="M40" s="4"/>
      <c r="N40" s="48"/>
    </row>
    <row r="41" spans="1:14" x14ac:dyDescent="0.25">
      <c r="A41" s="49"/>
      <c r="B41" s="49"/>
      <c r="C41" s="105" t="s">
        <v>36</v>
      </c>
      <c r="D41" s="106"/>
      <c r="E41" s="107"/>
      <c r="F41" s="76"/>
      <c r="G41" s="76"/>
      <c r="H41" s="76"/>
      <c r="I41" s="76"/>
      <c r="J41" s="76"/>
      <c r="K41" s="76"/>
      <c r="L41" s="76"/>
      <c r="M41" s="76"/>
      <c r="N41" s="76"/>
    </row>
  </sheetData>
  <mergeCells count="16">
    <mergeCell ref="C41:E41"/>
    <mergeCell ref="C19:E19"/>
    <mergeCell ref="C20:E20"/>
    <mergeCell ref="C21:E21"/>
    <mergeCell ref="C22:E22"/>
    <mergeCell ref="C23:E23"/>
    <mergeCell ref="C27:E27"/>
    <mergeCell ref="C28:E28"/>
    <mergeCell ref="C29:E29"/>
    <mergeCell ref="C30:E30"/>
    <mergeCell ref="C31:E31"/>
    <mergeCell ref="C36:E36"/>
    <mergeCell ref="C37:E37"/>
    <mergeCell ref="C40:E40"/>
    <mergeCell ref="C38:E38"/>
    <mergeCell ref="C39:E39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2"/>
  <sheetViews>
    <sheetView zoomScaleNormal="100" workbookViewId="0">
      <selection activeCell="F57" sqref="F57:K57"/>
    </sheetView>
  </sheetViews>
  <sheetFormatPr baseColWidth="10" defaultRowHeight="13.8" x14ac:dyDescent="0.25"/>
  <cols>
    <col min="1" max="1" width="7.5" customWidth="1"/>
    <col min="2" max="2" width="23" customWidth="1"/>
    <col min="3" max="3" width="9.5" customWidth="1"/>
    <col min="4" max="4" width="9.3984375" customWidth="1"/>
    <col min="6" max="6" width="12.09765625" bestFit="1" customWidth="1"/>
    <col min="8" max="9" width="11.59765625" bestFit="1" customWidth="1"/>
    <col min="11" max="11" width="12.8984375" customWidth="1"/>
  </cols>
  <sheetData>
    <row r="1" spans="1:7" ht="17.399999999999999" x14ac:dyDescent="0.3">
      <c r="A1" s="2" t="s">
        <v>231</v>
      </c>
    </row>
    <row r="3" spans="1:7" x14ac:dyDescent="0.25">
      <c r="A3" s="1" t="s">
        <v>34</v>
      </c>
    </row>
    <row r="4" spans="1:7" x14ac:dyDescent="0.25">
      <c r="A4" t="s">
        <v>232</v>
      </c>
    </row>
    <row r="5" spans="1:7" x14ac:dyDescent="0.25">
      <c r="A5" t="s">
        <v>233</v>
      </c>
    </row>
    <row r="6" spans="1:7" x14ac:dyDescent="0.25">
      <c r="A6" t="s">
        <v>234</v>
      </c>
    </row>
    <row r="7" spans="1:7" x14ac:dyDescent="0.25">
      <c r="A7" t="s">
        <v>235</v>
      </c>
    </row>
    <row r="8" spans="1:7" x14ac:dyDescent="0.25">
      <c r="A8" t="s">
        <v>264</v>
      </c>
    </row>
    <row r="10" spans="1:7" x14ac:dyDescent="0.25">
      <c r="A10" s="1" t="s">
        <v>236</v>
      </c>
    </row>
    <row r="11" spans="1:7" x14ac:dyDescent="0.25">
      <c r="A11" s="1"/>
      <c r="C11" s="29" t="str">
        <f>Maestros!A42</f>
        <v>OT1</v>
      </c>
      <c r="D11" s="29" t="str">
        <f>Maestros!A43</f>
        <v>OT2</v>
      </c>
      <c r="E11" s="29" t="str">
        <f>Maestros!A44</f>
        <v>OT3</v>
      </c>
      <c r="F11" s="29" t="str">
        <f>Maestros!A45</f>
        <v>OT4</v>
      </c>
      <c r="G11" s="29" t="str">
        <f>Maestros!A46</f>
        <v>OT5</v>
      </c>
    </row>
    <row r="12" spans="1:7" ht="27.6" x14ac:dyDescent="0.25">
      <c r="A12" s="37" t="s">
        <v>2</v>
      </c>
      <c r="B12" s="47" t="s">
        <v>3</v>
      </c>
      <c r="C12" s="38" t="str">
        <f>Maestros!B42</f>
        <v>Cocina chica</v>
      </c>
      <c r="D12" s="38" t="str">
        <f>Maestros!B43</f>
        <v>Cocina grande</v>
      </c>
      <c r="E12" s="38" t="str">
        <f>Maestros!B44</f>
        <v>Refrigeradora chica</v>
      </c>
      <c r="F12" s="38" t="str">
        <f>Maestros!B45</f>
        <v>Refrigeradora mediana</v>
      </c>
      <c r="G12" s="38" t="str">
        <f>Maestros!B46</f>
        <v>Refrigeradora grande</v>
      </c>
    </row>
    <row r="13" spans="1:7" x14ac:dyDescent="0.25">
      <c r="A13" s="26" t="str">
        <f>Maestros!A31</f>
        <v>CCP1</v>
      </c>
      <c r="B13" s="3" t="str">
        <f>Maestros!B31</f>
        <v>Mecanica</v>
      </c>
      <c r="C13" s="62" t="s">
        <v>252</v>
      </c>
      <c r="D13" s="63" t="s">
        <v>252</v>
      </c>
      <c r="E13" s="63" t="s">
        <v>252</v>
      </c>
      <c r="F13" s="63" t="s">
        <v>252</v>
      </c>
      <c r="G13" s="63" t="s">
        <v>252</v>
      </c>
    </row>
    <row r="14" spans="1:7" x14ac:dyDescent="0.25">
      <c r="A14" s="26" t="str">
        <f>Maestros!A32</f>
        <v>CCP2</v>
      </c>
      <c r="B14" s="3" t="str">
        <f>Maestros!B32</f>
        <v>Pintura</v>
      </c>
      <c r="C14" s="50" t="s">
        <v>252</v>
      </c>
      <c r="D14" s="5" t="s">
        <v>252</v>
      </c>
      <c r="E14" s="5" t="s">
        <v>252</v>
      </c>
      <c r="F14" s="5" t="s">
        <v>252</v>
      </c>
      <c r="G14" s="5" t="s">
        <v>252</v>
      </c>
    </row>
    <row r="15" spans="1:7" x14ac:dyDescent="0.25">
      <c r="A15" s="26" t="str">
        <f>Maestros!A33</f>
        <v>CCP3</v>
      </c>
      <c r="B15" s="3" t="str">
        <f>Maestros!B33</f>
        <v>Plasticos</v>
      </c>
      <c r="C15" s="50"/>
      <c r="D15" s="5"/>
      <c r="E15" s="5" t="s">
        <v>252</v>
      </c>
      <c r="F15" s="5" t="s">
        <v>252</v>
      </c>
      <c r="G15" s="5" t="s">
        <v>252</v>
      </c>
    </row>
    <row r="16" spans="1:7" x14ac:dyDescent="0.25">
      <c r="A16" s="26" t="str">
        <f>Maestros!A34</f>
        <v>CCP4</v>
      </c>
      <c r="B16" s="3" t="str">
        <f>Maestros!B34</f>
        <v>Aislamiento</v>
      </c>
      <c r="C16" s="50"/>
      <c r="D16" s="5"/>
      <c r="E16" s="5" t="s">
        <v>252</v>
      </c>
      <c r="F16" s="5" t="s">
        <v>252</v>
      </c>
      <c r="G16" s="5" t="s">
        <v>252</v>
      </c>
    </row>
    <row r="17" spans="1:7" x14ac:dyDescent="0.25">
      <c r="A17" s="26" t="str">
        <f>Maestros!A35</f>
        <v>CCP5</v>
      </c>
      <c r="B17" s="3" t="str">
        <f>Maestros!B35</f>
        <v>Sub conjuntos</v>
      </c>
      <c r="C17" s="50" t="s">
        <v>252</v>
      </c>
      <c r="D17" s="5" t="s">
        <v>252</v>
      </c>
      <c r="E17" s="5" t="s">
        <v>252</v>
      </c>
      <c r="F17" s="5" t="s">
        <v>252</v>
      </c>
      <c r="G17" s="5" t="s">
        <v>252</v>
      </c>
    </row>
    <row r="18" spans="1:7" x14ac:dyDescent="0.25">
      <c r="A18" s="26" t="str">
        <f>Maestros!A36</f>
        <v>CCP6</v>
      </c>
      <c r="B18" s="3" t="str">
        <f>Maestros!B36</f>
        <v>Ensamble Refrigeradoras</v>
      </c>
      <c r="C18" s="50"/>
      <c r="D18" s="5"/>
      <c r="E18" s="5" t="s">
        <v>252</v>
      </c>
      <c r="F18" s="5" t="s">
        <v>252</v>
      </c>
      <c r="G18" s="5" t="s">
        <v>252</v>
      </c>
    </row>
    <row r="19" spans="1:7" x14ac:dyDescent="0.25">
      <c r="A19" s="26" t="str">
        <f>Maestros!A37</f>
        <v>CCP7</v>
      </c>
      <c r="B19" s="3" t="str">
        <f>Maestros!B37</f>
        <v>Ensamble Cocinas</v>
      </c>
      <c r="C19" s="50" t="s">
        <v>252</v>
      </c>
      <c r="D19" s="5" t="s">
        <v>252</v>
      </c>
      <c r="E19" s="5"/>
      <c r="F19" s="5"/>
      <c r="G19" s="5"/>
    </row>
    <row r="20" spans="1:7" x14ac:dyDescent="0.25">
      <c r="A20" s="26" t="str">
        <f>Maestros!A38</f>
        <v>CCP8</v>
      </c>
      <c r="B20" s="3" t="str">
        <f>Maestros!B38</f>
        <v>Acabado y Embalajes</v>
      </c>
      <c r="C20" s="50" t="s">
        <v>252</v>
      </c>
      <c r="D20" s="5" t="s">
        <v>252</v>
      </c>
      <c r="E20" s="5" t="s">
        <v>252</v>
      </c>
      <c r="F20" s="5" t="s">
        <v>252</v>
      </c>
      <c r="G20" s="5" t="s">
        <v>252</v>
      </c>
    </row>
    <row r="22" spans="1:7" x14ac:dyDescent="0.25">
      <c r="A22" s="1" t="s">
        <v>237</v>
      </c>
    </row>
    <row r="23" spans="1:7" x14ac:dyDescent="0.25">
      <c r="A23" s="37" t="s">
        <v>2</v>
      </c>
      <c r="B23" s="37" t="s">
        <v>3</v>
      </c>
      <c r="C23" s="101" t="s">
        <v>223</v>
      </c>
      <c r="D23" s="101"/>
      <c r="E23" s="101"/>
    </row>
    <row r="24" spans="1:7" x14ac:dyDescent="0.25">
      <c r="A24" s="26" t="str">
        <f>A13</f>
        <v>CCP1</v>
      </c>
      <c r="B24" s="3" t="str">
        <f>B13</f>
        <v>Mecanica</v>
      </c>
      <c r="C24" s="102" t="s">
        <v>265</v>
      </c>
      <c r="D24" s="102"/>
      <c r="E24" s="102"/>
    </row>
    <row r="25" spans="1:7" x14ac:dyDescent="0.25">
      <c r="A25" s="26" t="str">
        <f t="shared" ref="A25:B25" si="0">A14</f>
        <v>CCP2</v>
      </c>
      <c r="B25" s="3" t="str">
        <f t="shared" si="0"/>
        <v>Pintura</v>
      </c>
      <c r="C25" s="102" t="s">
        <v>266</v>
      </c>
      <c r="D25" s="102"/>
      <c r="E25" s="102"/>
    </row>
    <row r="26" spans="1:7" x14ac:dyDescent="0.25">
      <c r="A26" s="26" t="str">
        <f t="shared" ref="A26:B26" si="1">A15</f>
        <v>CCP3</v>
      </c>
      <c r="B26" s="3" t="str">
        <f t="shared" si="1"/>
        <v>Plasticos</v>
      </c>
      <c r="C26" s="102" t="s">
        <v>265</v>
      </c>
      <c r="D26" s="102"/>
      <c r="E26" s="102"/>
    </row>
    <row r="27" spans="1:7" x14ac:dyDescent="0.25">
      <c r="A27" s="26" t="str">
        <f t="shared" ref="A27:B27" si="2">A16</f>
        <v>CCP4</v>
      </c>
      <c r="B27" s="3" t="str">
        <f t="shared" si="2"/>
        <v>Aislamiento</v>
      </c>
      <c r="C27" s="111" t="s">
        <v>267</v>
      </c>
      <c r="D27" s="112"/>
      <c r="E27" s="113"/>
    </row>
    <row r="28" spans="1:7" x14ac:dyDescent="0.25">
      <c r="A28" s="26" t="str">
        <f t="shared" ref="A28:B28" si="3">A17</f>
        <v>CCP5</v>
      </c>
      <c r="B28" s="3" t="str">
        <f t="shared" si="3"/>
        <v>Sub conjuntos</v>
      </c>
      <c r="C28" s="111" t="s">
        <v>268</v>
      </c>
      <c r="D28" s="112"/>
      <c r="E28" s="113"/>
    </row>
    <row r="29" spans="1:7" x14ac:dyDescent="0.25">
      <c r="A29" s="26" t="str">
        <f t="shared" ref="A29:B29" si="4">A18</f>
        <v>CCP6</v>
      </c>
      <c r="B29" s="3" t="str">
        <f t="shared" si="4"/>
        <v>Ensamble Refrigeradoras</v>
      </c>
      <c r="C29" s="111" t="s">
        <v>269</v>
      </c>
      <c r="D29" s="112"/>
      <c r="E29" s="113"/>
    </row>
    <row r="30" spans="1:7" x14ac:dyDescent="0.25">
      <c r="A30" s="26" t="str">
        <f t="shared" ref="A30:B30" si="5">A19</f>
        <v>CCP7</v>
      </c>
      <c r="B30" s="3" t="str">
        <f t="shared" si="5"/>
        <v>Ensamble Cocinas</v>
      </c>
      <c r="C30" s="111" t="s">
        <v>269</v>
      </c>
      <c r="D30" s="112"/>
      <c r="E30" s="113"/>
    </row>
    <row r="31" spans="1:7" x14ac:dyDescent="0.25">
      <c r="A31" s="26" t="str">
        <f t="shared" ref="A31:B31" si="6">A20</f>
        <v>CCP8</v>
      </c>
      <c r="B31" s="3" t="str">
        <f t="shared" si="6"/>
        <v>Acabado y Embalajes</v>
      </c>
      <c r="C31" s="111" t="s">
        <v>270</v>
      </c>
      <c r="D31" s="112"/>
      <c r="E31" s="113"/>
    </row>
    <row r="32" spans="1:7" x14ac:dyDescent="0.25">
      <c r="C32" s="32"/>
      <c r="D32" s="32"/>
      <c r="E32" s="32"/>
    </row>
    <row r="33" spans="1:11" x14ac:dyDescent="0.25">
      <c r="F33" s="35">
        <v>300</v>
      </c>
      <c r="G33" s="35">
        <v>500</v>
      </c>
      <c r="H33" s="35">
        <v>450</v>
      </c>
      <c r="I33" s="35">
        <v>600</v>
      </c>
      <c r="J33" s="35">
        <v>250</v>
      </c>
    </row>
    <row r="34" spans="1:11" x14ac:dyDescent="0.25">
      <c r="A34" s="1" t="s">
        <v>237</v>
      </c>
      <c r="F34" s="29" t="str">
        <f t="shared" ref="F34:J35" si="7">C11</f>
        <v>OT1</v>
      </c>
      <c r="G34" s="29" t="str">
        <f t="shared" si="7"/>
        <v>OT2</v>
      </c>
      <c r="H34" s="29" t="str">
        <f t="shared" si="7"/>
        <v>OT3</v>
      </c>
      <c r="I34" s="29" t="str">
        <f t="shared" si="7"/>
        <v>OT4</v>
      </c>
      <c r="J34" s="29" t="str">
        <f t="shared" si="7"/>
        <v>OT5</v>
      </c>
    </row>
    <row r="35" spans="1:11" ht="27.6" x14ac:dyDescent="0.25">
      <c r="A35" s="37" t="s">
        <v>2</v>
      </c>
      <c r="B35" s="37" t="s">
        <v>3</v>
      </c>
      <c r="C35" s="101" t="s">
        <v>227</v>
      </c>
      <c r="D35" s="101"/>
      <c r="E35" s="101"/>
      <c r="F35" s="38" t="str">
        <f t="shared" si="7"/>
        <v>Cocina chica</v>
      </c>
      <c r="G35" s="38" t="str">
        <f t="shared" si="7"/>
        <v>Cocina grande</v>
      </c>
      <c r="H35" s="38" t="str">
        <f t="shared" si="7"/>
        <v>Refrigeradora chica</v>
      </c>
      <c r="I35" s="38" t="str">
        <f t="shared" si="7"/>
        <v>Refrigeradora mediana</v>
      </c>
      <c r="J35" s="38" t="str">
        <f t="shared" si="7"/>
        <v>Refrigeradora grande</v>
      </c>
      <c r="K35" s="42" t="s">
        <v>35</v>
      </c>
    </row>
    <row r="36" spans="1:11" x14ac:dyDescent="0.25">
      <c r="A36" s="26" t="str">
        <f>A24</f>
        <v>CCP1</v>
      </c>
      <c r="B36" s="3" t="str">
        <f>B24</f>
        <v>Mecanica</v>
      </c>
      <c r="C36" s="108" t="str">
        <f>C24</f>
        <v>No piezas totales</v>
      </c>
      <c r="D36" s="108"/>
      <c r="E36" s="108"/>
      <c r="F36" s="62">
        <f>40*300</f>
        <v>12000</v>
      </c>
      <c r="G36" s="63">
        <f>60*500</f>
        <v>30000</v>
      </c>
      <c r="H36" s="63">
        <f>35*450</f>
        <v>15750</v>
      </c>
      <c r="I36" s="63">
        <f>45*600</f>
        <v>27000</v>
      </c>
      <c r="J36" s="63">
        <f>60*250</f>
        <v>15000</v>
      </c>
      <c r="K36" s="48">
        <f>SUM(F36:J36)</f>
        <v>99750</v>
      </c>
    </row>
    <row r="37" spans="1:11" x14ac:dyDescent="0.25">
      <c r="A37" s="26" t="str">
        <f t="shared" ref="A37:C43" si="8">A25</f>
        <v>CCP2</v>
      </c>
      <c r="B37" s="3" t="str">
        <f t="shared" si="8"/>
        <v>Pintura</v>
      </c>
      <c r="C37" s="108" t="str">
        <f t="shared" si="8"/>
        <v>Tiempo de pintado estandar</v>
      </c>
      <c r="D37" s="108"/>
      <c r="E37" s="108"/>
      <c r="F37" s="50">
        <f>1.1*300</f>
        <v>330</v>
      </c>
      <c r="G37" s="5">
        <f>1.2*500</f>
        <v>600</v>
      </c>
      <c r="H37" s="5">
        <f>1.3*450</f>
        <v>585</v>
      </c>
      <c r="I37" s="5">
        <f>1.5*600</f>
        <v>900</v>
      </c>
      <c r="J37" s="5">
        <f>1.8*250</f>
        <v>450</v>
      </c>
      <c r="K37" s="48">
        <f t="shared" ref="K37:K43" si="9">SUM(F37:J37)</f>
        <v>2865</v>
      </c>
    </row>
    <row r="38" spans="1:11" x14ac:dyDescent="0.25">
      <c r="A38" s="26" t="str">
        <f t="shared" si="8"/>
        <v>CCP3</v>
      </c>
      <c r="B38" s="3" t="str">
        <f t="shared" si="8"/>
        <v>Plasticos</v>
      </c>
      <c r="C38" s="108" t="str">
        <f t="shared" si="8"/>
        <v>No piezas totales</v>
      </c>
      <c r="D38" s="108"/>
      <c r="E38" s="108"/>
      <c r="F38" s="50"/>
      <c r="G38" s="5"/>
      <c r="H38" s="5">
        <f>4*450</f>
        <v>1800</v>
      </c>
      <c r="I38" s="5">
        <f>7*600</f>
        <v>4200</v>
      </c>
      <c r="J38" s="5">
        <f>8*250</f>
        <v>2000</v>
      </c>
      <c r="K38" s="48">
        <f t="shared" si="9"/>
        <v>8000</v>
      </c>
    </row>
    <row r="39" spans="1:11" x14ac:dyDescent="0.25">
      <c r="A39" s="26" t="str">
        <f t="shared" si="8"/>
        <v>CCP4</v>
      </c>
      <c r="B39" s="3" t="str">
        <f t="shared" si="8"/>
        <v>Aislamiento</v>
      </c>
      <c r="C39" s="108" t="str">
        <f t="shared" si="8"/>
        <v>Kg inyectados</v>
      </c>
      <c r="D39" s="108"/>
      <c r="E39" s="108"/>
      <c r="F39" s="50"/>
      <c r="G39" s="5"/>
      <c r="H39" s="5">
        <f>3*450</f>
        <v>1350</v>
      </c>
      <c r="I39" s="5">
        <f>5*600</f>
        <v>3000</v>
      </c>
      <c r="J39" s="5">
        <f>8*250</f>
        <v>2000</v>
      </c>
      <c r="K39" s="48">
        <f t="shared" si="9"/>
        <v>6350</v>
      </c>
    </row>
    <row r="40" spans="1:11" x14ac:dyDescent="0.25">
      <c r="A40" s="26" t="str">
        <f t="shared" si="8"/>
        <v>CCP5</v>
      </c>
      <c r="B40" s="3" t="str">
        <f t="shared" si="8"/>
        <v>Sub conjuntos</v>
      </c>
      <c r="C40" s="108" t="str">
        <f t="shared" si="8"/>
        <v>No sub conjuntos</v>
      </c>
      <c r="D40" s="108"/>
      <c r="E40" s="108"/>
      <c r="F40" s="50">
        <f>2*300</f>
        <v>600</v>
      </c>
      <c r="G40" s="5">
        <f>3*500</f>
        <v>1500</v>
      </c>
      <c r="H40" s="5">
        <f>4*450</f>
        <v>1800</v>
      </c>
      <c r="I40" s="5">
        <f>4*600</f>
        <v>2400</v>
      </c>
      <c r="J40" s="5">
        <f>4*250</f>
        <v>1000</v>
      </c>
      <c r="K40" s="48">
        <f t="shared" si="9"/>
        <v>7300</v>
      </c>
    </row>
    <row r="41" spans="1:11" x14ac:dyDescent="0.25">
      <c r="A41" s="26" t="str">
        <f t="shared" si="8"/>
        <v>CCP6</v>
      </c>
      <c r="B41" s="3" t="str">
        <f t="shared" si="8"/>
        <v>Ensamble Refrigeradoras</v>
      </c>
      <c r="C41" s="108" t="str">
        <f t="shared" si="8"/>
        <v>No piezas a ensamblar</v>
      </c>
      <c r="D41" s="108"/>
      <c r="E41" s="108"/>
      <c r="F41" s="50"/>
      <c r="G41" s="5"/>
      <c r="H41" s="5">
        <f>20*450</f>
        <v>9000</v>
      </c>
      <c r="I41" s="5">
        <f>20*600</f>
        <v>12000</v>
      </c>
      <c r="J41" s="5">
        <f>20*250</f>
        <v>5000</v>
      </c>
      <c r="K41" s="48">
        <f t="shared" si="9"/>
        <v>26000</v>
      </c>
    </row>
    <row r="42" spans="1:11" x14ac:dyDescent="0.25">
      <c r="A42" s="26" t="str">
        <f t="shared" si="8"/>
        <v>CCP7</v>
      </c>
      <c r="B42" s="3" t="str">
        <f t="shared" si="8"/>
        <v>Ensamble Cocinas</v>
      </c>
      <c r="C42" s="108" t="str">
        <f t="shared" si="8"/>
        <v>No piezas a ensamblar</v>
      </c>
      <c r="D42" s="108"/>
      <c r="E42" s="108"/>
      <c r="F42" s="50">
        <f>15*300</f>
        <v>4500</v>
      </c>
      <c r="G42" s="5">
        <f>15*500</f>
        <v>7500</v>
      </c>
      <c r="H42" s="5"/>
      <c r="I42" s="5"/>
      <c r="J42" s="5"/>
      <c r="K42" s="48">
        <f t="shared" si="9"/>
        <v>12000</v>
      </c>
    </row>
    <row r="43" spans="1:11" x14ac:dyDescent="0.25">
      <c r="A43" s="26" t="str">
        <f t="shared" si="8"/>
        <v>CCP8</v>
      </c>
      <c r="B43" s="3" t="str">
        <f t="shared" si="8"/>
        <v>Acabado y Embalajes</v>
      </c>
      <c r="C43" s="108" t="str">
        <f t="shared" si="8"/>
        <v>No unidades</v>
      </c>
      <c r="D43" s="108"/>
      <c r="E43" s="108"/>
      <c r="F43" s="50">
        <v>300</v>
      </c>
      <c r="G43" s="5">
        <v>500</v>
      </c>
      <c r="H43" s="5">
        <v>450</v>
      </c>
      <c r="I43" s="5">
        <v>600</v>
      </c>
      <c r="J43" s="5">
        <v>250</v>
      </c>
      <c r="K43" s="48">
        <f t="shared" si="9"/>
        <v>2100</v>
      </c>
    </row>
    <row r="45" spans="1:11" x14ac:dyDescent="0.25">
      <c r="A45" s="1" t="s">
        <v>238</v>
      </c>
    </row>
    <row r="46" spans="1:11" x14ac:dyDescent="0.25">
      <c r="A46" s="1"/>
    </row>
    <row r="47" spans="1:11" x14ac:dyDescent="0.25">
      <c r="F47" s="29" t="str">
        <f t="shared" ref="F47:J48" si="10">F34</f>
        <v>OT1</v>
      </c>
      <c r="G47" s="29" t="str">
        <f t="shared" si="10"/>
        <v>OT2</v>
      </c>
      <c r="H47" s="29" t="str">
        <f t="shared" si="10"/>
        <v>OT3</v>
      </c>
      <c r="I47" s="29" t="str">
        <f t="shared" si="10"/>
        <v>OT4</v>
      </c>
      <c r="J47" s="29" t="str">
        <f t="shared" si="10"/>
        <v>OT5</v>
      </c>
    </row>
    <row r="48" spans="1:11" ht="27.6" x14ac:dyDescent="0.25">
      <c r="A48" s="37" t="s">
        <v>2</v>
      </c>
      <c r="B48" s="37" t="s">
        <v>3</v>
      </c>
      <c r="C48" s="101" t="s">
        <v>6</v>
      </c>
      <c r="D48" s="101"/>
      <c r="E48" s="101"/>
      <c r="F48" s="38" t="str">
        <f t="shared" si="10"/>
        <v>Cocina chica</v>
      </c>
      <c r="G48" s="38" t="str">
        <f t="shared" si="10"/>
        <v>Cocina grande</v>
      </c>
      <c r="H48" s="38" t="str">
        <f t="shared" si="10"/>
        <v>Refrigeradora chica</v>
      </c>
      <c r="I48" s="38" t="str">
        <f t="shared" si="10"/>
        <v>Refrigeradora mediana</v>
      </c>
      <c r="J48" s="38" t="str">
        <f t="shared" si="10"/>
        <v>Refrigeradora grande</v>
      </c>
      <c r="K48" s="42" t="s">
        <v>35</v>
      </c>
    </row>
    <row r="49" spans="1:11" x14ac:dyDescent="0.25">
      <c r="A49" s="26" t="str">
        <f>A36</f>
        <v>CCP1</v>
      </c>
      <c r="B49" s="3" t="str">
        <f>B36</f>
        <v>Mecanica</v>
      </c>
      <c r="C49" s="110"/>
      <c r="D49" s="110"/>
      <c r="E49" s="110"/>
      <c r="F49" s="4"/>
      <c r="G49" s="4"/>
      <c r="H49" s="4"/>
      <c r="I49" s="4"/>
      <c r="J49" s="4"/>
      <c r="K49" s="48"/>
    </row>
    <row r="50" spans="1:11" x14ac:dyDescent="0.25">
      <c r="A50" s="26" t="str">
        <f t="shared" ref="A50:B50" si="11">A37</f>
        <v>CCP2</v>
      </c>
      <c r="B50" s="3" t="str">
        <f t="shared" si="11"/>
        <v>Pintura</v>
      </c>
      <c r="C50" s="110"/>
      <c r="D50" s="110"/>
      <c r="E50" s="110"/>
      <c r="F50" s="4"/>
      <c r="G50" s="4"/>
      <c r="H50" s="4"/>
      <c r="I50" s="4"/>
      <c r="J50" s="4"/>
      <c r="K50" s="48"/>
    </row>
    <row r="51" spans="1:11" x14ac:dyDescent="0.25">
      <c r="A51" s="26" t="str">
        <f t="shared" ref="A51:B51" si="12">A38</f>
        <v>CCP3</v>
      </c>
      <c r="B51" s="3" t="str">
        <f t="shared" si="12"/>
        <v>Plasticos</v>
      </c>
      <c r="C51" s="110"/>
      <c r="D51" s="110"/>
      <c r="E51" s="110"/>
      <c r="F51" s="4"/>
      <c r="G51" s="4"/>
      <c r="H51" s="4"/>
      <c r="I51" s="4"/>
      <c r="J51" s="4"/>
      <c r="K51" s="48"/>
    </row>
    <row r="52" spans="1:11" x14ac:dyDescent="0.25">
      <c r="A52" s="26" t="str">
        <f t="shared" ref="A52:B52" si="13">A39</f>
        <v>CCP4</v>
      </c>
      <c r="B52" s="3" t="str">
        <f t="shared" si="13"/>
        <v>Aislamiento</v>
      </c>
      <c r="C52" s="110"/>
      <c r="D52" s="110"/>
      <c r="E52" s="110"/>
      <c r="F52" s="4"/>
      <c r="G52" s="4"/>
      <c r="H52" s="4"/>
      <c r="I52" s="4"/>
      <c r="J52" s="4"/>
      <c r="K52" s="48"/>
    </row>
    <row r="53" spans="1:11" x14ac:dyDescent="0.25">
      <c r="A53" s="26" t="str">
        <f t="shared" ref="A53:B53" si="14">A40</f>
        <v>CCP5</v>
      </c>
      <c r="B53" s="3" t="str">
        <f t="shared" si="14"/>
        <v>Sub conjuntos</v>
      </c>
      <c r="C53" s="110"/>
      <c r="D53" s="110"/>
      <c r="E53" s="110"/>
      <c r="F53" s="4"/>
      <c r="G53" s="4"/>
      <c r="H53" s="4"/>
      <c r="I53" s="4"/>
      <c r="J53" s="4"/>
      <c r="K53" s="48"/>
    </row>
    <row r="54" spans="1:11" x14ac:dyDescent="0.25">
      <c r="A54" s="26" t="str">
        <f t="shared" ref="A54:B54" si="15">A41</f>
        <v>CCP6</v>
      </c>
      <c r="B54" s="3" t="str">
        <f t="shared" si="15"/>
        <v>Ensamble Refrigeradoras</v>
      </c>
      <c r="C54" s="110"/>
      <c r="D54" s="110"/>
      <c r="E54" s="110"/>
      <c r="F54" s="4"/>
      <c r="G54" s="4"/>
      <c r="H54" s="4"/>
      <c r="I54" s="4"/>
      <c r="J54" s="4"/>
      <c r="K54" s="48"/>
    </row>
    <row r="55" spans="1:11" x14ac:dyDescent="0.25">
      <c r="A55" s="26" t="str">
        <f t="shared" ref="A55:B55" si="16">A42</f>
        <v>CCP7</v>
      </c>
      <c r="B55" s="3" t="str">
        <f t="shared" si="16"/>
        <v>Ensamble Cocinas</v>
      </c>
      <c r="C55" s="110"/>
      <c r="D55" s="110"/>
      <c r="E55" s="110"/>
      <c r="F55" s="4"/>
      <c r="G55" s="4"/>
      <c r="H55" s="4"/>
      <c r="I55" s="4"/>
      <c r="J55" s="4"/>
      <c r="K55" s="48"/>
    </row>
    <row r="56" spans="1:11" x14ac:dyDescent="0.25">
      <c r="A56" s="26" t="str">
        <f t="shared" ref="A56:B56" si="17">A43</f>
        <v>CCP8</v>
      </c>
      <c r="B56" s="3" t="str">
        <f t="shared" si="17"/>
        <v>Acabado y Embalajes</v>
      </c>
      <c r="C56" s="110"/>
      <c r="D56" s="110"/>
      <c r="E56" s="110"/>
      <c r="F56" s="4"/>
      <c r="G56" s="4"/>
      <c r="H56" s="4"/>
      <c r="I56" s="4"/>
      <c r="J56" s="4"/>
      <c r="K56" s="48"/>
    </row>
    <row r="57" spans="1:11" x14ac:dyDescent="0.25">
      <c r="A57" s="49"/>
      <c r="B57" s="49"/>
      <c r="C57" s="105" t="s">
        <v>36</v>
      </c>
      <c r="D57" s="106"/>
      <c r="E57" s="107"/>
      <c r="F57" s="76"/>
      <c r="G57" s="76"/>
      <c r="H57" s="76"/>
      <c r="I57" s="76"/>
      <c r="J57" s="76"/>
      <c r="K57" s="76"/>
    </row>
    <row r="58" spans="1:11" x14ac:dyDescent="0.25">
      <c r="F58" t="s">
        <v>291</v>
      </c>
      <c r="G58" t="s">
        <v>292</v>
      </c>
      <c r="H58" t="s">
        <v>291</v>
      </c>
      <c r="I58" t="s">
        <v>291</v>
      </c>
      <c r="J58" t="s">
        <v>292</v>
      </c>
    </row>
    <row r="59" spans="1:11" x14ac:dyDescent="0.25">
      <c r="D59" t="s">
        <v>293</v>
      </c>
      <c r="F59" s="77">
        <f>F57/F33</f>
        <v>0</v>
      </c>
      <c r="H59" s="77">
        <f>H57/H33</f>
        <v>0</v>
      </c>
      <c r="I59" s="77">
        <f>I57/I33</f>
        <v>0</v>
      </c>
    </row>
    <row r="61" spans="1:11" x14ac:dyDescent="0.25">
      <c r="F61" s="19" t="s">
        <v>295</v>
      </c>
      <c r="G61" s="19"/>
      <c r="I61" s="61">
        <f>G57+J57</f>
        <v>0</v>
      </c>
    </row>
    <row r="62" spans="1:11" x14ac:dyDescent="0.25">
      <c r="F62" s="19" t="s">
        <v>296</v>
      </c>
      <c r="G62" s="19"/>
      <c r="I62" s="61">
        <f>F57+H57+I57</f>
        <v>0</v>
      </c>
    </row>
  </sheetData>
  <mergeCells count="28">
    <mergeCell ref="C35:E35"/>
    <mergeCell ref="C23:E23"/>
    <mergeCell ref="C24:E24"/>
    <mergeCell ref="C25:E25"/>
    <mergeCell ref="C26:E26"/>
    <mergeCell ref="C31:E31"/>
    <mergeCell ref="C29:E29"/>
    <mergeCell ref="C55:E55"/>
    <mergeCell ref="C56:E56"/>
    <mergeCell ref="C57:E57"/>
    <mergeCell ref="C27:E27"/>
    <mergeCell ref="C28:E28"/>
    <mergeCell ref="C30:E30"/>
    <mergeCell ref="C38:E38"/>
    <mergeCell ref="C39:E39"/>
    <mergeCell ref="C40:E40"/>
    <mergeCell ref="C36:E36"/>
    <mergeCell ref="C37:E37"/>
    <mergeCell ref="C42:E42"/>
    <mergeCell ref="C43:E43"/>
    <mergeCell ref="C48:E48"/>
    <mergeCell ref="C49:E49"/>
    <mergeCell ref="C41:E41"/>
    <mergeCell ref="C50:E50"/>
    <mergeCell ref="C51:E51"/>
    <mergeCell ref="C52:E52"/>
    <mergeCell ref="C53:E53"/>
    <mergeCell ref="C54:E5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4"/>
  <sheetViews>
    <sheetView topLeftCell="A31" workbookViewId="0">
      <selection activeCell="A6" sqref="A6"/>
    </sheetView>
  </sheetViews>
  <sheetFormatPr baseColWidth="10" defaultRowHeight="13.8" x14ac:dyDescent="0.25"/>
  <cols>
    <col min="1" max="1" width="16.5" customWidth="1"/>
    <col min="2" max="2" width="39.69921875" bestFit="1" customWidth="1"/>
    <col min="11" max="11" width="12.8984375" customWidth="1"/>
  </cols>
  <sheetData>
    <row r="1" spans="1:3" ht="17.399999999999999" x14ac:dyDescent="0.3">
      <c r="A1" s="2" t="s">
        <v>239</v>
      </c>
    </row>
    <row r="3" spans="1:3" x14ac:dyDescent="0.25">
      <c r="A3" s="1" t="s">
        <v>271</v>
      </c>
    </row>
    <row r="4" spans="1:3" x14ac:dyDescent="0.25">
      <c r="A4" s="1" t="s">
        <v>272</v>
      </c>
    </row>
    <row r="6" spans="1:3" x14ac:dyDescent="0.25">
      <c r="A6" s="81" t="s">
        <v>103</v>
      </c>
      <c r="B6" s="81" t="s">
        <v>278</v>
      </c>
      <c r="C6" s="40">
        <f>'03 Mano Obra Directa'!E6</f>
        <v>300</v>
      </c>
    </row>
    <row r="7" spans="1:3" x14ac:dyDescent="0.25">
      <c r="A7" s="3" t="s">
        <v>273</v>
      </c>
      <c r="B7" s="3"/>
      <c r="C7" s="70">
        <f>'01 Material Directo'!C53</f>
        <v>0</v>
      </c>
    </row>
    <row r="8" spans="1:3" x14ac:dyDescent="0.25">
      <c r="A8" s="3" t="s">
        <v>274</v>
      </c>
      <c r="B8" s="3"/>
      <c r="C8" s="70">
        <f>'03 Mano Obra Directa'!E52</f>
        <v>0</v>
      </c>
    </row>
    <row r="9" spans="1:3" x14ac:dyDescent="0.25">
      <c r="A9" s="3" t="s">
        <v>275</v>
      </c>
      <c r="B9" s="3"/>
      <c r="C9" s="70">
        <f>'02 Servicio Directo'!C27</f>
        <v>0</v>
      </c>
    </row>
    <row r="10" spans="1:3" x14ac:dyDescent="0.25">
      <c r="A10" s="3" t="s">
        <v>276</v>
      </c>
      <c r="B10" s="3"/>
      <c r="C10" s="70">
        <f>'CI 4C'!F57</f>
        <v>0</v>
      </c>
    </row>
    <row r="11" spans="1:3" x14ac:dyDescent="0.25">
      <c r="A11" s="12" t="s">
        <v>35</v>
      </c>
      <c r="B11" s="12"/>
      <c r="C11" s="71">
        <f>SUM(C7:C10)</f>
        <v>0</v>
      </c>
    </row>
    <row r="12" spans="1:3" x14ac:dyDescent="0.25">
      <c r="A12" s="12" t="s">
        <v>277</v>
      </c>
      <c r="B12" s="12"/>
      <c r="C12" s="72">
        <f>C11/C6</f>
        <v>0</v>
      </c>
    </row>
    <row r="14" spans="1:3" x14ac:dyDescent="0.25">
      <c r="A14" s="82" t="s">
        <v>279</v>
      </c>
      <c r="B14" s="82" t="s">
        <v>280</v>
      </c>
      <c r="C14" s="83">
        <f>'03 Mano Obra Directa'!F6</f>
        <v>500</v>
      </c>
    </row>
    <row r="15" spans="1:3" x14ac:dyDescent="0.25">
      <c r="A15" s="3" t="s">
        <v>273</v>
      </c>
      <c r="B15" s="3"/>
      <c r="C15" s="70">
        <f>'01 Material Directo'!D53</f>
        <v>0</v>
      </c>
    </row>
    <row r="16" spans="1:3" x14ac:dyDescent="0.25">
      <c r="A16" s="3" t="s">
        <v>274</v>
      </c>
      <c r="B16" s="3"/>
      <c r="C16" s="70">
        <f>'03 Mano Obra Directa'!F52</f>
        <v>0</v>
      </c>
    </row>
    <row r="17" spans="1:3" x14ac:dyDescent="0.25">
      <c r="A17" s="3" t="s">
        <v>275</v>
      </c>
      <c r="B17" s="3"/>
      <c r="C17" s="70">
        <f>'02 Servicio Directo'!D27</f>
        <v>0</v>
      </c>
    </row>
    <row r="18" spans="1:3" x14ac:dyDescent="0.25">
      <c r="A18" s="3" t="s">
        <v>276</v>
      </c>
      <c r="B18" s="3"/>
      <c r="C18" s="70">
        <f>'CI 4C'!G57</f>
        <v>0</v>
      </c>
    </row>
    <row r="19" spans="1:3" x14ac:dyDescent="0.25">
      <c r="A19" s="12" t="s">
        <v>35</v>
      </c>
      <c r="B19" s="12"/>
      <c r="C19" s="71">
        <f>SUM(C15:C18)</f>
        <v>0</v>
      </c>
    </row>
    <row r="20" spans="1:3" x14ac:dyDescent="0.25">
      <c r="A20" s="12" t="s">
        <v>277</v>
      </c>
      <c r="B20" s="12"/>
      <c r="C20" s="72"/>
    </row>
    <row r="22" spans="1:3" x14ac:dyDescent="0.25">
      <c r="A22" s="81" t="s">
        <v>281</v>
      </c>
      <c r="B22" s="81" t="s">
        <v>282</v>
      </c>
      <c r="C22" s="40">
        <f>'03 Mano Obra Directa'!G6</f>
        <v>450</v>
      </c>
    </row>
    <row r="23" spans="1:3" x14ac:dyDescent="0.25">
      <c r="A23" s="3" t="s">
        <v>273</v>
      </c>
      <c r="B23" s="3"/>
      <c r="C23" s="70">
        <f>'01 Material Directo'!E53</f>
        <v>0</v>
      </c>
    </row>
    <row r="24" spans="1:3" x14ac:dyDescent="0.25">
      <c r="A24" s="3" t="s">
        <v>274</v>
      </c>
      <c r="B24" s="3"/>
      <c r="C24" s="70">
        <f>'03 Mano Obra Directa'!G52</f>
        <v>0</v>
      </c>
    </row>
    <row r="25" spans="1:3" x14ac:dyDescent="0.25">
      <c r="A25" s="3" t="s">
        <v>275</v>
      </c>
      <c r="B25" s="3"/>
      <c r="C25" s="70">
        <f>'02 Servicio Directo'!E27</f>
        <v>0</v>
      </c>
    </row>
    <row r="26" spans="1:3" x14ac:dyDescent="0.25">
      <c r="A26" s="3" t="s">
        <v>276</v>
      </c>
      <c r="B26" s="3"/>
      <c r="C26" s="70">
        <f>'CI 4C'!H57</f>
        <v>0</v>
      </c>
    </row>
    <row r="27" spans="1:3" x14ac:dyDescent="0.25">
      <c r="A27" s="12" t="s">
        <v>35</v>
      </c>
      <c r="B27" s="12"/>
      <c r="C27" s="71">
        <f>SUM(C23:C26)</f>
        <v>0</v>
      </c>
    </row>
    <row r="28" spans="1:3" x14ac:dyDescent="0.25">
      <c r="A28" s="12" t="s">
        <v>277</v>
      </c>
      <c r="B28" s="12"/>
      <c r="C28" s="72">
        <f>C27/C22</f>
        <v>0</v>
      </c>
    </row>
    <row r="30" spans="1:3" x14ac:dyDescent="0.25">
      <c r="A30" s="81" t="s">
        <v>283</v>
      </c>
      <c r="B30" s="81" t="s">
        <v>284</v>
      </c>
      <c r="C30" s="40">
        <f>'03 Mano Obra Directa'!H6</f>
        <v>600</v>
      </c>
    </row>
    <row r="31" spans="1:3" x14ac:dyDescent="0.25">
      <c r="A31" s="3" t="s">
        <v>273</v>
      </c>
      <c r="B31" s="3"/>
      <c r="C31" s="70">
        <f>'01 Material Directo'!F53</f>
        <v>0</v>
      </c>
    </row>
    <row r="32" spans="1:3" x14ac:dyDescent="0.25">
      <c r="A32" s="3" t="s">
        <v>274</v>
      </c>
      <c r="B32" s="3"/>
      <c r="C32" s="70">
        <f>'03 Mano Obra Directa'!G52</f>
        <v>0</v>
      </c>
    </row>
    <row r="33" spans="1:3" x14ac:dyDescent="0.25">
      <c r="A33" s="3" t="s">
        <v>275</v>
      </c>
      <c r="B33" s="3"/>
      <c r="C33" s="70">
        <f>'02 Servicio Directo'!F27</f>
        <v>0</v>
      </c>
    </row>
    <row r="34" spans="1:3" x14ac:dyDescent="0.25">
      <c r="A34" s="3" t="s">
        <v>276</v>
      </c>
      <c r="B34" s="3"/>
      <c r="C34" s="70">
        <f>'CI 4C'!I57</f>
        <v>0</v>
      </c>
    </row>
    <row r="35" spans="1:3" x14ac:dyDescent="0.25">
      <c r="A35" s="12" t="s">
        <v>35</v>
      </c>
      <c r="B35" s="12"/>
      <c r="C35" s="71">
        <f>SUM(C31:C34)</f>
        <v>0</v>
      </c>
    </row>
    <row r="36" spans="1:3" x14ac:dyDescent="0.25">
      <c r="A36" s="12" t="s">
        <v>277</v>
      </c>
      <c r="B36" s="12"/>
      <c r="C36" s="72">
        <f>C35/C30</f>
        <v>0</v>
      </c>
    </row>
    <row r="38" spans="1:3" x14ac:dyDescent="0.25">
      <c r="A38" s="82" t="s">
        <v>285</v>
      </c>
      <c r="B38" s="82" t="s">
        <v>286</v>
      </c>
      <c r="C38" s="83">
        <f>'03 Mano Obra Directa'!I6</f>
        <v>250</v>
      </c>
    </row>
    <row r="39" spans="1:3" x14ac:dyDescent="0.25">
      <c r="A39" s="3" t="s">
        <v>273</v>
      </c>
      <c r="B39" s="3"/>
      <c r="C39" s="70">
        <f>'01 Material Directo'!G53</f>
        <v>0</v>
      </c>
    </row>
    <row r="40" spans="1:3" x14ac:dyDescent="0.25">
      <c r="A40" s="3" t="s">
        <v>274</v>
      </c>
      <c r="B40" s="3"/>
      <c r="C40" s="70">
        <f>'03 Mano Obra Directa'!I52</f>
        <v>0</v>
      </c>
    </row>
    <row r="41" spans="1:3" x14ac:dyDescent="0.25">
      <c r="A41" s="3" t="s">
        <v>275</v>
      </c>
      <c r="B41" s="3"/>
      <c r="C41" s="70">
        <f>'02 Servicio Directo'!G27</f>
        <v>0</v>
      </c>
    </row>
    <row r="42" spans="1:3" x14ac:dyDescent="0.25">
      <c r="A42" s="3" t="s">
        <v>276</v>
      </c>
      <c r="B42" s="3"/>
      <c r="C42" s="70">
        <f>'CI 4C'!J57</f>
        <v>0</v>
      </c>
    </row>
    <row r="43" spans="1:3" x14ac:dyDescent="0.25">
      <c r="A43" s="12" t="s">
        <v>35</v>
      </c>
      <c r="B43" s="12"/>
      <c r="C43" s="71">
        <f>SUM(C39:C42)</f>
        <v>0</v>
      </c>
    </row>
    <row r="44" spans="1:3" x14ac:dyDescent="0.25">
      <c r="A44" s="12" t="s">
        <v>277</v>
      </c>
      <c r="B44" s="12"/>
      <c r="C44" s="7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1"/>
  <sheetViews>
    <sheetView zoomScale="120" zoomScaleNormal="120" workbookViewId="0">
      <selection activeCell="C4" sqref="C4"/>
    </sheetView>
  </sheetViews>
  <sheetFormatPr baseColWidth="10" defaultRowHeight="13.8" x14ac:dyDescent="0.25"/>
  <cols>
    <col min="1" max="1" width="8.19921875" customWidth="1"/>
    <col min="2" max="2" width="20.19921875" customWidth="1"/>
    <col min="3" max="3" width="8.5" bestFit="1" customWidth="1"/>
    <col min="4" max="4" width="7.19921875" bestFit="1" customWidth="1"/>
    <col min="5" max="5" width="9.8984375" bestFit="1" customWidth="1"/>
    <col min="6" max="6" width="8.69921875" bestFit="1" customWidth="1"/>
    <col min="7" max="8" width="9.8984375" bestFit="1" customWidth="1"/>
    <col min="10" max="10" width="7.69921875" bestFit="1" customWidth="1"/>
  </cols>
  <sheetData>
    <row r="1" spans="1:11" x14ac:dyDescent="0.25">
      <c r="A1" s="1" t="s">
        <v>37</v>
      </c>
    </row>
    <row r="3" spans="1:11" x14ac:dyDescent="0.25">
      <c r="A3" s="26" t="s">
        <v>2</v>
      </c>
      <c r="B3" s="26" t="s">
        <v>3</v>
      </c>
      <c r="C3" s="26" t="s">
        <v>287</v>
      </c>
      <c r="D3" s="28" t="s">
        <v>273</v>
      </c>
      <c r="E3" s="28" t="s">
        <v>274</v>
      </c>
      <c r="F3" s="28" t="s">
        <v>275</v>
      </c>
      <c r="G3" s="28" t="s">
        <v>276</v>
      </c>
      <c r="H3" s="28" t="s">
        <v>35</v>
      </c>
      <c r="I3" s="26" t="s">
        <v>63</v>
      </c>
      <c r="J3" s="27" t="s">
        <v>288</v>
      </c>
    </row>
    <row r="4" spans="1:11" ht="15" x14ac:dyDescent="0.25">
      <c r="A4" s="3" t="s">
        <v>60</v>
      </c>
      <c r="B4" s="3" t="s">
        <v>29</v>
      </c>
      <c r="C4" s="5"/>
      <c r="D4" s="70"/>
      <c r="E4" s="70"/>
      <c r="F4" s="70"/>
      <c r="G4" s="70"/>
      <c r="H4" s="71"/>
      <c r="I4" s="73"/>
      <c r="J4" s="74"/>
      <c r="K4" s="75">
        <f>H4-'CI 4D'!C11</f>
        <v>0</v>
      </c>
    </row>
    <row r="5" spans="1:11" ht="15" x14ac:dyDescent="0.25">
      <c r="A5" s="3" t="s">
        <v>61</v>
      </c>
      <c r="B5" s="3" t="s">
        <v>30</v>
      </c>
      <c r="C5" s="5"/>
      <c r="D5" s="70"/>
      <c r="E5" s="70"/>
      <c r="F5" s="70"/>
      <c r="G5" s="70"/>
      <c r="H5" s="71"/>
      <c r="I5" s="73"/>
      <c r="J5" s="51"/>
      <c r="K5" s="75">
        <f>H5-'CI 4D'!C19</f>
        <v>0</v>
      </c>
    </row>
    <row r="6" spans="1:11" ht="15" x14ac:dyDescent="0.25">
      <c r="A6" s="3" t="s">
        <v>62</v>
      </c>
      <c r="B6" s="3" t="s">
        <v>31</v>
      </c>
      <c r="C6" s="5"/>
      <c r="D6" s="70"/>
      <c r="E6" s="70"/>
      <c r="F6" s="70"/>
      <c r="G6" s="70"/>
      <c r="H6" s="71"/>
      <c r="I6" s="73"/>
      <c r="J6" s="74"/>
      <c r="K6" s="75">
        <f>H6-'CI 4D'!C27</f>
        <v>0</v>
      </c>
    </row>
    <row r="7" spans="1:11" ht="15" x14ac:dyDescent="0.25">
      <c r="A7" s="3" t="s">
        <v>79</v>
      </c>
      <c r="B7" s="3" t="s">
        <v>32</v>
      </c>
      <c r="C7" s="5"/>
      <c r="D7" s="70"/>
      <c r="E7" s="70"/>
      <c r="F7" s="70"/>
      <c r="G7" s="70"/>
      <c r="H7" s="71"/>
      <c r="I7" s="73"/>
      <c r="J7" s="74"/>
      <c r="K7" s="75">
        <f>H7-'CI 4D'!C35</f>
        <v>0</v>
      </c>
    </row>
    <row r="8" spans="1:11" ht="15" x14ac:dyDescent="0.25">
      <c r="A8" s="3" t="s">
        <v>80</v>
      </c>
      <c r="B8" s="3" t="s">
        <v>33</v>
      </c>
      <c r="C8" s="5"/>
      <c r="D8" s="70"/>
      <c r="E8" s="70"/>
      <c r="F8" s="70"/>
      <c r="G8" s="70"/>
      <c r="H8" s="71"/>
      <c r="I8" s="73"/>
      <c r="J8" s="51"/>
      <c r="K8" s="75">
        <f>H8-'CI 4D'!C43</f>
        <v>0</v>
      </c>
    </row>
    <row r="9" spans="1:11" x14ac:dyDescent="0.25">
      <c r="D9" s="75"/>
      <c r="E9" s="75"/>
      <c r="F9" s="75"/>
      <c r="G9" s="75"/>
      <c r="H9" s="75"/>
    </row>
    <row r="10" spans="1:11" x14ac:dyDescent="0.25">
      <c r="F10" t="s">
        <v>289</v>
      </c>
      <c r="I10" s="75">
        <f>H4+H6+H7</f>
        <v>0</v>
      </c>
    </row>
    <row r="11" spans="1:11" x14ac:dyDescent="0.25">
      <c r="F11" t="s">
        <v>290</v>
      </c>
      <c r="I11" s="75">
        <f>H5+H8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Modelo</vt:lpstr>
      <vt:lpstr>Maestros</vt:lpstr>
      <vt:lpstr>Planilla Remunerac</vt:lpstr>
      <vt:lpstr>01 Material Directo</vt:lpstr>
      <vt:lpstr>02 Servicio Directo</vt:lpstr>
      <vt:lpstr>03 Mano Obra Directa</vt:lpstr>
      <vt:lpstr>Costeo Indirectos</vt:lpstr>
      <vt:lpstr>CI 4A</vt:lpstr>
      <vt:lpstr>CI 4B</vt:lpstr>
      <vt:lpstr>CI 4C</vt:lpstr>
      <vt:lpstr>CI 4D</vt:lpstr>
      <vt:lpstr>Resumen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 CHAVARRIA</dc:creator>
  <cp:lastModifiedBy>William Oria</cp:lastModifiedBy>
  <dcterms:created xsi:type="dcterms:W3CDTF">2012-10-05T19:48:21Z</dcterms:created>
  <dcterms:modified xsi:type="dcterms:W3CDTF">2024-09-28T04:54:16Z</dcterms:modified>
</cp:coreProperties>
</file>