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IIS UNI 2025 02\GE605U 2025 02\Semana 06\"/>
    </mc:Choice>
  </mc:AlternateContent>
  <xr:revisionPtr revIDLastSave="0" documentId="13_ncr:1_{05788D1B-4D99-4A35-A01E-1E90E0A129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01" sheetId="16" r:id="rId1"/>
    <sheet name="P02" sheetId="19" r:id="rId2"/>
    <sheet name="P03" sheetId="18" r:id="rId3"/>
    <sheet name="P04" sheetId="17" r:id="rId4"/>
    <sheet name="P05" sheetId="20" r:id="rId5"/>
    <sheet name="P06" sheetId="21" r:id="rId6"/>
    <sheet name="P07" sheetId="22" r:id="rId7"/>
    <sheet name="P08" sheetId="23" r:id="rId8"/>
    <sheet name="P09" sheetId="24" r:id="rId9"/>
    <sheet name="P10" sheetId="25" r:id="rId10"/>
    <sheet name="P11" sheetId="26" r:id="rId11"/>
    <sheet name="P12" sheetId="27" r:id="rId12"/>
    <sheet name="P13" sheetId="28" r:id="rId13"/>
    <sheet name="P14" sheetId="29" r:id="rId14"/>
    <sheet name="P15" sheetId="30" r:id="rId15"/>
    <sheet name="P16" sheetId="31" r:id="rId16"/>
    <sheet name="P17" sheetId="32" r:id="rId17"/>
    <sheet name="P18" sheetId="33" r:id="rId18"/>
    <sheet name="P19" sheetId="34" r:id="rId19"/>
    <sheet name="P20" sheetId="35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7" l="1"/>
  <c r="D9" i="35"/>
  <c r="J77" i="22"/>
  <c r="J54" i="22" s="1"/>
  <c r="G77" i="22"/>
  <c r="J74" i="22"/>
  <c r="J55" i="22" s="1"/>
  <c r="G74" i="22"/>
  <c r="J68" i="22"/>
  <c r="G68" i="22"/>
  <c r="J67" i="22"/>
  <c r="G67" i="22"/>
  <c r="J66" i="22"/>
  <c r="K59" i="22"/>
  <c r="I56" i="22"/>
  <c r="F56" i="22"/>
  <c r="H56" i="22" s="1"/>
  <c r="H68" i="22" s="1"/>
  <c r="F68" i="22" s="1"/>
  <c r="I55" i="22"/>
  <c r="F55" i="22"/>
  <c r="H55" i="22" s="1"/>
  <c r="H67" i="22" s="1"/>
  <c r="F67" i="22" s="1"/>
  <c r="I54" i="22"/>
  <c r="F54" i="22"/>
  <c r="J51" i="22"/>
  <c r="J50" i="22"/>
  <c r="G40" i="22"/>
  <c r="F40" i="22"/>
  <c r="G36" i="22"/>
  <c r="F36" i="22"/>
  <c r="D23" i="19"/>
  <c r="E22" i="19" s="1"/>
  <c r="E23" i="19" s="1"/>
  <c r="F22" i="19" s="1"/>
  <c r="F25" i="19" s="1"/>
  <c r="B23" i="19"/>
  <c r="C22" i="19" s="1"/>
  <c r="C24" i="19" s="1"/>
  <c r="I57" i="22" l="1"/>
  <c r="F57" i="22"/>
  <c r="F60" i="22" s="1"/>
  <c r="H54" i="22"/>
  <c r="H66" i="22" s="1"/>
  <c r="F66" i="22" s="1"/>
  <c r="K54" i="22"/>
  <c r="K66" i="22" s="1"/>
  <c r="I66" i="22" s="1"/>
  <c r="K55" i="22"/>
  <c r="K67" i="22" s="1"/>
  <c r="J56" i="22"/>
  <c r="K56" i="22" s="1"/>
  <c r="K68" i="22" s="1"/>
  <c r="I68" i="22" s="1"/>
  <c r="I67" i="22"/>
  <c r="K57" i="22" l="1"/>
  <c r="H57" i="22"/>
  <c r="H60" i="22" s="1"/>
  <c r="H61" i="22" s="1"/>
  <c r="F61" i="22" s="1"/>
  <c r="K50" i="22" l="1"/>
  <c r="F69" i="22"/>
  <c r="I50" i="22"/>
  <c r="I60" i="22" l="1"/>
  <c r="I51" i="22"/>
  <c r="K51" i="22" l="1"/>
  <c r="D74" i="22"/>
  <c r="D71" i="22"/>
  <c r="D77" i="22" l="1"/>
  <c r="K58" i="22" s="1"/>
  <c r="K60" i="22" s="1"/>
  <c r="K61" i="22" s="1"/>
  <c r="I61" i="22" s="1"/>
  <c r="K64" i="22"/>
  <c r="I64" i="22" s="1"/>
  <c r="I69" i="22" l="1"/>
</calcChain>
</file>

<file path=xl/sharedStrings.xml><?xml version="1.0" encoding="utf-8"?>
<sst xmlns="http://schemas.openxmlformats.org/spreadsheetml/2006/main" count="224" uniqueCount="161">
  <si>
    <t>PREGUNTA 08:</t>
  </si>
  <si>
    <t>PREGUNTA 09:</t>
  </si>
  <si>
    <t>PREGUNTA 10:</t>
  </si>
  <si>
    <t>PREGUNTA 11:</t>
  </si>
  <si>
    <t>PREGUNTA 12:</t>
  </si>
  <si>
    <t>SOLUCION:</t>
  </si>
  <si>
    <t>Cantidad</t>
  </si>
  <si>
    <t>Conceptos</t>
  </si>
  <si>
    <t>Dpto A</t>
  </si>
  <si>
    <t>Dpto B</t>
  </si>
  <si>
    <t>Dpto C</t>
  </si>
  <si>
    <t>Dpto D</t>
  </si>
  <si>
    <t>Dpto E</t>
  </si>
  <si>
    <t>Unidades comenzadas (iniciadas en el periodo t, se atenderán en el proceso i)</t>
  </si>
  <si>
    <t>Unidades traspasadas (recibidas del proceso i-1, se atenderán en el proceso i)</t>
  </si>
  <si>
    <t>Unidades terminadas (atendidas en el proceso, se traspasan al proceso i+1)</t>
  </si>
  <si>
    <t>Unidades del inventario final (se atenderan en el proceso i del periodo t+1)</t>
  </si>
  <si>
    <t>Unidades transferidas al inventario final productos terminados</t>
  </si>
  <si>
    <t>INFORME DE PRODUCCION EN CANTIDAD</t>
  </si>
  <si>
    <t>CC 1</t>
  </si>
  <si>
    <t>CC 2</t>
  </si>
  <si>
    <t>Unidades puesta en proceso de Fabricación</t>
  </si>
  <si>
    <t>Unidades procedentes del Dpto anterior</t>
  </si>
  <si>
    <t>Unidades añadidas en el Dpto</t>
  </si>
  <si>
    <t>Total a Distribuir</t>
  </si>
  <si>
    <t>Unidades terminadas y transferidas</t>
  </si>
  <si>
    <t>Unidades en Proceso de Fabricación</t>
  </si>
  <si>
    <t>Unidades perdidas en el proceso</t>
  </si>
  <si>
    <t>Total Distribuidas</t>
  </si>
  <si>
    <t>(1) 25% Mano de Obra y CIF y 100% Materias Primas</t>
  </si>
  <si>
    <t>(2) 60% Mano de Obra y CIF y 80% Materias Primas</t>
  </si>
  <si>
    <t>INFORME RESUMEN DEL COSTO DE PRODUCCION</t>
  </si>
  <si>
    <t>Centro Costo 1</t>
  </si>
  <si>
    <t>Centro Costo 2</t>
  </si>
  <si>
    <t>Costos</t>
  </si>
  <si>
    <t>Cant</t>
  </si>
  <si>
    <t>Costo</t>
  </si>
  <si>
    <t>Totales</t>
  </si>
  <si>
    <t>Unitario</t>
  </si>
  <si>
    <t>Costo Transferido Departamento Anterior</t>
  </si>
  <si>
    <t>Costo Ajustado con Unidades Añadidas</t>
  </si>
  <si>
    <t>Costos en el Departamento:</t>
  </si>
  <si>
    <t>Costo Materias Primas</t>
  </si>
  <si>
    <t>Costo Mano de Obra</t>
  </si>
  <si>
    <t>Costo CIF</t>
  </si>
  <si>
    <t>Costos Departamentales</t>
  </si>
  <si>
    <t>Costo Adicional Unidades Perdidas</t>
  </si>
  <si>
    <t>COSTOS ACUMULATIVOS</t>
  </si>
  <si>
    <t>Productos Terminados y transferidos</t>
  </si>
  <si>
    <t xml:space="preserve">  Productos en proceso:</t>
  </si>
  <si>
    <t xml:space="preserve">    Costos Dpto Anterior</t>
  </si>
  <si>
    <t xml:space="preserve">      Costos en el Departamento</t>
  </si>
  <si>
    <t>Costos CIF</t>
  </si>
  <si>
    <t>Unidades Procedentes Proceso Anterior</t>
  </si>
  <si>
    <t>Unidades puestas en proceso de Fabricación</t>
  </si>
  <si>
    <t>(1) 30,000</t>
  </si>
  <si>
    <t>(2) 24,000</t>
  </si>
  <si>
    <t>(1) 60% Costos de Conversión y 100% Materias Primas</t>
  </si>
  <si>
    <t>(2) 40% Costos de Conversión y 70% Materias Primas</t>
  </si>
  <si>
    <t>Costos Transferidos del proceso anterior</t>
  </si>
  <si>
    <t>Costos Transferido Departamento Anterior</t>
  </si>
  <si>
    <t>Costos Ajustado con Unidades Añadidas</t>
  </si>
  <si>
    <t>(1)</t>
  </si>
  <si>
    <t>Costos adicionales por envases</t>
  </si>
  <si>
    <t>Costo Producción Terminada y Transferida</t>
  </si>
  <si>
    <t xml:space="preserve">  Costos Producción en proceso:</t>
  </si>
  <si>
    <t xml:space="preserve">    Costos en Dpto Anterior</t>
  </si>
  <si>
    <t xml:space="preserve">(1) 4'321,198 / 194,000 = </t>
  </si>
  <si>
    <t>EN DEPARTAMETO I:</t>
  </si>
  <si>
    <t>EN DEPARTAMENTO II:</t>
  </si>
  <si>
    <t>Costo sin unidades perdidas</t>
  </si>
  <si>
    <t>PEQ = 60%30,000+160,000</t>
  </si>
  <si>
    <t>PEQ = 40%24,000+170,000</t>
  </si>
  <si>
    <t xml:space="preserve">    4'321,198 / 200,000 =</t>
  </si>
  <si>
    <t>PEQ =</t>
  </si>
  <si>
    <t>PARA MO Y GF</t>
  </si>
  <si>
    <t>Costo con unidades perdidas</t>
  </si>
  <si>
    <t>PEQ = 100%30,000+160,000</t>
  </si>
  <si>
    <t>PEQ = 70%24,000+170,000</t>
  </si>
  <si>
    <t xml:space="preserve">Costo por unidad perdida = </t>
  </si>
  <si>
    <t>PARA MP</t>
  </si>
  <si>
    <t>Una empresa fábrica un producto, el cual pasa por dos procesos continuos: manufacturado y envasado.</t>
  </si>
  <si>
    <t>El material directo ingresa al inicio del proceso de manufacturado y al final del envasado incurriendose</t>
  </si>
  <si>
    <t>uniformemente los costos de mano de obra directa y de costos indirectos de fabricación.</t>
  </si>
  <si>
    <t>Esta empresa esta muy interesada en controlar los costos por unidades defectuosas; por lo que considera</t>
  </si>
  <si>
    <t>en el calculo las unidades equivalentes perdidas, en ese sentido, en el mes de junio se perdieron 500</t>
  </si>
  <si>
    <t>unidades en el manufacturado y 300 unidades en el envasado, sin embargo en este último proceso no se</t>
  </si>
  <si>
    <t>perdió material.</t>
  </si>
  <si>
    <t>Se requiere 4 unidades manufacturadas para cada material envasada siendo los datos adicionales</t>
  </si>
  <si>
    <t>siguientes:</t>
  </si>
  <si>
    <t>Procesos</t>
  </si>
  <si>
    <t>Manufacturado</t>
  </si>
  <si>
    <t>Envasado</t>
  </si>
  <si>
    <t>Inventario inicial sub productos en proceso</t>
  </si>
  <si>
    <t>Unidades</t>
  </si>
  <si>
    <t>Avance</t>
  </si>
  <si>
    <t>Costo de material directo</t>
  </si>
  <si>
    <t>S/</t>
  </si>
  <si>
    <t>Costo de conversión</t>
  </si>
  <si>
    <t>Costo de transferencia</t>
  </si>
  <si>
    <t>Costos agregados:</t>
  </si>
  <si>
    <t xml:space="preserve">     Material directo</t>
  </si>
  <si>
    <t xml:space="preserve">     Conversión</t>
  </si>
  <si>
    <t>Unidades empezadas</t>
  </si>
  <si>
    <t>?</t>
  </si>
  <si>
    <t>Unidades terminadas</t>
  </si>
  <si>
    <t>Inventario final sub productos en proceso</t>
  </si>
  <si>
    <t>Equivalencia</t>
  </si>
  <si>
    <t>Unidades sub productos terminados en almacén</t>
  </si>
  <si>
    <t>Pérdidas</t>
  </si>
  <si>
    <t>(*) 2,500 unidades de sub producto terminado manufacturado quedaron en el almacén de productos</t>
  </si>
  <si>
    <t>terminados.</t>
  </si>
  <si>
    <t>Determinar el costo unitario del producto fabricado, el valor total del inventario final de los sub productosi</t>
  </si>
  <si>
    <t>en proceso, productos terminados y de las pérdidas. Usar el método de valorización promedio.</t>
  </si>
  <si>
    <t>Pregunta 15:</t>
  </si>
  <si>
    <t>Pregunta 17:</t>
  </si>
  <si>
    <t>Pregunta 18:</t>
  </si>
  <si>
    <t>Pregunta 19:</t>
  </si>
  <si>
    <t xml:space="preserve">Una empresa ensambla lapiceros de un modelo especial que se vende a S/ 90 cada uno y uso un Sistema </t>
  </si>
  <si>
    <t>de costos estándar</t>
  </si>
  <si>
    <t>El costo estándar por lapicero, basada en una producción de 6,000 lapiceros mensuales es:</t>
  </si>
  <si>
    <t>Componentes</t>
  </si>
  <si>
    <t>Mano de obra directa (1.5 hrs)</t>
  </si>
  <si>
    <t>Costo indirecto de fabricación fijo</t>
  </si>
  <si>
    <t>Costo indirecto de fabricación variable</t>
  </si>
  <si>
    <t>Costo estándar por lapicero</t>
  </si>
  <si>
    <t>Al 31 de diciembre del presente año y al 31 de enero del año siguiente respectivamente se muestra</t>
  </si>
  <si>
    <t>el inventario con las cantidades y los valores estándares siguientes en S/</t>
  </si>
  <si>
    <t>Concepto</t>
  </si>
  <si>
    <t>Diciembre</t>
  </si>
  <si>
    <t>Enero</t>
  </si>
  <si>
    <t>Componente (en unidades de lapiceros)</t>
  </si>
  <si>
    <t>Costo estándar</t>
  </si>
  <si>
    <t>Lapiceros terminados</t>
  </si>
  <si>
    <t>Durante el mes de enero del año proximo se realizaron las siguientes operaciones:</t>
  </si>
  <si>
    <t>Se compraron componentes para 8,000 lapiceros a un costo de S/ 102,800. Se enviaron a producción</t>
  </si>
  <si>
    <t>5,540 lapiceros.</t>
  </si>
  <si>
    <t>La mano de obra directa pagada por 9,140 horas ascendieron a S/ 191,940.</t>
  </si>
  <si>
    <t>Las horas trabajadas realmente fueron 8,720 horas. El tiempo no trabajado u ocioso fue de 420 horas.</t>
  </si>
  <si>
    <t>La producción fue de 5,500 lapiceros completos.</t>
  </si>
  <si>
    <t>Los costos indirectos de fabricación fijos ascendieron a S/ 62,000 y los costos indirectos de fabricación</t>
  </si>
  <si>
    <t>variables ascendieron a S/ 114,000.</t>
  </si>
  <si>
    <t>De los lapiceros producidos, 100 fueron de baja calidad y se vendieron durante el mes de S/ 4,800.</t>
  </si>
  <si>
    <t>No hubo productos en proceso al comienzo ni al fin de mes.</t>
  </si>
  <si>
    <t>Se pide: elaborar el estado de resultados en términos de costos estándar y el costo real mostrado la</t>
  </si>
  <si>
    <t>conciliación de la utilidad real con la utilidad estándar durante el mes de enero.</t>
  </si>
  <si>
    <t>Explicar las posibles causas de la diferencia.</t>
  </si>
  <si>
    <t>Pregunta 01:</t>
  </si>
  <si>
    <t>Pregunta 03:</t>
  </si>
  <si>
    <t>Pregunta 02:</t>
  </si>
  <si>
    <t>Pregunta 04.</t>
  </si>
  <si>
    <t>Pregunta 05:</t>
  </si>
  <si>
    <t>Pregunta 06:</t>
  </si>
  <si>
    <t>Pregunta 07:</t>
  </si>
  <si>
    <t>PREGUNTA 13:</t>
  </si>
  <si>
    <t>PREGUNTA 14:</t>
  </si>
  <si>
    <t>Pregunta 16:</t>
  </si>
  <si>
    <t>Pregunta 20:</t>
  </si>
  <si>
    <t>UEQ = UP * % AVANCE</t>
  </si>
  <si>
    <t>COSTO CONVERSIÓN = CPD + CIF</t>
  </si>
  <si>
    <t>EL % AVANCE REPRESENTA EL CONSUMO DE LOS RECURSOS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</si>
</sst>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&quot;S/&quot;\ #,##0;[Red]&quot;S/&quot;\ \-#,##0"/>
    <numFmt numFmtId="165" formatCode="#,##0_ ;[Red]\-#,##0\ "/>
    <numFmt numFmtId="166" formatCode="#,##0.00_ ;[Red]\-#,##0.00\ "/>
    <numFmt numFmtId="167" formatCode="#,##0.00000_);\(#,##0.00000\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 Narrow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4" fillId="0" borderId="0"/>
    <xf numFmtId="0" fontId="3" fillId="0" borderId="0"/>
  </cellStyleXfs>
  <cellXfs count="84">
    <xf numFmtId="0" fontId="0" fillId="0" borderId="0" xfId="0"/>
    <xf numFmtId="0" fontId="5" fillId="2" borderId="0" xfId="3" applyFont="1" applyFill="1"/>
    <xf numFmtId="0" fontId="4" fillId="2" borderId="0" xfId="3" applyFill="1"/>
    <xf numFmtId="166" fontId="5" fillId="2" borderId="1" xfId="3" applyNumberFormat="1" applyFont="1" applyFill="1" applyBorder="1" applyAlignment="1">
      <alignment horizontal="center"/>
    </xf>
    <xf numFmtId="0" fontId="4" fillId="2" borderId="1" xfId="3" applyFill="1" applyBorder="1" applyAlignment="1">
      <alignment vertical="center" wrapText="1"/>
    </xf>
    <xf numFmtId="165" fontId="4" fillId="2" borderId="1" xfId="3" applyNumberFormat="1" applyFill="1" applyBorder="1" applyAlignment="1">
      <alignment horizontal="center" vertical="center"/>
    </xf>
    <xf numFmtId="0" fontId="5" fillId="2" borderId="0" xfId="3" applyFont="1" applyFill="1" applyAlignment="1">
      <alignment horizontal="left"/>
    </xf>
    <xf numFmtId="0" fontId="4" fillId="2" borderId="2" xfId="3" applyFill="1" applyBorder="1"/>
    <xf numFmtId="0" fontId="4" fillId="2" borderId="3" xfId="3" applyFill="1" applyBorder="1"/>
    <xf numFmtId="0" fontId="4" fillId="2" borderId="2" xfId="3" applyFill="1" applyBorder="1" applyAlignment="1">
      <alignment horizontal="center"/>
    </xf>
    <xf numFmtId="0" fontId="4" fillId="2" borderId="1" xfId="3" applyFill="1" applyBorder="1" applyAlignment="1">
      <alignment horizontal="center"/>
    </xf>
    <xf numFmtId="0" fontId="4" fillId="2" borderId="4" xfId="3" applyFill="1" applyBorder="1" applyAlignment="1">
      <alignment horizontal="left"/>
    </xf>
    <xf numFmtId="0" fontId="4" fillId="2" borderId="5" xfId="3" applyFill="1" applyBorder="1"/>
    <xf numFmtId="37" fontId="4" fillId="2" borderId="4" xfId="3" applyNumberFormat="1" applyFill="1" applyBorder="1" applyAlignment="1">
      <alignment horizontal="center"/>
    </xf>
    <xf numFmtId="37" fontId="4" fillId="2" borderId="6" xfId="3" applyNumberFormat="1" applyFill="1" applyBorder="1" applyAlignment="1">
      <alignment horizontal="center"/>
    </xf>
    <xf numFmtId="37" fontId="4" fillId="2" borderId="0" xfId="3" applyNumberFormat="1" applyFill="1"/>
    <xf numFmtId="0" fontId="4" fillId="2" borderId="7" xfId="3" applyFill="1" applyBorder="1" applyAlignment="1">
      <alignment horizontal="left"/>
    </xf>
    <xf numFmtId="37" fontId="4" fillId="2" borderId="7" xfId="3" applyNumberFormat="1" applyFill="1" applyBorder="1" applyAlignment="1">
      <alignment horizontal="center"/>
    </xf>
    <xf numFmtId="37" fontId="4" fillId="2" borderId="8" xfId="3" applyNumberFormat="1" applyFill="1" applyBorder="1" applyAlignment="1">
      <alignment horizontal="center"/>
    </xf>
    <xf numFmtId="0" fontId="4" fillId="2" borderId="9" xfId="3" applyFill="1" applyBorder="1" applyAlignment="1">
      <alignment horizontal="left"/>
    </xf>
    <xf numFmtId="0" fontId="4" fillId="2" borderId="10" xfId="3" applyFill="1" applyBorder="1"/>
    <xf numFmtId="0" fontId="4" fillId="2" borderId="9" xfId="3" applyFill="1" applyBorder="1" applyAlignment="1">
      <alignment horizontal="center"/>
    </xf>
    <xf numFmtId="37" fontId="4" fillId="2" borderId="11" xfId="3" applyNumberFormat="1" applyFill="1" applyBorder="1" applyAlignment="1">
      <alignment horizontal="center"/>
    </xf>
    <xf numFmtId="0" fontId="4" fillId="2" borderId="3" xfId="3" applyFill="1" applyBorder="1" applyAlignment="1">
      <alignment horizontal="left"/>
    </xf>
    <xf numFmtId="37" fontId="4" fillId="2" borderId="2" xfId="3" applyNumberFormat="1" applyFill="1" applyBorder="1" applyAlignment="1">
      <alignment horizontal="center"/>
    </xf>
    <xf numFmtId="37" fontId="4" fillId="2" borderId="1" xfId="3" applyNumberFormat="1" applyFill="1" applyBorder="1" applyAlignment="1">
      <alignment horizontal="center"/>
    </xf>
    <xf numFmtId="37" fontId="4" fillId="2" borderId="9" xfId="3" applyNumberFormat="1" applyFill="1" applyBorder="1" applyAlignment="1">
      <alignment horizontal="center"/>
    </xf>
    <xf numFmtId="0" fontId="4" fillId="2" borderId="0" xfId="3" applyFill="1" applyAlignment="1">
      <alignment horizontal="left"/>
    </xf>
    <xf numFmtId="0" fontId="4" fillId="2" borderId="4" xfId="3" applyFill="1" applyBorder="1"/>
    <xf numFmtId="0" fontId="4" fillId="2" borderId="7" xfId="3" applyFill="1" applyBorder="1"/>
    <xf numFmtId="0" fontId="4" fillId="2" borderId="4" xfId="3" applyFill="1" applyBorder="1" applyAlignment="1">
      <alignment horizontal="center"/>
    </xf>
    <xf numFmtId="0" fontId="4" fillId="2" borderId="5" xfId="3" applyFill="1" applyBorder="1" applyAlignment="1">
      <alignment horizontal="center"/>
    </xf>
    <xf numFmtId="0" fontId="4" fillId="2" borderId="12" xfId="3" applyFill="1" applyBorder="1" applyAlignment="1">
      <alignment horizontal="center"/>
    </xf>
    <xf numFmtId="0" fontId="4" fillId="2" borderId="9" xfId="3" applyFill="1" applyBorder="1"/>
    <xf numFmtId="0" fontId="4" fillId="2" borderId="10" xfId="3" applyFill="1" applyBorder="1" applyAlignment="1">
      <alignment horizontal="center"/>
    </xf>
    <xf numFmtId="0" fontId="4" fillId="2" borderId="13" xfId="3" applyFill="1" applyBorder="1" applyAlignment="1">
      <alignment horizontal="center"/>
    </xf>
    <xf numFmtId="0" fontId="4" fillId="2" borderId="12" xfId="3" applyFill="1" applyBorder="1"/>
    <xf numFmtId="37" fontId="4" fillId="2" borderId="5" xfId="3" applyNumberFormat="1" applyFill="1" applyBorder="1"/>
    <xf numFmtId="167" fontId="4" fillId="2" borderId="12" xfId="3" applyNumberFormat="1" applyFill="1" applyBorder="1"/>
    <xf numFmtId="0" fontId="4" fillId="2" borderId="14" xfId="3" applyFill="1" applyBorder="1"/>
    <xf numFmtId="167" fontId="4" fillId="2" borderId="14" xfId="3" applyNumberFormat="1" applyFill="1" applyBorder="1"/>
    <xf numFmtId="37" fontId="4" fillId="2" borderId="7" xfId="3" applyNumberFormat="1" applyFill="1" applyBorder="1"/>
    <xf numFmtId="0" fontId="4" fillId="2" borderId="13" xfId="3" applyFill="1" applyBorder="1"/>
    <xf numFmtId="0" fontId="4" fillId="2" borderId="10" xfId="3" applyFill="1" applyBorder="1" applyAlignment="1">
      <alignment horizontal="right"/>
    </xf>
    <xf numFmtId="167" fontId="4" fillId="2" borderId="13" xfId="3" applyNumberFormat="1" applyFill="1" applyBorder="1"/>
    <xf numFmtId="37" fontId="4" fillId="2" borderId="2" xfId="3" applyNumberFormat="1" applyFill="1" applyBorder="1"/>
    <xf numFmtId="37" fontId="4" fillId="2" borderId="3" xfId="3" applyNumberFormat="1" applyFill="1" applyBorder="1"/>
    <xf numFmtId="167" fontId="4" fillId="2" borderId="15" xfId="3" applyNumberFormat="1" applyFill="1" applyBorder="1"/>
    <xf numFmtId="37" fontId="4" fillId="2" borderId="4" xfId="3" applyNumberFormat="1" applyFill="1" applyBorder="1"/>
    <xf numFmtId="167" fontId="4" fillId="2" borderId="0" xfId="3" applyNumberFormat="1" applyFill="1"/>
    <xf numFmtId="37" fontId="4" fillId="2" borderId="0" xfId="3" applyNumberFormat="1" applyFill="1" applyAlignment="1">
      <alignment horizontal="left"/>
    </xf>
    <xf numFmtId="167" fontId="4" fillId="2" borderId="0" xfId="3" applyNumberFormat="1" applyFill="1" applyAlignment="1">
      <alignment horizontal="left"/>
    </xf>
    <xf numFmtId="0" fontId="6" fillId="2" borderId="0" xfId="3" applyFont="1" applyFill="1" applyAlignment="1">
      <alignment horizontal="left"/>
    </xf>
    <xf numFmtId="0" fontId="4" fillId="2" borderId="15" xfId="3" applyFill="1" applyBorder="1" applyAlignment="1">
      <alignment horizontal="center"/>
    </xf>
    <xf numFmtId="37" fontId="4" fillId="2" borderId="14" xfId="3" applyNumberFormat="1" applyFill="1" applyBorder="1" applyAlignment="1">
      <alignment horizontal="center"/>
    </xf>
    <xf numFmtId="0" fontId="4" fillId="2" borderId="8" xfId="3" applyFill="1" applyBorder="1" applyAlignment="1">
      <alignment horizontal="center"/>
    </xf>
    <xf numFmtId="37" fontId="4" fillId="2" borderId="15" xfId="3" applyNumberFormat="1" applyFill="1" applyBorder="1" applyAlignment="1">
      <alignment horizontal="center"/>
    </xf>
    <xf numFmtId="0" fontId="4" fillId="2" borderId="4" xfId="3" applyFill="1" applyBorder="1" applyAlignment="1">
      <alignment horizontal="right"/>
    </xf>
    <xf numFmtId="0" fontId="4" fillId="2" borderId="5" xfId="3" applyFill="1" applyBorder="1" applyAlignment="1">
      <alignment horizontal="right"/>
    </xf>
    <xf numFmtId="0" fontId="4" fillId="2" borderId="12" xfId="3" applyFill="1" applyBorder="1" applyAlignment="1">
      <alignment horizontal="right"/>
    </xf>
    <xf numFmtId="0" fontId="4" fillId="2" borderId="9" xfId="3" applyFill="1" applyBorder="1" applyAlignment="1">
      <alignment horizontal="right"/>
    </xf>
    <xf numFmtId="0" fontId="4" fillId="2" borderId="13" xfId="3" applyFill="1" applyBorder="1" applyAlignment="1">
      <alignment horizontal="right"/>
    </xf>
    <xf numFmtId="0" fontId="4" fillId="2" borderId="0" xfId="3" applyFill="1" applyAlignment="1">
      <alignment horizontal="right"/>
    </xf>
    <xf numFmtId="0" fontId="1" fillId="2" borderId="0" xfId="4" applyFont="1" applyFill="1"/>
    <xf numFmtId="0" fontId="3" fillId="2" borderId="0" xfId="4" applyFill="1"/>
    <xf numFmtId="2" fontId="3" fillId="2" borderId="0" xfId="4" applyNumberFormat="1" applyFill="1"/>
    <xf numFmtId="9" fontId="3" fillId="2" borderId="0" xfId="4" applyNumberFormat="1" applyFill="1" applyAlignment="1">
      <alignment horizontal="center"/>
    </xf>
    <xf numFmtId="3" fontId="3" fillId="2" borderId="0" xfId="4" applyNumberFormat="1" applyFill="1" applyAlignment="1">
      <alignment horizontal="center"/>
    </xf>
    <xf numFmtId="0" fontId="3" fillId="2" borderId="0" xfId="4" applyFill="1" applyAlignment="1">
      <alignment horizontal="center"/>
    </xf>
    <xf numFmtId="2" fontId="3" fillId="2" borderId="0" xfId="4" applyNumberFormat="1" applyFill="1" applyAlignment="1">
      <alignment horizontal="center"/>
    </xf>
    <xf numFmtId="4" fontId="3" fillId="2" borderId="0" xfId="4" applyNumberFormat="1" applyFill="1" applyAlignment="1">
      <alignment horizontal="center"/>
    </xf>
    <xf numFmtId="0" fontId="1" fillId="2" borderId="0" xfId="4" applyFont="1" applyFill="1" applyAlignment="1">
      <alignment horizontal="center"/>
    </xf>
    <xf numFmtId="0" fontId="7" fillId="2" borderId="0" xfId="3" applyFont="1" applyFill="1"/>
    <xf numFmtId="164" fontId="4" fillId="2" borderId="0" xfId="3" applyNumberFormat="1" applyFill="1"/>
    <xf numFmtId="3" fontId="4" fillId="2" borderId="0" xfId="3" applyNumberFormat="1" applyFill="1" applyAlignment="1">
      <alignment horizontal="right"/>
    </xf>
    <xf numFmtId="164" fontId="4" fillId="2" borderId="0" xfId="3" applyNumberFormat="1" applyFill="1" applyAlignment="1">
      <alignment horizontal="right"/>
    </xf>
    <xf numFmtId="165" fontId="4" fillId="2" borderId="0" xfId="3" applyNumberFormat="1" applyFill="1"/>
    <xf numFmtId="166" fontId="4" fillId="2" borderId="0" xfId="3" applyNumberFormat="1" applyFill="1"/>
    <xf numFmtId="0" fontId="4" fillId="2" borderId="4" xfId="3" applyFill="1" applyBorder="1" applyAlignment="1">
      <alignment horizontal="center"/>
    </xf>
    <xf numFmtId="0" fontId="4" fillId="2" borderId="5" xfId="3" applyFill="1" applyBorder="1" applyAlignment="1">
      <alignment horizontal="center"/>
    </xf>
    <xf numFmtId="0" fontId="4" fillId="2" borderId="12" xfId="3" applyFill="1" applyBorder="1" applyAlignment="1">
      <alignment horizontal="center"/>
    </xf>
    <xf numFmtId="0" fontId="4" fillId="2" borderId="2" xfId="3" applyFill="1" applyBorder="1" applyAlignment="1">
      <alignment horizontal="center"/>
    </xf>
    <xf numFmtId="0" fontId="4" fillId="2" borderId="3" xfId="3" applyFill="1" applyBorder="1" applyAlignment="1">
      <alignment horizontal="center"/>
    </xf>
    <xf numFmtId="0" fontId="4" fillId="2" borderId="15" xfId="3" applyFill="1" applyBorder="1" applyAlignment="1">
      <alignment horizontal="center"/>
    </xf>
  </cellXfs>
  <cellStyles count="5">
    <cellStyle name="Normal" xfId="0" builtinId="0"/>
    <cellStyle name="Normal 2" xfId="3" xr:uid="{842635F7-499E-48FD-9CB7-E1D7E34D26AF}"/>
    <cellStyle name="Normal 2 2" xfId="4" xr:uid="{DDFDCE6B-B205-46AF-B268-9295618CD80A}"/>
    <cellStyle name="Normal 3" xfId="2" xr:uid="{00000000-0005-0000-0000-000001000000}"/>
    <cellStyle name="Normal 4 2" xfId="1" xr:uid="{00000000-0005-0000-0000-000002000000}"/>
  </cellStyles>
  <dxfs count="0"/>
  <tableStyles count="1" defaultTableStyle="TableStyleMedium2" defaultPivotStyle="PivotStyleLight16">
    <tableStyle name="Invisible" pivot="0" table="0" count="0" xr9:uid="{522EFBD8-AB0C-4834-9ABF-BCD976B2010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em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em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em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9</xdr:col>
      <xdr:colOff>304800</xdr:colOff>
      <xdr:row>9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3C33C1D-FD3D-4F88-B508-49CDF33B3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925"/>
          <a:ext cx="7162800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342900</xdr:colOff>
      <xdr:row>5</xdr:row>
      <xdr:rowOff>83820</xdr:rowOff>
    </xdr:from>
    <xdr:to>
      <xdr:col>14</xdr:col>
      <xdr:colOff>434340</xdr:colOff>
      <xdr:row>7</xdr:row>
      <xdr:rowOff>7620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DE47DDD8-9A5C-4119-925A-EED31608C7CF}"/>
            </a:ext>
          </a:extLst>
        </xdr:cNvPr>
        <xdr:cNvSpPr/>
      </xdr:nvSpPr>
      <xdr:spPr>
        <a:xfrm>
          <a:off x="6621780" y="922020"/>
          <a:ext cx="4800600" cy="25908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8</xdr:col>
      <xdr:colOff>335280</xdr:colOff>
      <xdr:row>4</xdr:row>
      <xdr:rowOff>121920</xdr:rowOff>
    </xdr:from>
    <xdr:to>
      <xdr:col>8</xdr:col>
      <xdr:colOff>335280</xdr:colOff>
      <xdr:row>8</xdr:row>
      <xdr:rowOff>129540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97728A12-B40F-493C-AD48-1BA114902614}"/>
            </a:ext>
          </a:extLst>
        </xdr:cNvPr>
        <xdr:cNvCxnSpPr/>
      </xdr:nvCxnSpPr>
      <xdr:spPr>
        <a:xfrm>
          <a:off x="6614160" y="792480"/>
          <a:ext cx="0" cy="6781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160020</xdr:colOff>
      <xdr:row>8</xdr:row>
      <xdr:rowOff>160020</xdr:rowOff>
    </xdr:from>
    <xdr:ext cx="35702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76771A98-1FC2-4A41-AC70-1385A999A140}"/>
            </a:ext>
          </a:extLst>
        </xdr:cNvPr>
        <xdr:cNvSpPr txBox="1"/>
      </xdr:nvSpPr>
      <xdr:spPr>
        <a:xfrm>
          <a:off x="6438900" y="1501140"/>
          <a:ext cx="3570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0%</a:t>
          </a:r>
        </a:p>
      </xdr:txBody>
    </xdr:sp>
    <xdr:clientData/>
  </xdr:oneCellAnchor>
  <xdr:oneCellAnchor>
    <xdr:from>
      <xdr:col>14</xdr:col>
      <xdr:colOff>213360</xdr:colOff>
      <xdr:row>8</xdr:row>
      <xdr:rowOff>91440</xdr:rowOff>
    </xdr:from>
    <xdr:ext cx="500009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81A6FAB8-21FA-49A5-AF9A-889A440A8C7A}"/>
            </a:ext>
          </a:extLst>
        </xdr:cNvPr>
        <xdr:cNvSpPr txBox="1"/>
      </xdr:nvSpPr>
      <xdr:spPr>
        <a:xfrm>
          <a:off x="11201400" y="1432560"/>
          <a:ext cx="50000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100%</a:t>
          </a:r>
        </a:p>
      </xdr:txBody>
    </xdr:sp>
    <xdr:clientData/>
  </xdr:oneCellAnchor>
  <xdr:twoCellAnchor>
    <xdr:from>
      <xdr:col>14</xdr:col>
      <xdr:colOff>426720</xdr:colOff>
      <xdr:row>4</xdr:row>
      <xdr:rowOff>38100</xdr:rowOff>
    </xdr:from>
    <xdr:to>
      <xdr:col>14</xdr:col>
      <xdr:colOff>426720</xdr:colOff>
      <xdr:row>8</xdr:row>
      <xdr:rowOff>45720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ED465FC1-26CE-4ECA-851E-7928049B340F}"/>
            </a:ext>
          </a:extLst>
        </xdr:cNvPr>
        <xdr:cNvCxnSpPr/>
      </xdr:nvCxnSpPr>
      <xdr:spPr>
        <a:xfrm>
          <a:off x="11414760" y="708660"/>
          <a:ext cx="0" cy="6781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777240</xdr:colOff>
      <xdr:row>4</xdr:row>
      <xdr:rowOff>106680</xdr:rowOff>
    </xdr:from>
    <xdr:to>
      <xdr:col>9</xdr:col>
      <xdr:colOff>777240</xdr:colOff>
      <xdr:row>8</xdr:row>
      <xdr:rowOff>114300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BC50EACE-6EEB-405C-9060-E9AC0F20EC5E}"/>
            </a:ext>
          </a:extLst>
        </xdr:cNvPr>
        <xdr:cNvCxnSpPr/>
      </xdr:nvCxnSpPr>
      <xdr:spPr>
        <a:xfrm>
          <a:off x="7840980" y="777240"/>
          <a:ext cx="0" cy="6781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594360</xdr:colOff>
      <xdr:row>8</xdr:row>
      <xdr:rowOff>160020</xdr:rowOff>
    </xdr:from>
    <xdr:ext cx="428515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33B353DF-93D0-4215-921A-61C765F6E785}"/>
            </a:ext>
          </a:extLst>
        </xdr:cNvPr>
        <xdr:cNvSpPr txBox="1"/>
      </xdr:nvSpPr>
      <xdr:spPr>
        <a:xfrm>
          <a:off x="7658100" y="1501140"/>
          <a:ext cx="4285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25%</a:t>
          </a:r>
        </a:p>
      </xdr:txBody>
    </xdr:sp>
    <xdr:clientData/>
  </xdr:oneCellAnchor>
  <xdr:twoCellAnchor>
    <xdr:from>
      <xdr:col>8</xdr:col>
      <xdr:colOff>327660</xdr:colOff>
      <xdr:row>4</xdr:row>
      <xdr:rowOff>83820</xdr:rowOff>
    </xdr:from>
    <xdr:to>
      <xdr:col>9</xdr:col>
      <xdr:colOff>769620</xdr:colOff>
      <xdr:row>4</xdr:row>
      <xdr:rowOff>91440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D03E1D95-403A-4A2B-8A6D-BB4E5C2084AE}"/>
            </a:ext>
          </a:extLst>
        </xdr:cNvPr>
        <xdr:cNvCxnSpPr/>
      </xdr:nvCxnSpPr>
      <xdr:spPr>
        <a:xfrm>
          <a:off x="6606540" y="754380"/>
          <a:ext cx="1226820" cy="762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733425</xdr:colOff>
      <xdr:row>16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F959B5A-C71F-48E9-8858-DE8BCD35A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925"/>
          <a:ext cx="7019925" cy="2514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9</xdr:col>
      <xdr:colOff>161925</xdr:colOff>
      <xdr:row>11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CD459D4-9B94-4F73-9EB1-2D1AC2B5E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925"/>
          <a:ext cx="7019925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732692</xdr:colOff>
      <xdr:row>12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9F7597E-AA93-4070-949D-127F68C3B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925"/>
          <a:ext cx="7019925" cy="179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9</xdr:col>
      <xdr:colOff>161925</xdr:colOff>
      <xdr:row>23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F908C0E-A6DC-4D4B-AADE-F55A76599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925"/>
          <a:ext cx="7019925" cy="361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9</xdr:col>
      <xdr:colOff>714375</xdr:colOff>
      <xdr:row>16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F82CD6F-9485-4027-93C2-A15EF48CD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925"/>
          <a:ext cx="7019925" cy="2581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95250</xdr:colOff>
      <xdr:row>26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7A156E3-AB04-4D16-81BA-0A74B5052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925"/>
          <a:ext cx="7019925" cy="416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619125</xdr:colOff>
      <xdr:row>16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9BE0E99-53FF-4FBB-AC16-F3AC5ED6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6124575" cy="2886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9</xdr:col>
      <xdr:colOff>85725</xdr:colOff>
      <xdr:row>14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0C979B8-6B23-4E9D-869D-0B0F61C74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6124575" cy="257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733425</xdr:colOff>
      <xdr:row>22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29ABE6B-C8BC-45DD-A12A-7AC0D54B5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6124575" cy="402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104775</xdr:colOff>
      <xdr:row>20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75B6726-4542-4219-BE6A-379C7BF65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6115050" cy="3686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628650</xdr:colOff>
      <xdr:row>17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773819E-3A4F-4052-9B01-A8157C464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5610225" cy="30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333375</xdr:colOff>
      <xdr:row>12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06F579-FD3A-4A86-B961-787CD4C6F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6124575" cy="2162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0</xdr:rowOff>
    </xdr:from>
    <xdr:to>
      <xdr:col>12</xdr:col>
      <xdr:colOff>342900</xdr:colOff>
      <xdr:row>18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C46226-FA12-4B6A-9C0C-4AF06F4AF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61925"/>
          <a:ext cx="6486525" cy="275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425963</xdr:colOff>
      <xdr:row>19</xdr:row>
      <xdr:rowOff>25400</xdr:rowOff>
    </xdr:from>
    <xdr:to>
      <xdr:col>11</xdr:col>
      <xdr:colOff>381000</xdr:colOff>
      <xdr:row>24</xdr:row>
      <xdr:rowOff>119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68A94BF3-A096-6548-88C7-054A9BBC2952}"/>
            </a:ext>
          </a:extLst>
        </xdr:cNvPr>
        <xdr:cNvSpPr txBox="1">
          <a:spLocks noChangeArrowheads="1"/>
        </xdr:cNvSpPr>
      </xdr:nvSpPr>
      <xdr:spPr bwMode="auto">
        <a:xfrm>
          <a:off x="3886713" y="3162300"/>
          <a:ext cx="2247387" cy="800219"/>
        </a:xfrm>
        <a:prstGeom prst="rect">
          <a:avLst/>
        </a:prstGeom>
        <a:solidFill>
          <a:srgbClr val="FFFF00"/>
        </a:solidFill>
        <a:ln>
          <a:noFill/>
        </a:ln>
        <a:scene3d>
          <a:camera prst="orthographicFront"/>
          <a:lightRig rig="threePt" dir="t"/>
        </a:scene3d>
        <a:sp3d>
          <a:bevelT w="165100" prst="coolSlant"/>
        </a:sp3d>
      </xdr:spPr>
      <xdr:txBody>
        <a:bodyPr wrap="square">
          <a:spAutoFit/>
        </a:bodyPr>
        <a:lstStyle>
          <a:defPPr>
            <a:defRPr lang="es-PE"/>
          </a:defPPr>
          <a:lvl1pPr marL="0" algn="l" defTabSz="914400" rtl="0" eaLnBrk="1" latinLnBrk="0" hangingPunct="1">
            <a:spcAft>
              <a:spcPct val="50000"/>
            </a:spcAft>
            <a:buClr>
              <a:schemeClr val="accent2"/>
            </a:buClr>
            <a:buFont typeface="Wingdings" panose="05000000000000000000" pitchFamily="2" charset="2"/>
            <a:buChar char="§"/>
            <a:defRPr sz="21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1pPr>
          <a:lvl2pPr marL="742950" indent="-285750" algn="l" defTabSz="914400" rtl="0" eaLnBrk="1" latinLnBrk="0" hangingPunct="1">
            <a:spcAft>
              <a:spcPct val="50000"/>
            </a:spcAft>
            <a:buClr>
              <a:schemeClr val="accent2"/>
            </a:buClr>
            <a:buFont typeface="Arial" panose="020B0604020202020204" pitchFamily="34" charset="0"/>
            <a:defRPr sz="18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2pPr>
          <a:lvl3pPr marL="1143000" indent="-228600" algn="l" defTabSz="914400" rtl="0" eaLnBrk="1" latinLnBrk="0" hangingPunct="1">
            <a:spcAft>
              <a:spcPct val="50000"/>
            </a:spcAft>
            <a:buClr>
              <a:schemeClr val="accent2"/>
            </a:buClr>
            <a:buFont typeface="Arial" panose="020B0604020202020204" pitchFamily="34" charset="0"/>
            <a:defRPr sz="18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3pPr>
          <a:lvl4pPr marL="1600200" indent="-228600" algn="l" defTabSz="914400" rtl="0" eaLnBrk="1" latinLnBrk="0" hangingPunct="1">
            <a:spcAft>
              <a:spcPct val="50000"/>
            </a:spcAft>
            <a:buClr>
              <a:schemeClr val="accent2"/>
            </a:buClr>
            <a:defRPr sz="17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4pPr>
          <a:lvl5pPr marL="2057400" indent="-228600" algn="l" defTabSz="914400" rtl="0" eaLnBrk="1" latinLnBrk="0" hangingPunct="1">
            <a:spcAft>
              <a:spcPct val="50000"/>
            </a:spcAft>
            <a:buClr>
              <a:schemeClr val="accent2"/>
            </a:buClr>
            <a:buFont typeface="Arial" panose="020B0604020202020204" pitchFamily="34" charset="0"/>
            <a:defRPr sz="17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5pPr>
          <a:lvl6pPr marL="2514600" indent="-228600" algn="l" defTabSz="914400" rtl="0" eaLnBrk="0" fontAlgn="base" latinLnBrk="0" hangingPunct="0">
            <a:spcBef>
              <a:spcPct val="0"/>
            </a:spcBef>
            <a:spcAft>
              <a:spcPct val="50000"/>
            </a:spcAft>
            <a:buClr>
              <a:schemeClr val="accent2"/>
            </a:buClr>
            <a:buFont typeface="Arial" panose="020B0604020202020204" pitchFamily="34" charset="0"/>
            <a:defRPr sz="17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6pPr>
          <a:lvl7pPr marL="2971800" indent="-228600" algn="l" defTabSz="914400" rtl="0" eaLnBrk="0" fontAlgn="base" latinLnBrk="0" hangingPunct="0">
            <a:spcBef>
              <a:spcPct val="0"/>
            </a:spcBef>
            <a:spcAft>
              <a:spcPct val="50000"/>
            </a:spcAft>
            <a:buClr>
              <a:schemeClr val="accent2"/>
            </a:buClr>
            <a:buFont typeface="Arial" panose="020B0604020202020204" pitchFamily="34" charset="0"/>
            <a:defRPr sz="17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7pPr>
          <a:lvl8pPr marL="3429000" indent="-228600" algn="l" defTabSz="914400" rtl="0" eaLnBrk="0" fontAlgn="base" latinLnBrk="0" hangingPunct="0">
            <a:spcBef>
              <a:spcPct val="0"/>
            </a:spcBef>
            <a:spcAft>
              <a:spcPct val="50000"/>
            </a:spcAft>
            <a:buClr>
              <a:schemeClr val="accent2"/>
            </a:buClr>
            <a:buFont typeface="Arial" panose="020B0604020202020204" pitchFamily="34" charset="0"/>
            <a:defRPr sz="17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8pPr>
          <a:lvl9pPr marL="3886200" indent="-228600" algn="l" defTabSz="914400" rtl="0" eaLnBrk="0" fontAlgn="base" latinLnBrk="0" hangingPunct="0">
            <a:spcBef>
              <a:spcPct val="0"/>
            </a:spcBef>
            <a:spcAft>
              <a:spcPct val="50000"/>
            </a:spcAft>
            <a:buClr>
              <a:schemeClr val="accent2"/>
            </a:buClr>
            <a:buFont typeface="Arial" panose="020B0604020202020204" pitchFamily="34" charset="0"/>
            <a:defRPr sz="17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9pPr>
        </a:lstStyle>
        <a:p>
          <a:pPr eaLnBrk="1" hangingPunct="1">
            <a:spcAft>
              <a:spcPct val="0"/>
            </a:spcAft>
            <a:buFont typeface="Wingdings" panose="05000000000000000000" pitchFamily="2" charset="2"/>
            <a:buNone/>
          </a:pPr>
          <a:r>
            <a:rPr lang="es-PE" altLang="es-PE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Variación MOD</a:t>
          </a:r>
        </a:p>
        <a:p>
          <a:pPr eaLnBrk="1" hangingPunct="1">
            <a:spcAft>
              <a:spcPct val="0"/>
            </a:spcAft>
            <a:buFont typeface="Wingdings" panose="05000000000000000000" pitchFamily="2" charset="2"/>
            <a:buNone/>
          </a:pPr>
          <a:r>
            <a:rPr lang="es-PE" altLang="es-PE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Vq = (Hr – He) * Te</a:t>
          </a:r>
        </a:p>
        <a:p>
          <a:pPr eaLnBrk="1" hangingPunct="1">
            <a:spcAft>
              <a:spcPct val="0"/>
            </a:spcAft>
            <a:buFont typeface="Wingdings" panose="05000000000000000000" pitchFamily="2" charset="2"/>
            <a:buNone/>
          </a:pPr>
          <a:r>
            <a:rPr lang="es-PE" altLang="es-PE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Vc = (Tr – Te) * Hr</a:t>
          </a:r>
          <a:endParaRPr lang="es-ES" altLang="es-PE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279401</xdr:colOff>
      <xdr:row>19</xdr:row>
      <xdr:rowOff>38375</xdr:rowOff>
    </xdr:from>
    <xdr:to>
      <xdr:col>7</xdr:col>
      <xdr:colOff>19050</xdr:colOff>
      <xdr:row>23</xdr:row>
      <xdr:rowOff>1223</xdr:rowOff>
    </xdr:to>
    <xdr:sp macro="" textlink="">
      <xdr:nvSpPr>
        <xdr:cNvPr id="4" name="Text Box 7">
          <a:extLst>
            <a:ext uri="{FF2B5EF4-FFF2-40B4-BE49-F238E27FC236}">
              <a16:creationId xmlns:a16="http://schemas.microsoft.com/office/drawing/2014/main" id="{E0BC37AD-0A9E-F43E-1CCF-B07F2A3038D9}"/>
            </a:ext>
          </a:extLst>
        </xdr:cNvPr>
        <xdr:cNvSpPr txBox="1">
          <a:spLocks noChangeArrowheads="1"/>
        </xdr:cNvSpPr>
      </xdr:nvSpPr>
      <xdr:spPr bwMode="auto">
        <a:xfrm>
          <a:off x="1270001" y="3175275"/>
          <a:ext cx="2209799" cy="62324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scene3d>
          <a:camera prst="orthographicFront"/>
          <a:lightRig rig="threePt" dir="t"/>
        </a:scene3d>
        <a:sp3d>
          <a:bevelT w="165100" prst="coolSlant"/>
        </a:sp3d>
      </xdr:spPr>
      <xdr:txBody>
        <a:bodyPr wrap="square">
          <a:spAutoFit/>
        </a:bodyPr>
        <a:lstStyle>
          <a:defPPr>
            <a:defRPr lang="es-PE"/>
          </a:defPPr>
          <a:lvl1pPr marL="0" algn="l" defTabSz="914400" rtl="0" eaLnBrk="1" latinLnBrk="0" hangingPunct="1">
            <a:spcAft>
              <a:spcPct val="50000"/>
            </a:spcAft>
            <a:buClr>
              <a:schemeClr val="accent2"/>
            </a:buClr>
            <a:buFont typeface="Wingdings" panose="05000000000000000000" pitchFamily="2" charset="2"/>
            <a:buChar char="§"/>
            <a:defRPr sz="21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1pPr>
          <a:lvl2pPr marL="742950" indent="-285750" algn="l" defTabSz="914400" rtl="0" eaLnBrk="1" latinLnBrk="0" hangingPunct="1">
            <a:spcAft>
              <a:spcPct val="50000"/>
            </a:spcAft>
            <a:buClr>
              <a:schemeClr val="accent2"/>
            </a:buClr>
            <a:buFont typeface="Arial" panose="020B0604020202020204" pitchFamily="34" charset="0"/>
            <a:defRPr sz="18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2pPr>
          <a:lvl3pPr marL="1143000" indent="-228600" algn="l" defTabSz="914400" rtl="0" eaLnBrk="1" latinLnBrk="0" hangingPunct="1">
            <a:spcAft>
              <a:spcPct val="50000"/>
            </a:spcAft>
            <a:buClr>
              <a:schemeClr val="accent2"/>
            </a:buClr>
            <a:buFont typeface="Arial" panose="020B0604020202020204" pitchFamily="34" charset="0"/>
            <a:defRPr sz="18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3pPr>
          <a:lvl4pPr marL="1600200" indent="-228600" algn="l" defTabSz="914400" rtl="0" eaLnBrk="1" latinLnBrk="0" hangingPunct="1">
            <a:spcAft>
              <a:spcPct val="50000"/>
            </a:spcAft>
            <a:buClr>
              <a:schemeClr val="accent2"/>
            </a:buClr>
            <a:defRPr sz="17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4pPr>
          <a:lvl5pPr marL="2057400" indent="-228600" algn="l" defTabSz="914400" rtl="0" eaLnBrk="1" latinLnBrk="0" hangingPunct="1">
            <a:spcAft>
              <a:spcPct val="50000"/>
            </a:spcAft>
            <a:buClr>
              <a:schemeClr val="accent2"/>
            </a:buClr>
            <a:buFont typeface="Arial" panose="020B0604020202020204" pitchFamily="34" charset="0"/>
            <a:defRPr sz="17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5pPr>
          <a:lvl6pPr marL="2514600" indent="-228600" algn="l" defTabSz="914400" rtl="0" eaLnBrk="0" fontAlgn="base" latinLnBrk="0" hangingPunct="0">
            <a:spcBef>
              <a:spcPct val="0"/>
            </a:spcBef>
            <a:spcAft>
              <a:spcPct val="50000"/>
            </a:spcAft>
            <a:buClr>
              <a:schemeClr val="accent2"/>
            </a:buClr>
            <a:buFont typeface="Arial" panose="020B0604020202020204" pitchFamily="34" charset="0"/>
            <a:defRPr sz="17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6pPr>
          <a:lvl7pPr marL="2971800" indent="-228600" algn="l" defTabSz="914400" rtl="0" eaLnBrk="0" fontAlgn="base" latinLnBrk="0" hangingPunct="0">
            <a:spcBef>
              <a:spcPct val="0"/>
            </a:spcBef>
            <a:spcAft>
              <a:spcPct val="50000"/>
            </a:spcAft>
            <a:buClr>
              <a:schemeClr val="accent2"/>
            </a:buClr>
            <a:buFont typeface="Arial" panose="020B0604020202020204" pitchFamily="34" charset="0"/>
            <a:defRPr sz="17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7pPr>
          <a:lvl8pPr marL="3429000" indent="-228600" algn="l" defTabSz="914400" rtl="0" eaLnBrk="0" fontAlgn="base" latinLnBrk="0" hangingPunct="0">
            <a:spcBef>
              <a:spcPct val="0"/>
            </a:spcBef>
            <a:spcAft>
              <a:spcPct val="50000"/>
            </a:spcAft>
            <a:buClr>
              <a:schemeClr val="accent2"/>
            </a:buClr>
            <a:buFont typeface="Arial" panose="020B0604020202020204" pitchFamily="34" charset="0"/>
            <a:defRPr sz="17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8pPr>
          <a:lvl9pPr marL="3886200" indent="-228600" algn="l" defTabSz="914400" rtl="0" eaLnBrk="0" fontAlgn="base" latinLnBrk="0" hangingPunct="0">
            <a:spcBef>
              <a:spcPct val="0"/>
            </a:spcBef>
            <a:spcAft>
              <a:spcPct val="50000"/>
            </a:spcAft>
            <a:buClr>
              <a:schemeClr val="accent2"/>
            </a:buClr>
            <a:buFont typeface="Arial" panose="020B0604020202020204" pitchFamily="34" charset="0"/>
            <a:defRPr sz="17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9pPr>
        </a:lstStyle>
        <a:p>
          <a:pPr eaLnBrk="1" hangingPunct="1">
            <a:spcAft>
              <a:spcPct val="0"/>
            </a:spcAft>
            <a:buFont typeface="Wingdings" panose="05000000000000000000" pitchFamily="2" charset="2"/>
            <a:buNone/>
          </a:pPr>
          <a:r>
            <a:rPr lang="es-PE" altLang="es-PE" sz="1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Variación Materiales Directos</a:t>
          </a:r>
        </a:p>
        <a:p>
          <a:pPr eaLnBrk="1" hangingPunct="1">
            <a:spcAft>
              <a:spcPct val="0"/>
            </a:spcAft>
            <a:buFont typeface="Wingdings" panose="05000000000000000000" pitchFamily="2" charset="2"/>
            <a:buNone/>
          </a:pPr>
          <a:r>
            <a:rPr lang="es-PE" altLang="es-PE" sz="1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Vq = (Qr – Qe) * Ce</a:t>
          </a:r>
        </a:p>
        <a:p>
          <a:pPr eaLnBrk="1" hangingPunct="1">
            <a:spcAft>
              <a:spcPct val="0"/>
            </a:spcAft>
            <a:buFont typeface="Wingdings" panose="05000000000000000000" pitchFamily="2" charset="2"/>
            <a:buNone/>
          </a:pPr>
          <a:r>
            <a:rPr lang="es-PE" altLang="es-PE" sz="1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Vc = (Cr – Ce) * Qr</a:t>
          </a:r>
          <a:endParaRPr lang="es-ES" altLang="es-PE" sz="12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0</xdr:rowOff>
    </xdr:from>
    <xdr:to>
      <xdr:col>9</xdr:col>
      <xdr:colOff>180975</xdr:colOff>
      <xdr:row>17</xdr:row>
      <xdr:rowOff>152400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55296DDD-02CD-4966-B2ED-98138C44A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0"/>
          <a:ext cx="6486525" cy="3200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0</xdr:rowOff>
    </xdr:from>
    <xdr:to>
      <xdr:col>9</xdr:col>
      <xdr:colOff>542925</xdr:colOff>
      <xdr:row>36</xdr:row>
      <xdr:rowOff>66675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B5F121E5-EC4B-4A97-9403-D20C2D96E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61925"/>
          <a:ext cx="6486525" cy="573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0</xdr:rowOff>
    </xdr:from>
    <xdr:to>
      <xdr:col>8</xdr:col>
      <xdr:colOff>428625</xdr:colOff>
      <xdr:row>26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9A962AD-C7F1-4D7A-B1FA-84278CD8D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61925"/>
          <a:ext cx="6486525" cy="411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0</xdr:rowOff>
    </xdr:from>
    <xdr:to>
      <xdr:col>9</xdr:col>
      <xdr:colOff>542925</xdr:colOff>
      <xdr:row>46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5754083-FD5D-447B-BAC0-430F46A0B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61925"/>
          <a:ext cx="6486525" cy="742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2748-E7DD-4F57-A600-AF42FB645BD1}">
  <dimension ref="A1:L3"/>
  <sheetViews>
    <sheetView tabSelected="1" zoomScale="120" zoomScaleNormal="120" workbookViewId="0">
      <selection activeCell="G17" sqref="G17"/>
    </sheetView>
  </sheetViews>
  <sheetFormatPr baseColWidth="10" defaultColWidth="11.44140625" defaultRowHeight="13.2" x14ac:dyDescent="0.25"/>
  <cols>
    <col min="1" max="16384" width="11.44140625" style="2"/>
  </cols>
  <sheetData>
    <row r="1" spans="1:12" x14ac:dyDescent="0.25">
      <c r="A1" s="1" t="s">
        <v>147</v>
      </c>
      <c r="L1" s="2" t="s">
        <v>159</v>
      </c>
    </row>
    <row r="2" spans="1:12" x14ac:dyDescent="0.25">
      <c r="L2" s="2" t="s">
        <v>158</v>
      </c>
    </row>
    <row r="3" spans="1:12" x14ac:dyDescent="0.25">
      <c r="L3" s="2" t="s">
        <v>160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E2EED-B81F-4D61-9FC2-AB07AE3C1D54}">
  <dimension ref="A1:F25"/>
  <sheetViews>
    <sheetView topLeftCell="A13" zoomScale="120" zoomScaleNormal="120" workbookViewId="0">
      <selection activeCell="B21" sqref="B21"/>
    </sheetView>
  </sheetViews>
  <sheetFormatPr baseColWidth="10" defaultColWidth="11.44140625" defaultRowHeight="13.2" x14ac:dyDescent="0.25"/>
  <cols>
    <col min="1" max="1" width="37.109375" style="2" customWidth="1"/>
    <col min="2" max="16384" width="11.44140625" style="2"/>
  </cols>
  <sheetData>
    <row r="1" spans="1:1" x14ac:dyDescent="0.25">
      <c r="A1" s="1" t="s">
        <v>149</v>
      </c>
    </row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6" x14ac:dyDescent="0.25">
      <c r="A17" s="1"/>
    </row>
    <row r="18" spans="1:6" x14ac:dyDescent="0.25">
      <c r="A18" s="1" t="s">
        <v>5</v>
      </c>
    </row>
    <row r="19" spans="1:6" x14ac:dyDescent="0.25">
      <c r="A19" s="1"/>
    </row>
    <row r="20" spans="1:6" x14ac:dyDescent="0.25">
      <c r="B20" s="3" t="s">
        <v>8</v>
      </c>
      <c r="C20" s="3" t="s">
        <v>9</v>
      </c>
      <c r="D20" s="3" t="s">
        <v>10</v>
      </c>
      <c r="E20" s="3" t="s">
        <v>11</v>
      </c>
      <c r="F20" s="3" t="s">
        <v>12</v>
      </c>
    </row>
    <row r="21" spans="1:6" ht="26.4" x14ac:dyDescent="0.25">
      <c r="A21" s="4" t="s">
        <v>13</v>
      </c>
      <c r="B21" s="5">
        <v>15000</v>
      </c>
      <c r="C21" s="5"/>
      <c r="D21" s="5"/>
      <c r="E21" s="5"/>
      <c r="F21" s="5"/>
    </row>
    <row r="22" spans="1:6" ht="26.4" x14ac:dyDescent="0.25">
      <c r="A22" s="4" t="s">
        <v>14</v>
      </c>
      <c r="B22" s="5"/>
      <c r="C22" s="5">
        <f>B23</f>
        <v>8000</v>
      </c>
      <c r="D22" s="5">
        <v>4000</v>
      </c>
      <c r="E22" s="5">
        <f>D23</f>
        <v>3000</v>
      </c>
      <c r="F22" s="5">
        <f>E23</f>
        <v>2700</v>
      </c>
    </row>
    <row r="23" spans="1:6" ht="26.4" x14ac:dyDescent="0.25">
      <c r="A23" s="4" t="s">
        <v>15</v>
      </c>
      <c r="B23" s="5">
        <f>B21-B24</f>
        <v>8000</v>
      </c>
      <c r="C23" s="5">
        <v>4000</v>
      </c>
      <c r="D23" s="5">
        <f>D22-D24</f>
        <v>3000</v>
      </c>
      <c r="E23" s="5">
        <f>E22-E24</f>
        <v>2700</v>
      </c>
      <c r="F23" s="5"/>
    </row>
    <row r="24" spans="1:6" ht="26.4" x14ac:dyDescent="0.25">
      <c r="A24" s="4" t="s">
        <v>16</v>
      </c>
      <c r="B24" s="5">
        <v>7000</v>
      </c>
      <c r="C24" s="5">
        <f>C22-C23</f>
        <v>4000</v>
      </c>
      <c r="D24" s="5">
        <v>1000</v>
      </c>
      <c r="E24" s="5">
        <v>300</v>
      </c>
      <c r="F24" s="5">
        <v>500</v>
      </c>
    </row>
    <row r="25" spans="1:6" ht="26.4" x14ac:dyDescent="0.25">
      <c r="A25" s="4" t="s">
        <v>17</v>
      </c>
      <c r="B25" s="5"/>
      <c r="C25" s="5"/>
      <c r="D25" s="5"/>
      <c r="E25" s="5"/>
      <c r="F25" s="5">
        <f>F22-F24</f>
        <v>2200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CC4B-AA39-44AD-88EA-76B768E2614A}">
  <dimension ref="A1"/>
  <sheetViews>
    <sheetView workbookViewId="0">
      <selection activeCell="A2" sqref="A2"/>
    </sheetView>
  </sheetViews>
  <sheetFormatPr baseColWidth="10" defaultColWidth="11.44140625" defaultRowHeight="13.2" x14ac:dyDescent="0.25"/>
  <cols>
    <col min="1" max="16384" width="11.44140625" style="2"/>
  </cols>
  <sheetData>
    <row r="1" spans="1:1" x14ac:dyDescent="0.25">
      <c r="A1" s="1" t="s">
        <v>148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4EBE8-F75D-42CD-ABA0-68EB83C75D8E}">
  <dimension ref="A1:J28"/>
  <sheetViews>
    <sheetView zoomScale="130" zoomScaleNormal="130" workbookViewId="0">
      <selection activeCell="I15" sqref="I15"/>
    </sheetView>
  </sheetViews>
  <sheetFormatPr baseColWidth="10" defaultColWidth="11.44140625" defaultRowHeight="13.2" x14ac:dyDescent="0.25"/>
  <cols>
    <col min="1" max="1" width="14.44140625" style="2" customWidth="1"/>
    <col min="2" max="2" width="9.44140625" style="2" customWidth="1"/>
    <col min="3" max="3" width="16.44140625" style="2" customWidth="1"/>
    <col min="4" max="4" width="9.5546875" style="2" customWidth="1"/>
    <col min="5" max="5" width="15.109375" style="2" customWidth="1"/>
    <col min="6" max="6" width="11.44140625" style="2"/>
    <col min="7" max="7" width="8.6640625" style="2" customWidth="1"/>
    <col min="8" max="8" width="9.44140625" style="2" customWidth="1"/>
    <col min="9" max="9" width="18.77734375" style="2" customWidth="1"/>
    <col min="10" max="16384" width="11.44140625" style="2"/>
  </cols>
  <sheetData>
    <row r="1" spans="1:10" x14ac:dyDescent="0.25">
      <c r="A1" s="1" t="s">
        <v>150</v>
      </c>
    </row>
    <row r="8" spans="1:10" x14ac:dyDescent="0.25">
      <c r="J8" s="77"/>
    </row>
    <row r="9" spans="1:10" x14ac:dyDescent="0.25">
      <c r="J9" s="77"/>
    </row>
    <row r="10" spans="1:10" x14ac:dyDescent="0.25">
      <c r="J10" s="77"/>
    </row>
    <row r="11" spans="1:10" x14ac:dyDescent="0.25">
      <c r="J11" s="77"/>
    </row>
    <row r="12" spans="1:10" x14ac:dyDescent="0.25">
      <c r="J12" s="77"/>
    </row>
    <row r="13" spans="1:10" x14ac:dyDescent="0.25">
      <c r="J13" s="77"/>
    </row>
    <row r="14" spans="1:10" x14ac:dyDescent="0.25">
      <c r="J14" s="77"/>
    </row>
    <row r="15" spans="1:10" x14ac:dyDescent="0.25">
      <c r="C15" s="76"/>
      <c r="E15" s="76"/>
      <c r="G15" s="76"/>
      <c r="J15" s="77"/>
    </row>
    <row r="16" spans="1:10" x14ac:dyDescent="0.25">
      <c r="C16" s="77"/>
      <c r="E16" s="77"/>
      <c r="G16" s="77"/>
      <c r="J16" s="77"/>
    </row>
    <row r="17" spans="3:10" x14ac:dyDescent="0.25">
      <c r="C17" s="77"/>
      <c r="E17" s="77"/>
      <c r="G17" s="77"/>
      <c r="J17" s="77"/>
    </row>
    <row r="18" spans="3:10" x14ac:dyDescent="0.25">
      <c r="C18" s="77"/>
      <c r="E18" s="77"/>
      <c r="G18" s="77"/>
      <c r="J18" s="77"/>
    </row>
    <row r="19" spans="3:10" x14ac:dyDescent="0.25">
      <c r="C19" s="77"/>
      <c r="E19" s="77"/>
      <c r="G19" s="77"/>
      <c r="J19" s="77"/>
    </row>
    <row r="20" spans="3:10" x14ac:dyDescent="0.25">
      <c r="J20" s="77"/>
    </row>
    <row r="21" spans="3:10" x14ac:dyDescent="0.25">
      <c r="J21" s="77"/>
    </row>
    <row r="22" spans="3:10" x14ac:dyDescent="0.25">
      <c r="J22" s="77"/>
    </row>
    <row r="23" spans="3:10" x14ac:dyDescent="0.25">
      <c r="J23" s="77"/>
    </row>
    <row r="24" spans="3:10" x14ac:dyDescent="0.25">
      <c r="E24" s="2">
        <f>3000+17500-3500</f>
        <v>17000</v>
      </c>
      <c r="J24" s="77"/>
    </row>
    <row r="26" spans="3:10" x14ac:dyDescent="0.25">
      <c r="J26" s="77"/>
    </row>
    <row r="28" spans="3:10" x14ac:dyDescent="0.25">
      <c r="J28" s="7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B2DA5-0AA5-4874-80BC-5D8DA2276FBA}">
  <dimension ref="A1"/>
  <sheetViews>
    <sheetView workbookViewId="0">
      <selection activeCell="A2" sqref="A2"/>
    </sheetView>
  </sheetViews>
  <sheetFormatPr baseColWidth="10" defaultColWidth="11.44140625" defaultRowHeight="13.2" x14ac:dyDescent="0.25"/>
  <cols>
    <col min="1" max="16384" width="11.44140625" style="2"/>
  </cols>
  <sheetData>
    <row r="1" spans="1:1" x14ac:dyDescent="0.25">
      <c r="A1" s="1" t="s">
        <v>151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34E7B-3798-4869-897E-4288A56F162C}">
  <dimension ref="A1:N70"/>
  <sheetViews>
    <sheetView zoomScaleNormal="100" workbookViewId="0">
      <selection activeCell="A2" sqref="A2"/>
    </sheetView>
  </sheetViews>
  <sheetFormatPr baseColWidth="10" defaultColWidth="11.44140625" defaultRowHeight="13.2" x14ac:dyDescent="0.25"/>
  <cols>
    <col min="1" max="4" width="11.44140625" style="2"/>
    <col min="5" max="5" width="3.109375" style="2" customWidth="1"/>
    <col min="6" max="16384" width="11.44140625" style="2"/>
  </cols>
  <sheetData>
    <row r="1" spans="1:1" x14ac:dyDescent="0.25">
      <c r="A1" s="1" t="s">
        <v>152</v>
      </c>
    </row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18" spans="1:8" x14ac:dyDescent="0.25">
      <c r="A18" s="1" t="s">
        <v>5</v>
      </c>
    </row>
    <row r="19" spans="1:8" x14ac:dyDescent="0.25">
      <c r="D19" s="6" t="s">
        <v>18</v>
      </c>
    </row>
    <row r="20" spans="1:8" x14ac:dyDescent="0.25">
      <c r="A20" s="7"/>
      <c r="B20" s="8"/>
      <c r="C20" s="8"/>
      <c r="D20" s="8"/>
      <c r="E20" s="8"/>
      <c r="F20" s="9" t="s">
        <v>19</v>
      </c>
      <c r="G20" s="10" t="s">
        <v>20</v>
      </c>
    </row>
    <row r="21" spans="1:8" x14ac:dyDescent="0.25">
      <c r="A21" s="11" t="s">
        <v>21</v>
      </c>
      <c r="B21" s="12"/>
      <c r="C21" s="12"/>
      <c r="D21" s="12"/>
      <c r="E21" s="12"/>
      <c r="F21" s="13"/>
      <c r="G21" s="14"/>
      <c r="H21" s="15"/>
    </row>
    <row r="22" spans="1:8" x14ac:dyDescent="0.25">
      <c r="A22" s="16" t="s">
        <v>22</v>
      </c>
      <c r="F22" s="17"/>
      <c r="G22" s="18"/>
      <c r="H22" s="15"/>
    </row>
    <row r="23" spans="1:8" x14ac:dyDescent="0.25">
      <c r="A23" s="19" t="s">
        <v>23</v>
      </c>
      <c r="B23" s="20"/>
      <c r="C23" s="20"/>
      <c r="D23" s="20"/>
      <c r="E23" s="20"/>
      <c r="F23" s="21"/>
      <c r="G23" s="22"/>
    </row>
    <row r="24" spans="1:8" x14ac:dyDescent="0.25">
      <c r="A24" s="7"/>
      <c r="B24" s="23" t="s">
        <v>24</v>
      </c>
      <c r="C24" s="8"/>
      <c r="D24" s="8"/>
      <c r="E24" s="8"/>
      <c r="F24" s="24"/>
      <c r="G24" s="25"/>
      <c r="H24" s="15"/>
    </row>
    <row r="25" spans="1:8" x14ac:dyDescent="0.25">
      <c r="A25" s="11" t="s">
        <v>25</v>
      </c>
      <c r="B25" s="12"/>
      <c r="C25" s="12"/>
      <c r="D25" s="12"/>
      <c r="E25" s="12"/>
      <c r="F25" s="13"/>
      <c r="G25" s="14"/>
      <c r="H25" s="15"/>
    </row>
    <row r="26" spans="1:8" x14ac:dyDescent="0.25">
      <c r="A26" s="16" t="s">
        <v>26</v>
      </c>
      <c r="F26" s="17"/>
      <c r="G26" s="18"/>
      <c r="H26" s="15"/>
    </row>
    <row r="27" spans="1:8" x14ac:dyDescent="0.25">
      <c r="A27" s="19" t="s">
        <v>27</v>
      </c>
      <c r="B27" s="20"/>
      <c r="C27" s="20"/>
      <c r="D27" s="20"/>
      <c r="E27" s="20"/>
      <c r="F27" s="26"/>
      <c r="G27" s="22"/>
    </row>
    <row r="28" spans="1:8" x14ac:dyDescent="0.25">
      <c r="A28" s="7"/>
      <c r="B28" s="23" t="s">
        <v>28</v>
      </c>
      <c r="C28" s="8"/>
      <c r="D28" s="8"/>
      <c r="E28" s="8"/>
      <c r="F28" s="24"/>
      <c r="G28" s="25"/>
      <c r="H28" s="15"/>
    </row>
    <row r="30" spans="1:8" x14ac:dyDescent="0.25">
      <c r="A30" s="27" t="s">
        <v>29</v>
      </c>
    </row>
    <row r="31" spans="1:8" x14ac:dyDescent="0.25">
      <c r="A31" s="27" t="s">
        <v>30</v>
      </c>
    </row>
    <row r="33" spans="1:12" x14ac:dyDescent="0.25">
      <c r="D33" s="6" t="s">
        <v>31</v>
      </c>
    </row>
    <row r="34" spans="1:12" x14ac:dyDescent="0.25">
      <c r="A34" s="28"/>
      <c r="B34" s="12"/>
      <c r="C34" s="12"/>
      <c r="D34" s="12"/>
      <c r="E34" s="12"/>
      <c r="F34" s="78" t="s">
        <v>32</v>
      </c>
      <c r="G34" s="79"/>
      <c r="H34" s="80"/>
      <c r="I34" s="78" t="s">
        <v>33</v>
      </c>
      <c r="J34" s="79"/>
      <c r="K34" s="80"/>
    </row>
    <row r="35" spans="1:12" x14ac:dyDescent="0.25">
      <c r="A35" s="29"/>
      <c r="F35" s="30" t="s">
        <v>34</v>
      </c>
      <c r="G35" s="31" t="s">
        <v>35</v>
      </c>
      <c r="H35" s="32" t="s">
        <v>36</v>
      </c>
      <c r="I35" s="31" t="s">
        <v>34</v>
      </c>
      <c r="J35" s="31" t="s">
        <v>35</v>
      </c>
      <c r="K35" s="32" t="s">
        <v>36</v>
      </c>
    </row>
    <row r="36" spans="1:12" x14ac:dyDescent="0.25">
      <c r="A36" s="33"/>
      <c r="B36" s="20"/>
      <c r="C36" s="20"/>
      <c r="D36" s="20"/>
      <c r="E36" s="20"/>
      <c r="F36" s="21" t="s">
        <v>37</v>
      </c>
      <c r="G36" s="34"/>
      <c r="H36" s="35" t="s">
        <v>38</v>
      </c>
      <c r="I36" s="34" t="s">
        <v>37</v>
      </c>
      <c r="J36" s="34"/>
      <c r="K36" s="35" t="s">
        <v>38</v>
      </c>
    </row>
    <row r="37" spans="1:12" x14ac:dyDescent="0.25">
      <c r="A37" s="11" t="s">
        <v>39</v>
      </c>
      <c r="B37" s="12"/>
      <c r="C37" s="12"/>
      <c r="D37" s="12"/>
      <c r="E37" s="12"/>
      <c r="F37" s="28"/>
      <c r="G37" s="12"/>
      <c r="H37" s="36"/>
      <c r="I37" s="37"/>
      <c r="J37" s="37"/>
      <c r="K37" s="38"/>
      <c r="L37" s="15"/>
    </row>
    <row r="38" spans="1:12" x14ac:dyDescent="0.25">
      <c r="A38" s="16" t="s">
        <v>40</v>
      </c>
      <c r="F38" s="29"/>
      <c r="H38" s="39"/>
      <c r="I38" s="15"/>
      <c r="J38" s="15"/>
      <c r="K38" s="40"/>
    </row>
    <row r="39" spans="1:12" x14ac:dyDescent="0.25">
      <c r="A39" s="29"/>
      <c r="F39" s="29"/>
      <c r="H39" s="39"/>
      <c r="K39" s="39"/>
    </row>
    <row r="40" spans="1:12" x14ac:dyDescent="0.25">
      <c r="A40" s="29"/>
      <c r="B40" s="27" t="s">
        <v>41</v>
      </c>
      <c r="F40" s="29"/>
      <c r="H40" s="39"/>
      <c r="I40" s="15"/>
      <c r="J40" s="15"/>
      <c r="K40" s="40"/>
    </row>
    <row r="41" spans="1:12" x14ac:dyDescent="0.25">
      <c r="A41" s="29"/>
      <c r="C41" s="27" t="s">
        <v>42</v>
      </c>
      <c r="F41" s="41"/>
      <c r="G41" s="15"/>
      <c r="H41" s="40"/>
      <c r="I41" s="15"/>
      <c r="J41" s="15"/>
      <c r="K41" s="40"/>
      <c r="L41" s="15"/>
    </row>
    <row r="42" spans="1:12" x14ac:dyDescent="0.25">
      <c r="A42" s="29"/>
      <c r="C42" s="27" t="s">
        <v>43</v>
      </c>
      <c r="F42" s="41"/>
      <c r="G42" s="15"/>
      <c r="H42" s="40"/>
      <c r="I42" s="15"/>
      <c r="J42" s="15"/>
      <c r="K42" s="40"/>
      <c r="L42" s="15"/>
    </row>
    <row r="43" spans="1:12" x14ac:dyDescent="0.25">
      <c r="A43" s="29"/>
      <c r="C43" s="27" t="s">
        <v>44</v>
      </c>
      <c r="F43" s="41"/>
      <c r="G43" s="15"/>
      <c r="H43" s="40"/>
      <c r="I43" s="15"/>
      <c r="J43" s="15"/>
      <c r="K43" s="40"/>
      <c r="L43" s="15"/>
    </row>
    <row r="44" spans="1:12" x14ac:dyDescent="0.25">
      <c r="A44" s="29"/>
      <c r="B44" s="27" t="s">
        <v>45</v>
      </c>
      <c r="F44" s="41"/>
      <c r="G44" s="15"/>
      <c r="H44" s="40"/>
      <c r="I44" s="15"/>
      <c r="J44" s="15"/>
      <c r="K44" s="40"/>
      <c r="L44" s="15"/>
    </row>
    <row r="45" spans="1:12" x14ac:dyDescent="0.25">
      <c r="A45" s="19" t="s">
        <v>46</v>
      </c>
      <c r="B45" s="20"/>
      <c r="C45" s="20"/>
      <c r="D45" s="20"/>
      <c r="E45" s="20"/>
      <c r="F45" s="33"/>
      <c r="G45" s="20"/>
      <c r="H45" s="42"/>
      <c r="I45" s="20"/>
      <c r="J45" s="43"/>
      <c r="K45" s="44"/>
    </row>
    <row r="46" spans="1:12" x14ac:dyDescent="0.25">
      <c r="A46" s="7"/>
      <c r="B46" s="23" t="s">
        <v>47</v>
      </c>
      <c r="C46" s="8"/>
      <c r="D46" s="8"/>
      <c r="E46" s="8"/>
      <c r="F46" s="45"/>
      <c r="G46" s="46"/>
      <c r="H46" s="47"/>
      <c r="I46" s="46"/>
      <c r="J46" s="46"/>
      <c r="K46" s="47"/>
      <c r="L46" s="15"/>
    </row>
    <row r="47" spans="1:12" x14ac:dyDescent="0.25">
      <c r="A47" s="11" t="s">
        <v>48</v>
      </c>
      <c r="B47" s="12"/>
      <c r="C47" s="12"/>
      <c r="D47" s="12"/>
      <c r="E47" s="12"/>
      <c r="F47" s="48"/>
      <c r="G47" s="37"/>
      <c r="H47" s="38"/>
      <c r="I47" s="37"/>
      <c r="J47" s="37"/>
      <c r="K47" s="38"/>
      <c r="L47" s="15"/>
    </row>
    <row r="48" spans="1:12" x14ac:dyDescent="0.25">
      <c r="A48" s="29"/>
      <c r="F48" s="29"/>
      <c r="H48" s="39"/>
      <c r="K48" s="39"/>
    </row>
    <row r="49" spans="1:14" x14ac:dyDescent="0.25">
      <c r="A49" s="16" t="s">
        <v>49</v>
      </c>
      <c r="F49" s="41"/>
      <c r="G49" s="15"/>
      <c r="H49" s="40"/>
      <c r="I49" s="15"/>
      <c r="J49" s="15"/>
      <c r="K49" s="40"/>
      <c r="L49" s="15"/>
    </row>
    <row r="50" spans="1:14" x14ac:dyDescent="0.25">
      <c r="A50" s="16" t="s">
        <v>50</v>
      </c>
      <c r="F50" s="41"/>
      <c r="G50" s="15"/>
      <c r="H50" s="40"/>
      <c r="I50" s="15"/>
      <c r="J50" s="15"/>
      <c r="K50" s="40"/>
      <c r="L50" s="15"/>
    </row>
    <row r="51" spans="1:14" x14ac:dyDescent="0.25">
      <c r="A51" s="16" t="s">
        <v>51</v>
      </c>
      <c r="F51" s="41"/>
      <c r="G51" s="15"/>
      <c r="H51" s="40"/>
      <c r="I51" s="15"/>
      <c r="J51" s="15"/>
      <c r="K51" s="40"/>
      <c r="L51" s="15"/>
    </row>
    <row r="52" spans="1:14" x14ac:dyDescent="0.25">
      <c r="A52" s="29"/>
      <c r="B52" s="27" t="s">
        <v>42</v>
      </c>
      <c r="F52" s="41"/>
      <c r="G52" s="15"/>
      <c r="H52" s="40"/>
      <c r="I52" s="15"/>
      <c r="J52" s="15"/>
      <c r="K52" s="40"/>
      <c r="L52" s="15"/>
    </row>
    <row r="53" spans="1:14" x14ac:dyDescent="0.25">
      <c r="A53" s="29"/>
      <c r="B53" s="27" t="s">
        <v>43</v>
      </c>
      <c r="F53" s="41"/>
      <c r="G53" s="15"/>
      <c r="H53" s="40"/>
      <c r="I53" s="15"/>
      <c r="J53" s="15"/>
      <c r="K53" s="40"/>
      <c r="L53" s="15"/>
    </row>
    <row r="54" spans="1:14" x14ac:dyDescent="0.25">
      <c r="A54" s="29"/>
      <c r="B54" s="27" t="s">
        <v>52</v>
      </c>
      <c r="F54" s="41"/>
      <c r="G54" s="15"/>
      <c r="H54" s="40"/>
      <c r="I54" s="15"/>
      <c r="J54" s="15"/>
      <c r="K54" s="40"/>
      <c r="L54" s="15"/>
    </row>
    <row r="55" spans="1:14" x14ac:dyDescent="0.25">
      <c r="A55" s="7"/>
      <c r="B55" s="23" t="s">
        <v>47</v>
      </c>
      <c r="C55" s="8"/>
      <c r="D55" s="8"/>
      <c r="E55" s="8"/>
      <c r="F55" s="45"/>
      <c r="G55" s="8"/>
      <c r="H55" s="47"/>
      <c r="I55" s="46"/>
      <c r="J55" s="46"/>
      <c r="K55" s="47"/>
      <c r="L55" s="15"/>
    </row>
    <row r="56" spans="1:14" x14ac:dyDescent="0.25">
      <c r="H56" s="49"/>
      <c r="I56" s="15"/>
      <c r="J56" s="15"/>
      <c r="K56" s="49"/>
      <c r="N56" s="15"/>
    </row>
    <row r="57" spans="1:14" x14ac:dyDescent="0.25">
      <c r="A57" s="27"/>
      <c r="F57" s="50"/>
      <c r="G57" s="15"/>
      <c r="H57" s="49"/>
      <c r="I57" s="50"/>
      <c r="J57" s="15"/>
      <c r="K57" s="49"/>
    </row>
    <row r="58" spans="1:14" x14ac:dyDescent="0.25">
      <c r="A58" s="27"/>
      <c r="F58" s="15"/>
      <c r="G58" s="15"/>
      <c r="H58" s="49"/>
      <c r="I58" s="15"/>
      <c r="J58" s="15"/>
      <c r="K58" s="49"/>
    </row>
    <row r="59" spans="1:14" x14ac:dyDescent="0.25">
      <c r="F59" s="50"/>
      <c r="G59" s="15"/>
      <c r="H59" s="49"/>
      <c r="I59" s="50"/>
      <c r="J59" s="15"/>
      <c r="K59" s="49"/>
    </row>
    <row r="60" spans="1:14" x14ac:dyDescent="0.25">
      <c r="A60" s="27"/>
      <c r="F60" s="50"/>
      <c r="G60" s="15"/>
      <c r="H60" s="49"/>
      <c r="I60" s="50"/>
      <c r="J60" s="15"/>
      <c r="K60" s="51"/>
    </row>
    <row r="61" spans="1:14" x14ac:dyDescent="0.25">
      <c r="A61" s="27"/>
      <c r="I61" s="15"/>
      <c r="J61" s="15"/>
      <c r="K61" s="49"/>
    </row>
    <row r="62" spans="1:14" x14ac:dyDescent="0.25">
      <c r="I62" s="50"/>
      <c r="J62" s="15"/>
      <c r="K62" s="49"/>
    </row>
    <row r="63" spans="1:14" x14ac:dyDescent="0.25">
      <c r="A63" s="27"/>
      <c r="I63" s="50"/>
      <c r="J63" s="15"/>
      <c r="K63" s="51"/>
    </row>
    <row r="68" spans="9:11" x14ac:dyDescent="0.25">
      <c r="I68" s="15"/>
      <c r="J68" s="15"/>
      <c r="K68" s="49"/>
    </row>
    <row r="69" spans="9:11" x14ac:dyDescent="0.25">
      <c r="I69" s="15"/>
      <c r="J69" s="15"/>
      <c r="K69" s="49"/>
    </row>
    <row r="70" spans="9:11" x14ac:dyDescent="0.25">
      <c r="I70" s="15"/>
      <c r="J70" s="15"/>
      <c r="K70" s="49"/>
    </row>
  </sheetData>
  <mergeCells count="2">
    <mergeCell ref="F34:H34"/>
    <mergeCell ref="I34:K34"/>
  </mergeCells>
  <pageMargins left="0.75" right="0.75" top="1" bottom="1" header="0" footer="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4F530-E2C0-45B4-AD87-4C056BC7C394}">
  <dimension ref="A1:L83"/>
  <sheetViews>
    <sheetView workbookViewId="0">
      <selection activeCell="A2" sqref="A2"/>
    </sheetView>
  </sheetViews>
  <sheetFormatPr baseColWidth="10" defaultColWidth="11.44140625" defaultRowHeight="13.2" x14ac:dyDescent="0.25"/>
  <cols>
    <col min="1" max="4" width="11.44140625" style="2"/>
    <col min="5" max="5" width="1" style="2" customWidth="1"/>
    <col min="6" max="11" width="11.44140625" style="2"/>
    <col min="12" max="12" width="2" style="2" customWidth="1"/>
    <col min="13" max="16384" width="11.44140625" style="2"/>
  </cols>
  <sheetData>
    <row r="1" spans="1:1" x14ac:dyDescent="0.25">
      <c r="A1" s="1" t="s">
        <v>153</v>
      </c>
    </row>
    <row r="28" spans="1:7" x14ac:dyDescent="0.25">
      <c r="A28" s="1" t="s">
        <v>5</v>
      </c>
    </row>
    <row r="30" spans="1:7" ht="13.8" x14ac:dyDescent="0.3">
      <c r="D30" s="52" t="s">
        <v>18</v>
      </c>
    </row>
    <row r="31" spans="1:7" x14ac:dyDescent="0.25">
      <c r="A31" s="7"/>
      <c r="B31" s="8"/>
      <c r="C31" s="8"/>
      <c r="D31" s="8"/>
      <c r="E31" s="8"/>
      <c r="F31" s="10" t="s">
        <v>19</v>
      </c>
      <c r="G31" s="53" t="s">
        <v>20</v>
      </c>
    </row>
    <row r="32" spans="1:7" x14ac:dyDescent="0.25">
      <c r="A32" s="16" t="s">
        <v>53</v>
      </c>
      <c r="F32" s="18">
        <v>20000</v>
      </c>
      <c r="G32" s="54">
        <v>30000</v>
      </c>
    </row>
    <row r="33" spans="1:11" x14ac:dyDescent="0.25">
      <c r="A33" s="16" t="s">
        <v>54</v>
      </c>
      <c r="F33" s="18">
        <v>200000</v>
      </c>
      <c r="G33" s="54">
        <v>0</v>
      </c>
      <c r="H33" s="15"/>
    </row>
    <row r="34" spans="1:11" x14ac:dyDescent="0.25">
      <c r="A34" s="16" t="s">
        <v>22</v>
      </c>
      <c r="F34" s="18">
        <v>0</v>
      </c>
      <c r="G34" s="54">
        <v>160000</v>
      </c>
      <c r="H34" s="15"/>
    </row>
    <row r="35" spans="1:11" x14ac:dyDescent="0.25">
      <c r="A35" s="16" t="s">
        <v>23</v>
      </c>
      <c r="F35" s="55">
        <v>0</v>
      </c>
      <c r="G35" s="54">
        <v>10000</v>
      </c>
    </row>
    <row r="36" spans="1:11" x14ac:dyDescent="0.25">
      <c r="A36" s="7"/>
      <c r="B36" s="23" t="s">
        <v>24</v>
      </c>
      <c r="C36" s="8"/>
      <c r="D36" s="8"/>
      <c r="E36" s="8"/>
      <c r="F36" s="25">
        <f>SUM(F32:F35)</f>
        <v>220000</v>
      </c>
      <c r="G36" s="56">
        <f>SUM(G32:G35)</f>
        <v>200000</v>
      </c>
      <c r="H36" s="15"/>
    </row>
    <row r="37" spans="1:11" x14ac:dyDescent="0.25">
      <c r="A37" s="16" t="s">
        <v>25</v>
      </c>
      <c r="F37" s="18">
        <v>160000</v>
      </c>
      <c r="G37" s="54">
        <v>170000</v>
      </c>
      <c r="H37" s="15"/>
    </row>
    <row r="38" spans="1:11" x14ac:dyDescent="0.25">
      <c r="A38" s="16" t="s">
        <v>26</v>
      </c>
      <c r="F38" s="18" t="s">
        <v>55</v>
      </c>
      <c r="G38" s="54" t="s">
        <v>56</v>
      </c>
      <c r="H38" s="15"/>
    </row>
    <row r="39" spans="1:11" x14ac:dyDescent="0.25">
      <c r="A39" s="16" t="s">
        <v>27</v>
      </c>
      <c r="F39" s="18">
        <v>30000</v>
      </c>
      <c r="G39" s="54">
        <v>6000</v>
      </c>
    </row>
    <row r="40" spans="1:11" x14ac:dyDescent="0.25">
      <c r="A40" s="7"/>
      <c r="B40" s="23" t="s">
        <v>28</v>
      </c>
      <c r="C40" s="8"/>
      <c r="D40" s="8"/>
      <c r="E40" s="8"/>
      <c r="F40" s="25">
        <f>160000+30000+30000</f>
        <v>220000</v>
      </c>
      <c r="G40" s="56">
        <f>170000+24000+6000</f>
        <v>200000</v>
      </c>
      <c r="H40" s="15"/>
    </row>
    <row r="42" spans="1:11" x14ac:dyDescent="0.25">
      <c r="A42" s="27" t="s">
        <v>57</v>
      </c>
    </row>
    <row r="43" spans="1:11" x14ac:dyDescent="0.25">
      <c r="A43" s="27" t="s">
        <v>58</v>
      </c>
    </row>
    <row r="45" spans="1:11" ht="13.8" x14ac:dyDescent="0.3">
      <c r="D45" s="52" t="s">
        <v>31</v>
      </c>
    </row>
    <row r="46" spans="1:11" x14ac:dyDescent="0.25">
      <c r="A46" s="7"/>
      <c r="B46" s="8"/>
      <c r="C46" s="8"/>
      <c r="D46" s="8"/>
      <c r="E46" s="8"/>
      <c r="F46" s="81" t="s">
        <v>32</v>
      </c>
      <c r="G46" s="82"/>
      <c r="H46" s="83"/>
      <c r="I46" s="81" t="s">
        <v>33</v>
      </c>
      <c r="J46" s="82"/>
      <c r="K46" s="83"/>
    </row>
    <row r="47" spans="1:11" x14ac:dyDescent="0.25">
      <c r="A47" s="28"/>
      <c r="B47" s="12"/>
      <c r="C47" s="12"/>
      <c r="D47" s="12"/>
      <c r="E47" s="36"/>
      <c r="F47" s="57" t="s">
        <v>34</v>
      </c>
      <c r="G47" s="58" t="s">
        <v>35</v>
      </c>
      <c r="H47" s="59" t="s">
        <v>36</v>
      </c>
      <c r="I47" s="58" t="s">
        <v>34</v>
      </c>
      <c r="J47" s="58" t="s">
        <v>35</v>
      </c>
      <c r="K47" s="59" t="s">
        <v>36</v>
      </c>
    </row>
    <row r="48" spans="1:11" x14ac:dyDescent="0.25">
      <c r="A48" s="33"/>
      <c r="B48" s="20"/>
      <c r="C48" s="20"/>
      <c r="D48" s="20"/>
      <c r="E48" s="42"/>
      <c r="F48" s="60" t="s">
        <v>37</v>
      </c>
      <c r="G48" s="20"/>
      <c r="H48" s="61" t="s">
        <v>38</v>
      </c>
      <c r="I48" s="43" t="s">
        <v>37</v>
      </c>
      <c r="J48" s="20"/>
      <c r="K48" s="61" t="s">
        <v>38</v>
      </c>
    </row>
    <row r="49" spans="1:12" x14ac:dyDescent="0.25">
      <c r="A49" s="16" t="s">
        <v>59</v>
      </c>
      <c r="F49" s="29"/>
      <c r="H49" s="39"/>
      <c r="I49" s="15">
        <v>875000</v>
      </c>
      <c r="K49" s="39"/>
    </row>
    <row r="50" spans="1:12" x14ac:dyDescent="0.25">
      <c r="A50" s="16" t="s">
        <v>60</v>
      </c>
      <c r="F50" s="29"/>
      <c r="H50" s="39"/>
      <c r="I50" s="15">
        <f>F61</f>
        <v>3446197.5162625667</v>
      </c>
      <c r="J50" s="15">
        <f>G61</f>
        <v>160000</v>
      </c>
      <c r="K50" s="40">
        <f>H61</f>
        <v>21.538734476641043</v>
      </c>
      <c r="L50" s="15"/>
    </row>
    <row r="51" spans="1:12" x14ac:dyDescent="0.25">
      <c r="A51" s="16" t="s">
        <v>61</v>
      </c>
      <c r="F51" s="29"/>
      <c r="H51" s="39"/>
      <c r="I51" s="15">
        <f>I49+I50</f>
        <v>4321197.5162625667</v>
      </c>
      <c r="J51" s="15">
        <f>160000+10000+30000</f>
        <v>200000</v>
      </c>
      <c r="K51" s="40">
        <f>I51/J51</f>
        <v>21.605987581312835</v>
      </c>
    </row>
    <row r="52" spans="1:12" x14ac:dyDescent="0.25">
      <c r="A52" s="29"/>
      <c r="F52" s="29"/>
      <c r="H52" s="39"/>
      <c r="K52" s="39"/>
    </row>
    <row r="53" spans="1:12" x14ac:dyDescent="0.25">
      <c r="A53" s="29"/>
      <c r="B53" s="27" t="s">
        <v>41</v>
      </c>
      <c r="F53" s="29"/>
      <c r="H53" s="39"/>
      <c r="I53" s="15"/>
      <c r="J53" s="15"/>
      <c r="K53" s="40"/>
    </row>
    <row r="54" spans="1:12" x14ac:dyDescent="0.25">
      <c r="A54" s="29"/>
      <c r="C54" s="27" t="s">
        <v>42</v>
      </c>
      <c r="F54" s="41">
        <f>480000+1200000</f>
        <v>1680000</v>
      </c>
      <c r="G54" s="15">
        <v>190000</v>
      </c>
      <c r="H54" s="40">
        <f>F54/G54</f>
        <v>8.8421052631578956</v>
      </c>
      <c r="I54" s="15">
        <f>360000+900000</f>
        <v>1260000</v>
      </c>
      <c r="J54" s="15">
        <f>J77</f>
        <v>186800</v>
      </c>
      <c r="K54" s="40">
        <f>I54/J54</f>
        <v>6.745182012847966</v>
      </c>
      <c r="L54" s="15"/>
    </row>
    <row r="55" spans="1:12" x14ac:dyDescent="0.25">
      <c r="A55" s="29"/>
      <c r="C55" s="27" t="s">
        <v>43</v>
      </c>
      <c r="F55" s="41">
        <f>260000+1000000</f>
        <v>1260000</v>
      </c>
      <c r="G55" s="15">
        <v>178000</v>
      </c>
      <c r="H55" s="40">
        <f>F55/G55</f>
        <v>7.0786516853932584</v>
      </c>
      <c r="I55" s="15">
        <f>280000+760000</f>
        <v>1040000</v>
      </c>
      <c r="J55" s="15">
        <f>J74</f>
        <v>179600</v>
      </c>
      <c r="K55" s="40">
        <f>I55/J55</f>
        <v>5.7906458797327396</v>
      </c>
      <c r="L55" s="15"/>
    </row>
    <row r="56" spans="1:12" x14ac:dyDescent="0.25">
      <c r="A56" s="29"/>
      <c r="C56" s="27" t="s">
        <v>44</v>
      </c>
      <c r="F56" s="41">
        <f>200000+800000</f>
        <v>1000000</v>
      </c>
      <c r="G56" s="15">
        <v>178000</v>
      </c>
      <c r="H56" s="40">
        <f>F56/G56</f>
        <v>5.617977528089888</v>
      </c>
      <c r="I56" s="15">
        <f>220000+600000</f>
        <v>820000</v>
      </c>
      <c r="J56" s="15">
        <f>J74</f>
        <v>179600</v>
      </c>
      <c r="K56" s="40">
        <f>I56/J56</f>
        <v>4.5657015590200443</v>
      </c>
      <c r="L56" s="15"/>
    </row>
    <row r="57" spans="1:12" x14ac:dyDescent="0.25">
      <c r="A57" s="29"/>
      <c r="B57" s="27" t="s">
        <v>45</v>
      </c>
      <c r="F57" s="41">
        <f>SUM(F54:F56)</f>
        <v>3940000</v>
      </c>
      <c r="G57" s="15"/>
      <c r="H57" s="40">
        <f>SUM(H54:H56)</f>
        <v>21.538734476641043</v>
      </c>
      <c r="I57" s="15">
        <f>SUM(I54:I56)</f>
        <v>3120000</v>
      </c>
      <c r="J57" s="15"/>
      <c r="K57" s="40">
        <f>SUM(K54:K56)</f>
        <v>17.101529451600751</v>
      </c>
      <c r="L57" s="15"/>
    </row>
    <row r="58" spans="1:12" x14ac:dyDescent="0.25">
      <c r="A58" s="16" t="s">
        <v>46</v>
      </c>
      <c r="F58" s="29"/>
      <c r="H58" s="39"/>
      <c r="J58" s="62" t="s">
        <v>62</v>
      </c>
      <c r="K58" s="40">
        <f>D77</f>
        <v>0.66822642004060029</v>
      </c>
    </row>
    <row r="59" spans="1:12" x14ac:dyDescent="0.25">
      <c r="A59" s="16" t="s">
        <v>63</v>
      </c>
      <c r="F59" s="29"/>
      <c r="H59" s="39"/>
      <c r="I59" s="15">
        <v>12000</v>
      </c>
      <c r="J59" s="15">
        <v>170000</v>
      </c>
      <c r="K59" s="40">
        <f>I59/J59</f>
        <v>7.0588235294117646E-2</v>
      </c>
    </row>
    <row r="60" spans="1:12" x14ac:dyDescent="0.25">
      <c r="A60" s="7"/>
      <c r="B60" s="23" t="s">
        <v>47</v>
      </c>
      <c r="C60" s="8"/>
      <c r="D60" s="8"/>
      <c r="E60" s="8"/>
      <c r="F60" s="45">
        <f>F57</f>
        <v>3940000</v>
      </c>
      <c r="G60" s="46"/>
      <c r="H60" s="47">
        <f>H57</f>
        <v>21.538734476641043</v>
      </c>
      <c r="I60" s="46">
        <f>I50+I57+I59+I49</f>
        <v>7453197.5162625667</v>
      </c>
      <c r="J60" s="46"/>
      <c r="K60" s="47">
        <f>K58+K57+K51+K59</f>
        <v>39.4463316882483</v>
      </c>
      <c r="L60" s="15"/>
    </row>
    <row r="61" spans="1:12" x14ac:dyDescent="0.25">
      <c r="A61" s="16" t="s">
        <v>64</v>
      </c>
      <c r="F61" s="41">
        <f>G61*H61</f>
        <v>3446197.5162625667</v>
      </c>
      <c r="G61" s="15">
        <v>160000</v>
      </c>
      <c r="H61" s="40">
        <f>H60</f>
        <v>21.538734476641043</v>
      </c>
      <c r="I61" s="15">
        <f>J61*K61</f>
        <v>6705876.3870022111</v>
      </c>
      <c r="J61" s="15">
        <v>170000</v>
      </c>
      <c r="K61" s="40">
        <f>K60</f>
        <v>39.4463316882483</v>
      </c>
      <c r="L61" s="15"/>
    </row>
    <row r="62" spans="1:12" x14ac:dyDescent="0.25">
      <c r="A62" s="29"/>
      <c r="F62" s="29"/>
      <c r="H62" s="39"/>
      <c r="K62" s="39"/>
    </row>
    <row r="63" spans="1:12" x14ac:dyDescent="0.25">
      <c r="A63" s="16" t="s">
        <v>65</v>
      </c>
      <c r="F63" s="41"/>
      <c r="G63" s="15"/>
      <c r="H63" s="40"/>
      <c r="I63" s="15"/>
      <c r="J63" s="15"/>
      <c r="K63" s="40"/>
      <c r="L63" s="15"/>
    </row>
    <row r="64" spans="1:12" x14ac:dyDescent="0.25">
      <c r="A64" s="16" t="s">
        <v>66</v>
      </c>
      <c r="F64" s="41"/>
      <c r="G64" s="15"/>
      <c r="H64" s="40"/>
      <c r="I64" s="15">
        <f>J64*K64</f>
        <v>534581.13603248249</v>
      </c>
      <c r="J64" s="15">
        <v>24000</v>
      </c>
      <c r="K64" s="40">
        <f>D71</f>
        <v>22.274214001353435</v>
      </c>
      <c r="L64" s="15"/>
    </row>
    <row r="65" spans="1:12" x14ac:dyDescent="0.25">
      <c r="A65" s="16" t="s">
        <v>51</v>
      </c>
      <c r="F65" s="41"/>
      <c r="G65" s="15"/>
      <c r="H65" s="40"/>
      <c r="I65" s="15"/>
      <c r="J65" s="15"/>
      <c r="K65" s="40"/>
      <c r="L65" s="15"/>
    </row>
    <row r="66" spans="1:12" x14ac:dyDescent="0.25">
      <c r="A66" s="29"/>
      <c r="B66" s="27" t="s">
        <v>42</v>
      </c>
      <c r="F66" s="41">
        <f>G66*H66</f>
        <v>265263.15789473685</v>
      </c>
      <c r="G66" s="15">
        <v>30000</v>
      </c>
      <c r="H66" s="40">
        <f>H54</f>
        <v>8.8421052631578956</v>
      </c>
      <c r="I66" s="15">
        <f>K66*J66</f>
        <v>113319.05781584582</v>
      </c>
      <c r="J66" s="15">
        <f>0.7*J64</f>
        <v>16800</v>
      </c>
      <c r="K66" s="40">
        <f>K54</f>
        <v>6.745182012847966</v>
      </c>
      <c r="L66" s="15"/>
    </row>
    <row r="67" spans="1:12" x14ac:dyDescent="0.25">
      <c r="A67" s="29"/>
      <c r="B67" s="27" t="s">
        <v>43</v>
      </c>
      <c r="F67" s="41">
        <f>G67*H67</f>
        <v>127415.73033707865</v>
      </c>
      <c r="G67" s="15">
        <f>60/100*30000</f>
        <v>18000</v>
      </c>
      <c r="H67" s="40">
        <f>H55</f>
        <v>7.0786516853932584</v>
      </c>
      <c r="I67" s="15">
        <f>J67*K67</f>
        <v>55590.200445434297</v>
      </c>
      <c r="J67" s="15">
        <f>0.4*J64</f>
        <v>9600</v>
      </c>
      <c r="K67" s="40">
        <f>K55</f>
        <v>5.7906458797327396</v>
      </c>
      <c r="L67" s="15"/>
    </row>
    <row r="68" spans="1:12" x14ac:dyDescent="0.25">
      <c r="A68" s="29"/>
      <c r="B68" s="27" t="s">
        <v>52</v>
      </c>
      <c r="F68" s="41">
        <f>G68*H68</f>
        <v>101123.59550561798</v>
      </c>
      <c r="G68" s="15">
        <f>60/100*30000</f>
        <v>18000</v>
      </c>
      <c r="H68" s="40">
        <f>H56</f>
        <v>5.617977528089888</v>
      </c>
      <c r="I68" s="15">
        <f>J68*K68</f>
        <v>43830.734966592427</v>
      </c>
      <c r="J68" s="15">
        <f>0.4*J64</f>
        <v>9600</v>
      </c>
      <c r="K68" s="40">
        <f>K56</f>
        <v>4.5657015590200443</v>
      </c>
      <c r="L68" s="15"/>
    </row>
    <row r="69" spans="1:12" x14ac:dyDescent="0.25">
      <c r="A69" s="7"/>
      <c r="B69" s="23" t="s">
        <v>47</v>
      </c>
      <c r="C69" s="8"/>
      <c r="D69" s="8"/>
      <c r="E69" s="8"/>
      <c r="F69" s="45">
        <f>SUM(F61:F68)</f>
        <v>3940000.0000000005</v>
      </c>
      <c r="G69" s="8"/>
      <c r="H69" s="47"/>
      <c r="I69" s="46">
        <f>SUM(I61:I68)</f>
        <v>7453197.5162625667</v>
      </c>
      <c r="J69" s="46"/>
      <c r="K69" s="47"/>
      <c r="L69" s="15"/>
    </row>
    <row r="70" spans="1:12" x14ac:dyDescent="0.25">
      <c r="H70" s="49"/>
      <c r="I70" s="15"/>
      <c r="J70" s="15"/>
      <c r="K70" s="49"/>
    </row>
    <row r="71" spans="1:12" x14ac:dyDescent="0.25">
      <c r="A71" s="27" t="s">
        <v>67</v>
      </c>
      <c r="D71" s="49">
        <f>I51/194000</f>
        <v>22.274214001353435</v>
      </c>
      <c r="F71" s="50" t="s">
        <v>68</v>
      </c>
      <c r="G71" s="15"/>
      <c r="H71" s="49"/>
      <c r="I71" s="50" t="s">
        <v>69</v>
      </c>
      <c r="J71" s="15"/>
      <c r="K71" s="49"/>
    </row>
    <row r="72" spans="1:12" x14ac:dyDescent="0.25">
      <c r="A72" s="27" t="s">
        <v>70</v>
      </c>
      <c r="D72" s="49"/>
      <c r="F72" s="15"/>
      <c r="G72" s="15"/>
      <c r="H72" s="49"/>
      <c r="I72" s="15"/>
      <c r="J72" s="15"/>
      <c r="K72" s="49"/>
    </row>
    <row r="73" spans="1:12" x14ac:dyDescent="0.25">
      <c r="D73" s="49"/>
      <c r="F73" s="50" t="s">
        <v>71</v>
      </c>
      <c r="G73" s="15"/>
      <c r="H73" s="49"/>
      <c r="I73" s="50" t="s">
        <v>72</v>
      </c>
      <c r="J73" s="15"/>
      <c r="K73" s="49"/>
    </row>
    <row r="74" spans="1:12" x14ac:dyDescent="0.25">
      <c r="A74" s="27" t="s">
        <v>73</v>
      </c>
      <c r="D74" s="49">
        <f>I51/200000</f>
        <v>21.605987581312835</v>
      </c>
      <c r="F74" s="50" t="s">
        <v>74</v>
      </c>
      <c r="G74" s="15">
        <f>60/100*30000+160000</f>
        <v>178000</v>
      </c>
      <c r="H74" s="49"/>
      <c r="I74" s="50" t="s">
        <v>74</v>
      </c>
      <c r="J74" s="15">
        <f>40/100*24000+170000</f>
        <v>179600</v>
      </c>
      <c r="K74" s="51" t="s">
        <v>75</v>
      </c>
    </row>
    <row r="75" spans="1:12" x14ac:dyDescent="0.25">
      <c r="A75" s="27" t="s">
        <v>76</v>
      </c>
      <c r="D75" s="49"/>
      <c r="I75" s="15"/>
      <c r="J75" s="15"/>
      <c r="K75" s="49"/>
    </row>
    <row r="76" spans="1:12" x14ac:dyDescent="0.25">
      <c r="D76" s="49"/>
      <c r="F76" s="50" t="s">
        <v>77</v>
      </c>
      <c r="G76" s="15"/>
      <c r="I76" s="50" t="s">
        <v>78</v>
      </c>
      <c r="J76" s="15"/>
      <c r="K76" s="49"/>
    </row>
    <row r="77" spans="1:12" x14ac:dyDescent="0.25">
      <c r="A77" s="27" t="s">
        <v>79</v>
      </c>
      <c r="D77" s="49">
        <f>D71-D74</f>
        <v>0.66822642004060029</v>
      </c>
      <c r="F77" s="50" t="s">
        <v>74</v>
      </c>
      <c r="G77" s="15">
        <f>100/100*30000+160000</f>
        <v>190000</v>
      </c>
      <c r="I77" s="50" t="s">
        <v>74</v>
      </c>
      <c r="J77" s="15">
        <f>70/100*24000+170000</f>
        <v>186800</v>
      </c>
      <c r="K77" s="51" t="s">
        <v>80</v>
      </c>
    </row>
    <row r="78" spans="1:12" x14ac:dyDescent="0.25">
      <c r="D78" s="49"/>
    </row>
    <row r="79" spans="1:12" x14ac:dyDescent="0.25">
      <c r="D79" s="49"/>
    </row>
    <row r="80" spans="1:12" x14ac:dyDescent="0.25">
      <c r="D80" s="49"/>
    </row>
    <row r="81" spans="4:11" x14ac:dyDescent="0.25">
      <c r="D81" s="49"/>
    </row>
    <row r="82" spans="4:11" x14ac:dyDescent="0.25">
      <c r="D82" s="49"/>
      <c r="I82" s="15"/>
      <c r="J82" s="15"/>
      <c r="K82" s="49"/>
    </row>
    <row r="83" spans="4:11" x14ac:dyDescent="0.25">
      <c r="D83" s="49"/>
      <c r="I83" s="15"/>
      <c r="J83" s="15"/>
      <c r="K83" s="49"/>
    </row>
  </sheetData>
  <mergeCells count="2">
    <mergeCell ref="F46:H46"/>
    <mergeCell ref="I46:K46"/>
  </mergeCells>
  <pageMargins left="0.75" right="0.75" top="1" bottom="1" header="0" footer="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A83B2-6693-46A4-BB7C-1601AFDE19EF}">
  <dimension ref="A1:D18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25.44140625" style="64" customWidth="1"/>
    <col min="2" max="16384" width="11.44140625" style="64"/>
  </cols>
  <sheetData>
    <row r="1" spans="1:4" x14ac:dyDescent="0.3">
      <c r="A1" s="63" t="s">
        <v>0</v>
      </c>
    </row>
    <row r="6" spans="1:4" x14ac:dyDescent="0.3">
      <c r="D6" s="65"/>
    </row>
    <row r="7" spans="1:4" x14ac:dyDescent="0.3">
      <c r="D7" s="65"/>
    </row>
    <row r="9" spans="1:4" x14ac:dyDescent="0.3">
      <c r="D9" s="65"/>
    </row>
    <row r="12" spans="1:4" x14ac:dyDescent="0.3">
      <c r="D12" s="65"/>
    </row>
    <row r="18" spans="1:1" x14ac:dyDescent="0.3">
      <c r="A18" s="63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ADC49-BFDA-4EED-83F1-D6AA58F7BCC8}">
  <dimension ref="A1:E11"/>
  <sheetViews>
    <sheetView workbookViewId="0">
      <selection activeCell="A2" sqref="A2"/>
    </sheetView>
  </sheetViews>
  <sheetFormatPr baseColWidth="10" defaultColWidth="9.109375" defaultRowHeight="14.4" x14ac:dyDescent="0.3"/>
  <cols>
    <col min="1" max="1" width="9.109375" style="64"/>
    <col min="2" max="2" width="17.44140625" style="64" customWidth="1"/>
    <col min="3" max="16384" width="9.109375" style="64"/>
  </cols>
  <sheetData>
    <row r="1" spans="1:5" x14ac:dyDescent="0.3">
      <c r="A1" s="63" t="s">
        <v>1</v>
      </c>
    </row>
    <row r="4" spans="1:5" x14ac:dyDescent="0.3">
      <c r="C4" s="66"/>
      <c r="D4" s="66"/>
      <c r="E4" s="66"/>
    </row>
    <row r="5" spans="1:5" x14ac:dyDescent="0.3">
      <c r="C5" s="67"/>
      <c r="D5" s="67"/>
      <c r="E5" s="67"/>
    </row>
    <row r="6" spans="1:5" x14ac:dyDescent="0.3">
      <c r="C6" s="67"/>
      <c r="D6" s="67"/>
      <c r="E6" s="67"/>
    </row>
    <row r="7" spans="1:5" x14ac:dyDescent="0.3">
      <c r="C7" s="68"/>
      <c r="D7" s="68"/>
      <c r="E7" s="68"/>
    </row>
    <row r="8" spans="1:5" x14ac:dyDescent="0.3">
      <c r="C8" s="67"/>
      <c r="D8" s="67"/>
      <c r="E8" s="67"/>
    </row>
    <row r="9" spans="1:5" x14ac:dyDescent="0.3">
      <c r="C9" s="67"/>
      <c r="D9" s="67"/>
      <c r="E9" s="67"/>
    </row>
    <row r="10" spans="1:5" x14ac:dyDescent="0.3">
      <c r="C10" s="67"/>
      <c r="D10" s="67"/>
      <c r="E10" s="67"/>
    </row>
    <row r="11" spans="1:5" x14ac:dyDescent="0.3">
      <c r="C11" s="67"/>
      <c r="D11" s="67"/>
      <c r="E11" s="6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3354-0422-4691-9ED6-C49DFC973672}">
  <dimension ref="A1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12.33203125" style="64" customWidth="1"/>
    <col min="2" max="16384" width="11.44140625" style="64"/>
  </cols>
  <sheetData>
    <row r="1" spans="1:1" x14ac:dyDescent="0.3">
      <c r="A1" s="63" t="s">
        <v>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2C557-DE41-4D18-9A13-957AF083B99D}">
  <dimension ref="A1:E9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10.109375" style="64" customWidth="1"/>
    <col min="2" max="16384" width="11.44140625" style="64"/>
  </cols>
  <sheetData>
    <row r="1" spans="1:5" x14ac:dyDescent="0.3">
      <c r="A1" s="63" t="s">
        <v>3</v>
      </c>
    </row>
    <row r="4" spans="1:5" x14ac:dyDescent="0.3">
      <c r="D4" s="68"/>
      <c r="E4" s="68"/>
    </row>
    <row r="5" spans="1:5" x14ac:dyDescent="0.3">
      <c r="D5" s="67"/>
      <c r="E5" s="69"/>
    </row>
    <row r="6" spans="1:5" x14ac:dyDescent="0.3">
      <c r="D6" s="67"/>
      <c r="E6" s="69"/>
    </row>
    <row r="7" spans="1:5" x14ac:dyDescent="0.3">
      <c r="D7" s="67"/>
      <c r="E7" s="70"/>
    </row>
    <row r="8" spans="1:5" x14ac:dyDescent="0.3">
      <c r="D8" s="67"/>
      <c r="E8" s="69"/>
    </row>
    <row r="9" spans="1:5" x14ac:dyDescent="0.3">
      <c r="D9" s="67"/>
      <c r="E9" s="70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B86AF-6ADF-46D6-91A5-B9241EA6EA8C}">
  <dimension ref="A1:G33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15.5546875" style="64" customWidth="1"/>
    <col min="2" max="4" width="11.44140625" style="64"/>
    <col min="5" max="5" width="15.5546875" style="64" customWidth="1"/>
    <col min="6" max="16384" width="11.44140625" style="64"/>
  </cols>
  <sheetData>
    <row r="1" spans="1:7" x14ac:dyDescent="0.3">
      <c r="A1" s="63" t="s">
        <v>4</v>
      </c>
    </row>
    <row r="2" spans="1:7" x14ac:dyDescent="0.3">
      <c r="A2" s="64" t="s">
        <v>81</v>
      </c>
    </row>
    <row r="3" spans="1:7" x14ac:dyDescent="0.3">
      <c r="A3" s="64" t="s">
        <v>82</v>
      </c>
    </row>
    <row r="4" spans="1:7" x14ac:dyDescent="0.3">
      <c r="A4" s="64" t="s">
        <v>83</v>
      </c>
    </row>
    <row r="5" spans="1:7" x14ac:dyDescent="0.3">
      <c r="A5" s="64" t="s">
        <v>84</v>
      </c>
    </row>
    <row r="6" spans="1:7" x14ac:dyDescent="0.3">
      <c r="A6" s="64" t="s">
        <v>85</v>
      </c>
    </row>
    <row r="7" spans="1:7" x14ac:dyDescent="0.3">
      <c r="A7" s="64" t="s">
        <v>86</v>
      </c>
    </row>
    <row r="8" spans="1:7" x14ac:dyDescent="0.3">
      <c r="A8" s="64" t="s">
        <v>87</v>
      </c>
    </row>
    <row r="9" spans="1:7" x14ac:dyDescent="0.3">
      <c r="A9" s="64" t="s">
        <v>88</v>
      </c>
    </row>
    <row r="10" spans="1:7" x14ac:dyDescent="0.3">
      <c r="A10" s="64" t="s">
        <v>89</v>
      </c>
    </row>
    <row r="12" spans="1:7" x14ac:dyDescent="0.3">
      <c r="A12" s="64" t="s">
        <v>90</v>
      </c>
      <c r="E12" s="68" t="s">
        <v>91</v>
      </c>
      <c r="F12" s="68" t="s">
        <v>92</v>
      </c>
    </row>
    <row r="13" spans="1:7" x14ac:dyDescent="0.3">
      <c r="A13" s="64" t="s">
        <v>7</v>
      </c>
      <c r="E13" s="68"/>
      <c r="F13" s="68"/>
    </row>
    <row r="14" spans="1:7" x14ac:dyDescent="0.3">
      <c r="A14" s="64" t="s">
        <v>93</v>
      </c>
      <c r="E14" s="67">
        <v>1000</v>
      </c>
      <c r="F14" s="68">
        <v>500</v>
      </c>
      <c r="G14" s="64" t="s">
        <v>94</v>
      </c>
    </row>
    <row r="15" spans="1:7" x14ac:dyDescent="0.3">
      <c r="A15" s="64" t="s">
        <v>95</v>
      </c>
      <c r="E15" s="66">
        <v>0.3</v>
      </c>
      <c r="F15" s="66">
        <v>0.4</v>
      </c>
    </row>
    <row r="16" spans="1:7" x14ac:dyDescent="0.3">
      <c r="A16" s="64" t="s">
        <v>96</v>
      </c>
      <c r="E16" s="67">
        <v>10000</v>
      </c>
      <c r="F16" s="68">
        <v>0</v>
      </c>
      <c r="G16" s="64" t="s">
        <v>97</v>
      </c>
    </row>
    <row r="17" spans="1:7" x14ac:dyDescent="0.3">
      <c r="A17" s="64" t="s">
        <v>98</v>
      </c>
      <c r="E17" s="67">
        <v>6000</v>
      </c>
      <c r="F17" s="67">
        <v>6000</v>
      </c>
      <c r="G17" s="64" t="s">
        <v>97</v>
      </c>
    </row>
    <row r="18" spans="1:7" x14ac:dyDescent="0.3">
      <c r="A18" s="64" t="s">
        <v>99</v>
      </c>
      <c r="E18" s="68">
        <v>0</v>
      </c>
      <c r="F18" s="67">
        <v>25000</v>
      </c>
      <c r="G18" s="64" t="s">
        <v>97</v>
      </c>
    </row>
    <row r="19" spans="1:7" x14ac:dyDescent="0.3">
      <c r="A19" s="64" t="s">
        <v>100</v>
      </c>
      <c r="E19" s="68"/>
      <c r="F19" s="68"/>
    </row>
    <row r="20" spans="1:7" x14ac:dyDescent="0.3">
      <c r="A20" s="64" t="s">
        <v>101</v>
      </c>
      <c r="E20" s="67">
        <v>180000</v>
      </c>
      <c r="F20" s="67">
        <v>30000</v>
      </c>
      <c r="G20" s="64" t="s">
        <v>97</v>
      </c>
    </row>
    <row r="21" spans="1:7" x14ac:dyDescent="0.3">
      <c r="A21" s="64" t="s">
        <v>102</v>
      </c>
      <c r="E21" s="67">
        <v>333000</v>
      </c>
      <c r="F21" s="67">
        <v>58450</v>
      </c>
      <c r="G21" s="64" t="s">
        <v>97</v>
      </c>
    </row>
    <row r="22" spans="1:7" x14ac:dyDescent="0.3">
      <c r="A22" s="64" t="s">
        <v>103</v>
      </c>
      <c r="E22" s="67">
        <v>12000</v>
      </c>
      <c r="F22" s="68" t="s">
        <v>104</v>
      </c>
      <c r="G22" s="64" t="s">
        <v>94</v>
      </c>
    </row>
    <row r="23" spans="1:7" x14ac:dyDescent="0.3">
      <c r="A23" s="64" t="s">
        <v>105</v>
      </c>
      <c r="E23" s="68" t="s">
        <v>104</v>
      </c>
      <c r="F23" s="68" t="s">
        <v>104</v>
      </c>
      <c r="G23" s="64" t="s">
        <v>94</v>
      </c>
    </row>
    <row r="24" spans="1:7" x14ac:dyDescent="0.3">
      <c r="A24" s="64" t="s">
        <v>106</v>
      </c>
      <c r="E24" s="67">
        <v>2000</v>
      </c>
      <c r="F24" s="68">
        <v>700</v>
      </c>
      <c r="G24" s="64" t="s">
        <v>94</v>
      </c>
    </row>
    <row r="25" spans="1:7" x14ac:dyDescent="0.3">
      <c r="A25" s="64" t="s">
        <v>95</v>
      </c>
      <c r="E25" s="66">
        <v>0.2</v>
      </c>
      <c r="F25" s="66">
        <v>0.1</v>
      </c>
    </row>
    <row r="26" spans="1:7" x14ac:dyDescent="0.3">
      <c r="A26" s="64" t="s">
        <v>107</v>
      </c>
      <c r="E26" s="68">
        <v>4</v>
      </c>
      <c r="F26" s="68">
        <v>1</v>
      </c>
      <c r="G26" s="64" t="s">
        <v>94</v>
      </c>
    </row>
    <row r="27" spans="1:7" x14ac:dyDescent="0.3">
      <c r="A27" s="64" t="s">
        <v>108</v>
      </c>
      <c r="E27" s="67">
        <v>2500</v>
      </c>
      <c r="F27" s="68">
        <v>0</v>
      </c>
      <c r="G27" s="64" t="s">
        <v>94</v>
      </c>
    </row>
    <row r="28" spans="1:7" x14ac:dyDescent="0.3">
      <c r="A28" s="64" t="s">
        <v>109</v>
      </c>
      <c r="E28" s="68">
        <v>500</v>
      </c>
      <c r="F28" s="68">
        <v>300</v>
      </c>
      <c r="G28" s="64" t="s">
        <v>94</v>
      </c>
    </row>
    <row r="30" spans="1:7" x14ac:dyDescent="0.3">
      <c r="A30" s="64" t="s">
        <v>110</v>
      </c>
    </row>
    <row r="31" spans="1:7" x14ac:dyDescent="0.3">
      <c r="A31" s="64" t="s">
        <v>111</v>
      </c>
    </row>
    <row r="32" spans="1:7" x14ac:dyDescent="0.3">
      <c r="A32" s="64" t="s">
        <v>112</v>
      </c>
    </row>
    <row r="33" spans="1:1" x14ac:dyDescent="0.3">
      <c r="A33" s="64" t="s">
        <v>113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16D7-6D9E-4563-831C-74728CE40353}">
  <dimension ref="A1:E12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17.5546875" style="64" customWidth="1"/>
    <col min="2" max="16384" width="11.44140625" style="64"/>
  </cols>
  <sheetData>
    <row r="1" spans="1:5" x14ac:dyDescent="0.3">
      <c r="A1" s="63" t="s">
        <v>154</v>
      </c>
    </row>
    <row r="4" spans="1:5" x14ac:dyDescent="0.3">
      <c r="B4" s="71"/>
      <c r="C4" s="63"/>
      <c r="E4" s="71"/>
    </row>
    <row r="5" spans="1:5" x14ac:dyDescent="0.3">
      <c r="B5" s="67"/>
      <c r="C5" s="68"/>
      <c r="D5" s="68"/>
      <c r="E5" s="68"/>
    </row>
    <row r="6" spans="1:5" x14ac:dyDescent="0.3">
      <c r="B6" s="67"/>
      <c r="C6" s="67"/>
      <c r="D6" s="67"/>
      <c r="E6" s="67"/>
    </row>
    <row r="7" spans="1:5" x14ac:dyDescent="0.3">
      <c r="B7" s="67"/>
      <c r="C7" s="67"/>
      <c r="D7" s="67"/>
      <c r="E7" s="67"/>
    </row>
    <row r="8" spans="1:5" x14ac:dyDescent="0.3">
      <c r="B8" s="67"/>
      <c r="C8" s="68"/>
      <c r="D8" s="68"/>
      <c r="E8" s="68"/>
    </row>
    <row r="9" spans="1:5" x14ac:dyDescent="0.3">
      <c r="B9" s="67"/>
      <c r="C9" s="68"/>
      <c r="D9" s="68"/>
      <c r="E9" s="68"/>
    </row>
    <row r="10" spans="1:5" x14ac:dyDescent="0.3">
      <c r="B10" s="67"/>
      <c r="E10" s="68"/>
    </row>
    <row r="11" spans="1:5" x14ac:dyDescent="0.3">
      <c r="B11" s="67"/>
      <c r="E11" s="68"/>
    </row>
    <row r="12" spans="1:5" x14ac:dyDescent="0.3">
      <c r="B12" s="67"/>
      <c r="E12" s="67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1647-54A7-4471-90CE-3F98EBA9641A}">
  <dimension ref="A1:E19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13" style="64" customWidth="1"/>
    <col min="2" max="3" width="11.44140625" style="64"/>
    <col min="4" max="4" width="13.6640625" style="64" bestFit="1" customWidth="1"/>
    <col min="5" max="5" width="14.44140625" style="64" bestFit="1" customWidth="1"/>
    <col min="6" max="16384" width="11.44140625" style="64"/>
  </cols>
  <sheetData>
    <row r="1" spans="1:5" x14ac:dyDescent="0.3">
      <c r="A1" s="63" t="s">
        <v>155</v>
      </c>
    </row>
    <row r="6" spans="1:5" x14ac:dyDescent="0.3">
      <c r="D6" s="67"/>
      <c r="E6" s="67"/>
    </row>
    <row r="7" spans="1:5" x14ac:dyDescent="0.3">
      <c r="D7" s="68"/>
      <c r="E7" s="68"/>
    </row>
    <row r="8" spans="1:5" x14ac:dyDescent="0.3">
      <c r="D8" s="67"/>
      <c r="E8" s="67"/>
    </row>
    <row r="9" spans="1:5" x14ac:dyDescent="0.3">
      <c r="D9" s="67"/>
      <c r="E9" s="67"/>
    </row>
    <row r="10" spans="1:5" x14ac:dyDescent="0.3">
      <c r="D10" s="68"/>
      <c r="E10" s="68"/>
    </row>
    <row r="11" spans="1:5" x14ac:dyDescent="0.3">
      <c r="D11" s="67"/>
      <c r="E11" s="67"/>
    </row>
    <row r="12" spans="1:5" x14ac:dyDescent="0.3">
      <c r="D12" s="67"/>
      <c r="E12" s="67"/>
    </row>
    <row r="13" spans="1:5" x14ac:dyDescent="0.3">
      <c r="D13" s="67"/>
      <c r="E13" s="67"/>
    </row>
    <row r="14" spans="1:5" x14ac:dyDescent="0.3">
      <c r="D14" s="68"/>
      <c r="E14" s="68"/>
    </row>
    <row r="15" spans="1:5" x14ac:dyDescent="0.3">
      <c r="D15" s="67"/>
      <c r="E15" s="67"/>
    </row>
    <row r="16" spans="1:5" x14ac:dyDescent="0.3">
      <c r="D16" s="67"/>
      <c r="E16" s="67"/>
    </row>
    <row r="17" spans="4:5" x14ac:dyDescent="0.3">
      <c r="D17" s="67"/>
      <c r="E17" s="67"/>
    </row>
    <row r="18" spans="4:5" x14ac:dyDescent="0.3">
      <c r="D18" s="67"/>
      <c r="E18" s="67"/>
    </row>
    <row r="19" spans="4:5" x14ac:dyDescent="0.3">
      <c r="D19" s="67"/>
      <c r="E19" s="67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18944-E40A-49F3-9DB4-196CFFDEDD62}">
  <dimension ref="A1:A26"/>
  <sheetViews>
    <sheetView topLeftCell="B1" zoomScale="120" zoomScaleNormal="120" workbookViewId="0">
      <selection activeCell="N20" sqref="N20"/>
    </sheetView>
  </sheetViews>
  <sheetFormatPr baseColWidth="10" defaultRowHeight="13.2" x14ac:dyDescent="0.25"/>
  <cols>
    <col min="1" max="1" width="14.44140625" style="2" customWidth="1"/>
    <col min="2" max="2" width="8" style="2" customWidth="1"/>
    <col min="3" max="3" width="4.6640625" style="2" customWidth="1"/>
    <col min="4" max="4" width="9.109375" style="2" customWidth="1"/>
    <col min="5" max="5" width="1.5546875" style="2" customWidth="1"/>
    <col min="6" max="6" width="5.44140625" style="2" customWidth="1"/>
    <col min="7" max="7" width="7.33203125" style="2" customWidth="1"/>
    <col min="8" max="8" width="8.33203125" style="2" customWidth="1"/>
    <col min="9" max="9" width="9.33203125" style="2" customWidth="1"/>
    <col min="10" max="10" width="7" style="2" customWidth="1"/>
    <col min="11" max="12" width="8.6640625" style="2" customWidth="1"/>
    <col min="13" max="13" width="7.5546875" style="2" customWidth="1"/>
    <col min="14" max="239" width="11.44140625" style="2"/>
    <col min="240" max="240" width="14.44140625" style="2" customWidth="1"/>
    <col min="241" max="241" width="8" style="2" customWidth="1"/>
    <col min="242" max="242" width="4.6640625" style="2" customWidth="1"/>
    <col min="243" max="243" width="9.109375" style="2" customWidth="1"/>
    <col min="244" max="244" width="1.5546875" style="2" customWidth="1"/>
    <col min="245" max="245" width="5.44140625" style="2" customWidth="1"/>
    <col min="246" max="246" width="7.33203125" style="2" customWidth="1"/>
    <col min="247" max="247" width="8.33203125" style="2" customWidth="1"/>
    <col min="248" max="248" width="9.33203125" style="2" customWidth="1"/>
    <col min="249" max="249" width="7" style="2" customWidth="1"/>
    <col min="250" max="251" width="8.6640625" style="2" customWidth="1"/>
    <col min="252" max="252" width="7.5546875" style="2" customWidth="1"/>
    <col min="253" max="253" width="9.44140625" style="2" customWidth="1"/>
    <col min="254" max="254" width="8" style="2" customWidth="1"/>
    <col min="255" max="255" width="9" style="2" customWidth="1"/>
    <col min="256" max="256" width="8.88671875" style="2" customWidth="1"/>
    <col min="257" max="495" width="11.44140625" style="2"/>
    <col min="496" max="496" width="14.44140625" style="2" customWidth="1"/>
    <col min="497" max="497" width="8" style="2" customWidth="1"/>
    <col min="498" max="498" width="4.6640625" style="2" customWidth="1"/>
    <col min="499" max="499" width="9.109375" style="2" customWidth="1"/>
    <col min="500" max="500" width="1.5546875" style="2" customWidth="1"/>
    <col min="501" max="501" width="5.44140625" style="2" customWidth="1"/>
    <col min="502" max="502" width="7.33203125" style="2" customWidth="1"/>
    <col min="503" max="503" width="8.33203125" style="2" customWidth="1"/>
    <col min="504" max="504" width="9.33203125" style="2" customWidth="1"/>
    <col min="505" max="505" width="7" style="2" customWidth="1"/>
    <col min="506" max="507" width="8.6640625" style="2" customWidth="1"/>
    <col min="508" max="508" width="7.5546875" style="2" customWidth="1"/>
    <col min="509" max="509" width="9.44140625" style="2" customWidth="1"/>
    <col min="510" max="510" width="8" style="2" customWidth="1"/>
    <col min="511" max="511" width="9" style="2" customWidth="1"/>
    <col min="512" max="512" width="8.88671875" style="2" customWidth="1"/>
    <col min="513" max="751" width="11.44140625" style="2"/>
    <col min="752" max="752" width="14.44140625" style="2" customWidth="1"/>
    <col min="753" max="753" width="8" style="2" customWidth="1"/>
    <col min="754" max="754" width="4.6640625" style="2" customWidth="1"/>
    <col min="755" max="755" width="9.109375" style="2" customWidth="1"/>
    <col min="756" max="756" width="1.5546875" style="2" customWidth="1"/>
    <col min="757" max="757" width="5.44140625" style="2" customWidth="1"/>
    <col min="758" max="758" width="7.33203125" style="2" customWidth="1"/>
    <col min="759" max="759" width="8.33203125" style="2" customWidth="1"/>
    <col min="760" max="760" width="9.33203125" style="2" customWidth="1"/>
    <col min="761" max="761" width="7" style="2" customWidth="1"/>
    <col min="762" max="763" width="8.6640625" style="2" customWidth="1"/>
    <col min="764" max="764" width="7.5546875" style="2" customWidth="1"/>
    <col min="765" max="765" width="9.44140625" style="2" customWidth="1"/>
    <col min="766" max="766" width="8" style="2" customWidth="1"/>
    <col min="767" max="767" width="9" style="2" customWidth="1"/>
    <col min="768" max="768" width="8.88671875" style="2" customWidth="1"/>
    <col min="769" max="1007" width="11.44140625" style="2"/>
    <col min="1008" max="1008" width="14.44140625" style="2" customWidth="1"/>
    <col min="1009" max="1009" width="8" style="2" customWidth="1"/>
    <col min="1010" max="1010" width="4.6640625" style="2" customWidth="1"/>
    <col min="1011" max="1011" width="9.109375" style="2" customWidth="1"/>
    <col min="1012" max="1012" width="1.5546875" style="2" customWidth="1"/>
    <col min="1013" max="1013" width="5.44140625" style="2" customWidth="1"/>
    <col min="1014" max="1014" width="7.33203125" style="2" customWidth="1"/>
    <col min="1015" max="1015" width="8.33203125" style="2" customWidth="1"/>
    <col min="1016" max="1016" width="9.33203125" style="2" customWidth="1"/>
    <col min="1017" max="1017" width="7" style="2" customWidth="1"/>
    <col min="1018" max="1019" width="8.6640625" style="2" customWidth="1"/>
    <col min="1020" max="1020" width="7.5546875" style="2" customWidth="1"/>
    <col min="1021" max="1021" width="9.44140625" style="2" customWidth="1"/>
    <col min="1022" max="1022" width="8" style="2" customWidth="1"/>
    <col min="1023" max="1023" width="9" style="2" customWidth="1"/>
    <col min="1024" max="1024" width="8.88671875" style="2" customWidth="1"/>
    <col min="1025" max="1263" width="11.44140625" style="2"/>
    <col min="1264" max="1264" width="14.44140625" style="2" customWidth="1"/>
    <col min="1265" max="1265" width="8" style="2" customWidth="1"/>
    <col min="1266" max="1266" width="4.6640625" style="2" customWidth="1"/>
    <col min="1267" max="1267" width="9.109375" style="2" customWidth="1"/>
    <col min="1268" max="1268" width="1.5546875" style="2" customWidth="1"/>
    <col min="1269" max="1269" width="5.44140625" style="2" customWidth="1"/>
    <col min="1270" max="1270" width="7.33203125" style="2" customWidth="1"/>
    <col min="1271" max="1271" width="8.33203125" style="2" customWidth="1"/>
    <col min="1272" max="1272" width="9.33203125" style="2" customWidth="1"/>
    <col min="1273" max="1273" width="7" style="2" customWidth="1"/>
    <col min="1274" max="1275" width="8.6640625" style="2" customWidth="1"/>
    <col min="1276" max="1276" width="7.5546875" style="2" customWidth="1"/>
    <col min="1277" max="1277" width="9.44140625" style="2" customWidth="1"/>
    <col min="1278" max="1278" width="8" style="2" customWidth="1"/>
    <col min="1279" max="1279" width="9" style="2" customWidth="1"/>
    <col min="1280" max="1280" width="8.88671875" style="2" customWidth="1"/>
    <col min="1281" max="1519" width="11.44140625" style="2"/>
    <col min="1520" max="1520" width="14.44140625" style="2" customWidth="1"/>
    <col min="1521" max="1521" width="8" style="2" customWidth="1"/>
    <col min="1522" max="1522" width="4.6640625" style="2" customWidth="1"/>
    <col min="1523" max="1523" width="9.109375" style="2" customWidth="1"/>
    <col min="1524" max="1524" width="1.5546875" style="2" customWidth="1"/>
    <col min="1525" max="1525" width="5.44140625" style="2" customWidth="1"/>
    <col min="1526" max="1526" width="7.33203125" style="2" customWidth="1"/>
    <col min="1527" max="1527" width="8.33203125" style="2" customWidth="1"/>
    <col min="1528" max="1528" width="9.33203125" style="2" customWidth="1"/>
    <col min="1529" max="1529" width="7" style="2" customWidth="1"/>
    <col min="1530" max="1531" width="8.6640625" style="2" customWidth="1"/>
    <col min="1532" max="1532" width="7.5546875" style="2" customWidth="1"/>
    <col min="1533" max="1533" width="9.44140625" style="2" customWidth="1"/>
    <col min="1534" max="1534" width="8" style="2" customWidth="1"/>
    <col min="1535" max="1535" width="9" style="2" customWidth="1"/>
    <col min="1536" max="1536" width="8.88671875" style="2" customWidth="1"/>
    <col min="1537" max="1775" width="11.44140625" style="2"/>
    <col min="1776" max="1776" width="14.44140625" style="2" customWidth="1"/>
    <col min="1777" max="1777" width="8" style="2" customWidth="1"/>
    <col min="1778" max="1778" width="4.6640625" style="2" customWidth="1"/>
    <col min="1779" max="1779" width="9.109375" style="2" customWidth="1"/>
    <col min="1780" max="1780" width="1.5546875" style="2" customWidth="1"/>
    <col min="1781" max="1781" width="5.44140625" style="2" customWidth="1"/>
    <col min="1782" max="1782" width="7.33203125" style="2" customWidth="1"/>
    <col min="1783" max="1783" width="8.33203125" style="2" customWidth="1"/>
    <col min="1784" max="1784" width="9.33203125" style="2" customWidth="1"/>
    <col min="1785" max="1785" width="7" style="2" customWidth="1"/>
    <col min="1786" max="1787" width="8.6640625" style="2" customWidth="1"/>
    <col min="1788" max="1788" width="7.5546875" style="2" customWidth="1"/>
    <col min="1789" max="1789" width="9.44140625" style="2" customWidth="1"/>
    <col min="1790" max="1790" width="8" style="2" customWidth="1"/>
    <col min="1791" max="1791" width="9" style="2" customWidth="1"/>
    <col min="1792" max="1792" width="8.88671875" style="2" customWidth="1"/>
    <col min="1793" max="2031" width="11.44140625" style="2"/>
    <col min="2032" max="2032" width="14.44140625" style="2" customWidth="1"/>
    <col min="2033" max="2033" width="8" style="2" customWidth="1"/>
    <col min="2034" max="2034" width="4.6640625" style="2" customWidth="1"/>
    <col min="2035" max="2035" width="9.109375" style="2" customWidth="1"/>
    <col min="2036" max="2036" width="1.5546875" style="2" customWidth="1"/>
    <col min="2037" max="2037" width="5.44140625" style="2" customWidth="1"/>
    <col min="2038" max="2038" width="7.33203125" style="2" customWidth="1"/>
    <col min="2039" max="2039" width="8.33203125" style="2" customWidth="1"/>
    <col min="2040" max="2040" width="9.33203125" style="2" customWidth="1"/>
    <col min="2041" max="2041" width="7" style="2" customWidth="1"/>
    <col min="2042" max="2043" width="8.6640625" style="2" customWidth="1"/>
    <col min="2044" max="2044" width="7.5546875" style="2" customWidth="1"/>
    <col min="2045" max="2045" width="9.44140625" style="2" customWidth="1"/>
    <col min="2046" max="2046" width="8" style="2" customWidth="1"/>
    <col min="2047" max="2047" width="9" style="2" customWidth="1"/>
    <col min="2048" max="2048" width="8.88671875" style="2" customWidth="1"/>
    <col min="2049" max="2287" width="11.44140625" style="2"/>
    <col min="2288" max="2288" width="14.44140625" style="2" customWidth="1"/>
    <col min="2289" max="2289" width="8" style="2" customWidth="1"/>
    <col min="2290" max="2290" width="4.6640625" style="2" customWidth="1"/>
    <col min="2291" max="2291" width="9.109375" style="2" customWidth="1"/>
    <col min="2292" max="2292" width="1.5546875" style="2" customWidth="1"/>
    <col min="2293" max="2293" width="5.44140625" style="2" customWidth="1"/>
    <col min="2294" max="2294" width="7.33203125" style="2" customWidth="1"/>
    <col min="2295" max="2295" width="8.33203125" style="2" customWidth="1"/>
    <col min="2296" max="2296" width="9.33203125" style="2" customWidth="1"/>
    <col min="2297" max="2297" width="7" style="2" customWidth="1"/>
    <col min="2298" max="2299" width="8.6640625" style="2" customWidth="1"/>
    <col min="2300" max="2300" width="7.5546875" style="2" customWidth="1"/>
    <col min="2301" max="2301" width="9.44140625" style="2" customWidth="1"/>
    <col min="2302" max="2302" width="8" style="2" customWidth="1"/>
    <col min="2303" max="2303" width="9" style="2" customWidth="1"/>
    <col min="2304" max="2304" width="8.88671875" style="2" customWidth="1"/>
    <col min="2305" max="2543" width="11.44140625" style="2"/>
    <col min="2544" max="2544" width="14.44140625" style="2" customWidth="1"/>
    <col min="2545" max="2545" width="8" style="2" customWidth="1"/>
    <col min="2546" max="2546" width="4.6640625" style="2" customWidth="1"/>
    <col min="2547" max="2547" width="9.109375" style="2" customWidth="1"/>
    <col min="2548" max="2548" width="1.5546875" style="2" customWidth="1"/>
    <col min="2549" max="2549" width="5.44140625" style="2" customWidth="1"/>
    <col min="2550" max="2550" width="7.33203125" style="2" customWidth="1"/>
    <col min="2551" max="2551" width="8.33203125" style="2" customWidth="1"/>
    <col min="2552" max="2552" width="9.33203125" style="2" customWidth="1"/>
    <col min="2553" max="2553" width="7" style="2" customWidth="1"/>
    <col min="2554" max="2555" width="8.6640625" style="2" customWidth="1"/>
    <col min="2556" max="2556" width="7.5546875" style="2" customWidth="1"/>
    <col min="2557" max="2557" width="9.44140625" style="2" customWidth="1"/>
    <col min="2558" max="2558" width="8" style="2" customWidth="1"/>
    <col min="2559" max="2559" width="9" style="2" customWidth="1"/>
    <col min="2560" max="2560" width="8.88671875" style="2" customWidth="1"/>
    <col min="2561" max="2799" width="11.44140625" style="2"/>
    <col min="2800" max="2800" width="14.44140625" style="2" customWidth="1"/>
    <col min="2801" max="2801" width="8" style="2" customWidth="1"/>
    <col min="2802" max="2802" width="4.6640625" style="2" customWidth="1"/>
    <col min="2803" max="2803" width="9.109375" style="2" customWidth="1"/>
    <col min="2804" max="2804" width="1.5546875" style="2" customWidth="1"/>
    <col min="2805" max="2805" width="5.44140625" style="2" customWidth="1"/>
    <col min="2806" max="2806" width="7.33203125" style="2" customWidth="1"/>
    <col min="2807" max="2807" width="8.33203125" style="2" customWidth="1"/>
    <col min="2808" max="2808" width="9.33203125" style="2" customWidth="1"/>
    <col min="2809" max="2809" width="7" style="2" customWidth="1"/>
    <col min="2810" max="2811" width="8.6640625" style="2" customWidth="1"/>
    <col min="2812" max="2812" width="7.5546875" style="2" customWidth="1"/>
    <col min="2813" max="2813" width="9.44140625" style="2" customWidth="1"/>
    <col min="2814" max="2814" width="8" style="2" customWidth="1"/>
    <col min="2815" max="2815" width="9" style="2" customWidth="1"/>
    <col min="2816" max="2816" width="8.88671875" style="2" customWidth="1"/>
    <col min="2817" max="3055" width="11.44140625" style="2"/>
    <col min="3056" max="3056" width="14.44140625" style="2" customWidth="1"/>
    <col min="3057" max="3057" width="8" style="2" customWidth="1"/>
    <col min="3058" max="3058" width="4.6640625" style="2" customWidth="1"/>
    <col min="3059" max="3059" width="9.109375" style="2" customWidth="1"/>
    <col min="3060" max="3060" width="1.5546875" style="2" customWidth="1"/>
    <col min="3061" max="3061" width="5.44140625" style="2" customWidth="1"/>
    <col min="3062" max="3062" width="7.33203125" style="2" customWidth="1"/>
    <col min="3063" max="3063" width="8.33203125" style="2" customWidth="1"/>
    <col min="3064" max="3064" width="9.33203125" style="2" customWidth="1"/>
    <col min="3065" max="3065" width="7" style="2" customWidth="1"/>
    <col min="3066" max="3067" width="8.6640625" style="2" customWidth="1"/>
    <col min="3068" max="3068" width="7.5546875" style="2" customWidth="1"/>
    <col min="3069" max="3069" width="9.44140625" style="2" customWidth="1"/>
    <col min="3070" max="3070" width="8" style="2" customWidth="1"/>
    <col min="3071" max="3071" width="9" style="2" customWidth="1"/>
    <col min="3072" max="3072" width="8.88671875" style="2" customWidth="1"/>
    <col min="3073" max="3311" width="11.44140625" style="2"/>
    <col min="3312" max="3312" width="14.44140625" style="2" customWidth="1"/>
    <col min="3313" max="3313" width="8" style="2" customWidth="1"/>
    <col min="3314" max="3314" width="4.6640625" style="2" customWidth="1"/>
    <col min="3315" max="3315" width="9.109375" style="2" customWidth="1"/>
    <col min="3316" max="3316" width="1.5546875" style="2" customWidth="1"/>
    <col min="3317" max="3317" width="5.44140625" style="2" customWidth="1"/>
    <col min="3318" max="3318" width="7.33203125" style="2" customWidth="1"/>
    <col min="3319" max="3319" width="8.33203125" style="2" customWidth="1"/>
    <col min="3320" max="3320" width="9.33203125" style="2" customWidth="1"/>
    <col min="3321" max="3321" width="7" style="2" customWidth="1"/>
    <col min="3322" max="3323" width="8.6640625" style="2" customWidth="1"/>
    <col min="3324" max="3324" width="7.5546875" style="2" customWidth="1"/>
    <col min="3325" max="3325" width="9.44140625" style="2" customWidth="1"/>
    <col min="3326" max="3326" width="8" style="2" customWidth="1"/>
    <col min="3327" max="3327" width="9" style="2" customWidth="1"/>
    <col min="3328" max="3328" width="8.88671875" style="2" customWidth="1"/>
    <col min="3329" max="3567" width="11.44140625" style="2"/>
    <col min="3568" max="3568" width="14.44140625" style="2" customWidth="1"/>
    <col min="3569" max="3569" width="8" style="2" customWidth="1"/>
    <col min="3570" max="3570" width="4.6640625" style="2" customWidth="1"/>
    <col min="3571" max="3571" width="9.109375" style="2" customWidth="1"/>
    <col min="3572" max="3572" width="1.5546875" style="2" customWidth="1"/>
    <col min="3573" max="3573" width="5.44140625" style="2" customWidth="1"/>
    <col min="3574" max="3574" width="7.33203125" style="2" customWidth="1"/>
    <col min="3575" max="3575" width="8.33203125" style="2" customWidth="1"/>
    <col min="3576" max="3576" width="9.33203125" style="2" customWidth="1"/>
    <col min="3577" max="3577" width="7" style="2" customWidth="1"/>
    <col min="3578" max="3579" width="8.6640625" style="2" customWidth="1"/>
    <col min="3580" max="3580" width="7.5546875" style="2" customWidth="1"/>
    <col min="3581" max="3581" width="9.44140625" style="2" customWidth="1"/>
    <col min="3582" max="3582" width="8" style="2" customWidth="1"/>
    <col min="3583" max="3583" width="9" style="2" customWidth="1"/>
    <col min="3584" max="3584" width="8.88671875" style="2" customWidth="1"/>
    <col min="3585" max="3823" width="11.44140625" style="2"/>
    <col min="3824" max="3824" width="14.44140625" style="2" customWidth="1"/>
    <col min="3825" max="3825" width="8" style="2" customWidth="1"/>
    <col min="3826" max="3826" width="4.6640625" style="2" customWidth="1"/>
    <col min="3827" max="3827" width="9.109375" style="2" customWidth="1"/>
    <col min="3828" max="3828" width="1.5546875" style="2" customWidth="1"/>
    <col min="3829" max="3829" width="5.44140625" style="2" customWidth="1"/>
    <col min="3830" max="3830" width="7.33203125" style="2" customWidth="1"/>
    <col min="3831" max="3831" width="8.33203125" style="2" customWidth="1"/>
    <col min="3832" max="3832" width="9.33203125" style="2" customWidth="1"/>
    <col min="3833" max="3833" width="7" style="2" customWidth="1"/>
    <col min="3834" max="3835" width="8.6640625" style="2" customWidth="1"/>
    <col min="3836" max="3836" width="7.5546875" style="2" customWidth="1"/>
    <col min="3837" max="3837" width="9.44140625" style="2" customWidth="1"/>
    <col min="3838" max="3838" width="8" style="2" customWidth="1"/>
    <col min="3839" max="3839" width="9" style="2" customWidth="1"/>
    <col min="3840" max="3840" width="8.88671875" style="2" customWidth="1"/>
    <col min="3841" max="4079" width="11.44140625" style="2"/>
    <col min="4080" max="4080" width="14.44140625" style="2" customWidth="1"/>
    <col min="4081" max="4081" width="8" style="2" customWidth="1"/>
    <col min="4082" max="4082" width="4.6640625" style="2" customWidth="1"/>
    <col min="4083" max="4083" width="9.109375" style="2" customWidth="1"/>
    <col min="4084" max="4084" width="1.5546875" style="2" customWidth="1"/>
    <col min="4085" max="4085" width="5.44140625" style="2" customWidth="1"/>
    <col min="4086" max="4086" width="7.33203125" style="2" customWidth="1"/>
    <col min="4087" max="4087" width="8.33203125" style="2" customWidth="1"/>
    <col min="4088" max="4088" width="9.33203125" style="2" customWidth="1"/>
    <col min="4089" max="4089" width="7" style="2" customWidth="1"/>
    <col min="4090" max="4091" width="8.6640625" style="2" customWidth="1"/>
    <col min="4092" max="4092" width="7.5546875" style="2" customWidth="1"/>
    <col min="4093" max="4093" width="9.44140625" style="2" customWidth="1"/>
    <col min="4094" max="4094" width="8" style="2" customWidth="1"/>
    <col min="4095" max="4095" width="9" style="2" customWidth="1"/>
    <col min="4096" max="4096" width="8.88671875" style="2" customWidth="1"/>
    <col min="4097" max="4335" width="11.44140625" style="2"/>
    <col min="4336" max="4336" width="14.44140625" style="2" customWidth="1"/>
    <col min="4337" max="4337" width="8" style="2" customWidth="1"/>
    <col min="4338" max="4338" width="4.6640625" style="2" customWidth="1"/>
    <col min="4339" max="4339" width="9.109375" style="2" customWidth="1"/>
    <col min="4340" max="4340" width="1.5546875" style="2" customWidth="1"/>
    <col min="4341" max="4341" width="5.44140625" style="2" customWidth="1"/>
    <col min="4342" max="4342" width="7.33203125" style="2" customWidth="1"/>
    <col min="4343" max="4343" width="8.33203125" style="2" customWidth="1"/>
    <col min="4344" max="4344" width="9.33203125" style="2" customWidth="1"/>
    <col min="4345" max="4345" width="7" style="2" customWidth="1"/>
    <col min="4346" max="4347" width="8.6640625" style="2" customWidth="1"/>
    <col min="4348" max="4348" width="7.5546875" style="2" customWidth="1"/>
    <col min="4349" max="4349" width="9.44140625" style="2" customWidth="1"/>
    <col min="4350" max="4350" width="8" style="2" customWidth="1"/>
    <col min="4351" max="4351" width="9" style="2" customWidth="1"/>
    <col min="4352" max="4352" width="8.88671875" style="2" customWidth="1"/>
    <col min="4353" max="4591" width="11.44140625" style="2"/>
    <col min="4592" max="4592" width="14.44140625" style="2" customWidth="1"/>
    <col min="4593" max="4593" width="8" style="2" customWidth="1"/>
    <col min="4594" max="4594" width="4.6640625" style="2" customWidth="1"/>
    <col min="4595" max="4595" width="9.109375" style="2" customWidth="1"/>
    <col min="4596" max="4596" width="1.5546875" style="2" customWidth="1"/>
    <col min="4597" max="4597" width="5.44140625" style="2" customWidth="1"/>
    <col min="4598" max="4598" width="7.33203125" style="2" customWidth="1"/>
    <col min="4599" max="4599" width="8.33203125" style="2" customWidth="1"/>
    <col min="4600" max="4600" width="9.33203125" style="2" customWidth="1"/>
    <col min="4601" max="4601" width="7" style="2" customWidth="1"/>
    <col min="4602" max="4603" width="8.6640625" style="2" customWidth="1"/>
    <col min="4604" max="4604" width="7.5546875" style="2" customWidth="1"/>
    <col min="4605" max="4605" width="9.44140625" style="2" customWidth="1"/>
    <col min="4606" max="4606" width="8" style="2" customWidth="1"/>
    <col min="4607" max="4607" width="9" style="2" customWidth="1"/>
    <col min="4608" max="4608" width="8.88671875" style="2" customWidth="1"/>
    <col min="4609" max="4847" width="11.44140625" style="2"/>
    <col min="4848" max="4848" width="14.44140625" style="2" customWidth="1"/>
    <col min="4849" max="4849" width="8" style="2" customWidth="1"/>
    <col min="4850" max="4850" width="4.6640625" style="2" customWidth="1"/>
    <col min="4851" max="4851" width="9.109375" style="2" customWidth="1"/>
    <col min="4852" max="4852" width="1.5546875" style="2" customWidth="1"/>
    <col min="4853" max="4853" width="5.44140625" style="2" customWidth="1"/>
    <col min="4854" max="4854" width="7.33203125" style="2" customWidth="1"/>
    <col min="4855" max="4855" width="8.33203125" style="2" customWidth="1"/>
    <col min="4856" max="4856" width="9.33203125" style="2" customWidth="1"/>
    <col min="4857" max="4857" width="7" style="2" customWidth="1"/>
    <col min="4858" max="4859" width="8.6640625" style="2" customWidth="1"/>
    <col min="4860" max="4860" width="7.5546875" style="2" customWidth="1"/>
    <col min="4861" max="4861" width="9.44140625" style="2" customWidth="1"/>
    <col min="4862" max="4862" width="8" style="2" customWidth="1"/>
    <col min="4863" max="4863" width="9" style="2" customWidth="1"/>
    <col min="4864" max="4864" width="8.88671875" style="2" customWidth="1"/>
    <col min="4865" max="5103" width="11.44140625" style="2"/>
    <col min="5104" max="5104" width="14.44140625" style="2" customWidth="1"/>
    <col min="5105" max="5105" width="8" style="2" customWidth="1"/>
    <col min="5106" max="5106" width="4.6640625" style="2" customWidth="1"/>
    <col min="5107" max="5107" width="9.109375" style="2" customWidth="1"/>
    <col min="5108" max="5108" width="1.5546875" style="2" customWidth="1"/>
    <col min="5109" max="5109" width="5.44140625" style="2" customWidth="1"/>
    <col min="5110" max="5110" width="7.33203125" style="2" customWidth="1"/>
    <col min="5111" max="5111" width="8.33203125" style="2" customWidth="1"/>
    <col min="5112" max="5112" width="9.33203125" style="2" customWidth="1"/>
    <col min="5113" max="5113" width="7" style="2" customWidth="1"/>
    <col min="5114" max="5115" width="8.6640625" style="2" customWidth="1"/>
    <col min="5116" max="5116" width="7.5546875" style="2" customWidth="1"/>
    <col min="5117" max="5117" width="9.44140625" style="2" customWidth="1"/>
    <col min="5118" max="5118" width="8" style="2" customWidth="1"/>
    <col min="5119" max="5119" width="9" style="2" customWidth="1"/>
    <col min="5120" max="5120" width="8.88671875" style="2" customWidth="1"/>
    <col min="5121" max="5359" width="11.44140625" style="2"/>
    <col min="5360" max="5360" width="14.44140625" style="2" customWidth="1"/>
    <col min="5361" max="5361" width="8" style="2" customWidth="1"/>
    <col min="5362" max="5362" width="4.6640625" style="2" customWidth="1"/>
    <col min="5363" max="5363" width="9.109375" style="2" customWidth="1"/>
    <col min="5364" max="5364" width="1.5546875" style="2" customWidth="1"/>
    <col min="5365" max="5365" width="5.44140625" style="2" customWidth="1"/>
    <col min="5366" max="5366" width="7.33203125" style="2" customWidth="1"/>
    <col min="5367" max="5367" width="8.33203125" style="2" customWidth="1"/>
    <col min="5368" max="5368" width="9.33203125" style="2" customWidth="1"/>
    <col min="5369" max="5369" width="7" style="2" customWidth="1"/>
    <col min="5370" max="5371" width="8.6640625" style="2" customWidth="1"/>
    <col min="5372" max="5372" width="7.5546875" style="2" customWidth="1"/>
    <col min="5373" max="5373" width="9.44140625" style="2" customWidth="1"/>
    <col min="5374" max="5374" width="8" style="2" customWidth="1"/>
    <col min="5375" max="5375" width="9" style="2" customWidth="1"/>
    <col min="5376" max="5376" width="8.88671875" style="2" customWidth="1"/>
    <col min="5377" max="5615" width="11.44140625" style="2"/>
    <col min="5616" max="5616" width="14.44140625" style="2" customWidth="1"/>
    <col min="5617" max="5617" width="8" style="2" customWidth="1"/>
    <col min="5618" max="5618" width="4.6640625" style="2" customWidth="1"/>
    <col min="5619" max="5619" width="9.109375" style="2" customWidth="1"/>
    <col min="5620" max="5620" width="1.5546875" style="2" customWidth="1"/>
    <col min="5621" max="5621" width="5.44140625" style="2" customWidth="1"/>
    <col min="5622" max="5622" width="7.33203125" style="2" customWidth="1"/>
    <col min="5623" max="5623" width="8.33203125" style="2" customWidth="1"/>
    <col min="5624" max="5624" width="9.33203125" style="2" customWidth="1"/>
    <col min="5625" max="5625" width="7" style="2" customWidth="1"/>
    <col min="5626" max="5627" width="8.6640625" style="2" customWidth="1"/>
    <col min="5628" max="5628" width="7.5546875" style="2" customWidth="1"/>
    <col min="5629" max="5629" width="9.44140625" style="2" customWidth="1"/>
    <col min="5630" max="5630" width="8" style="2" customWidth="1"/>
    <col min="5631" max="5631" width="9" style="2" customWidth="1"/>
    <col min="5632" max="5632" width="8.88671875" style="2" customWidth="1"/>
    <col min="5633" max="5871" width="11.44140625" style="2"/>
    <col min="5872" max="5872" width="14.44140625" style="2" customWidth="1"/>
    <col min="5873" max="5873" width="8" style="2" customWidth="1"/>
    <col min="5874" max="5874" width="4.6640625" style="2" customWidth="1"/>
    <col min="5875" max="5875" width="9.109375" style="2" customWidth="1"/>
    <col min="5876" max="5876" width="1.5546875" style="2" customWidth="1"/>
    <col min="5877" max="5877" width="5.44140625" style="2" customWidth="1"/>
    <col min="5878" max="5878" width="7.33203125" style="2" customWidth="1"/>
    <col min="5879" max="5879" width="8.33203125" style="2" customWidth="1"/>
    <col min="5880" max="5880" width="9.33203125" style="2" customWidth="1"/>
    <col min="5881" max="5881" width="7" style="2" customWidth="1"/>
    <col min="5882" max="5883" width="8.6640625" style="2" customWidth="1"/>
    <col min="5884" max="5884" width="7.5546875" style="2" customWidth="1"/>
    <col min="5885" max="5885" width="9.44140625" style="2" customWidth="1"/>
    <col min="5886" max="5886" width="8" style="2" customWidth="1"/>
    <col min="5887" max="5887" width="9" style="2" customWidth="1"/>
    <col min="5888" max="5888" width="8.88671875" style="2" customWidth="1"/>
    <col min="5889" max="6127" width="11.44140625" style="2"/>
    <col min="6128" max="6128" width="14.44140625" style="2" customWidth="1"/>
    <col min="6129" max="6129" width="8" style="2" customWidth="1"/>
    <col min="6130" max="6130" width="4.6640625" style="2" customWidth="1"/>
    <col min="6131" max="6131" width="9.109375" style="2" customWidth="1"/>
    <col min="6132" max="6132" width="1.5546875" style="2" customWidth="1"/>
    <col min="6133" max="6133" width="5.44140625" style="2" customWidth="1"/>
    <col min="6134" max="6134" width="7.33203125" style="2" customWidth="1"/>
    <col min="6135" max="6135" width="8.33203125" style="2" customWidth="1"/>
    <col min="6136" max="6136" width="9.33203125" style="2" customWidth="1"/>
    <col min="6137" max="6137" width="7" style="2" customWidth="1"/>
    <col min="6138" max="6139" width="8.6640625" style="2" customWidth="1"/>
    <col min="6140" max="6140" width="7.5546875" style="2" customWidth="1"/>
    <col min="6141" max="6141" width="9.44140625" style="2" customWidth="1"/>
    <col min="6142" max="6142" width="8" style="2" customWidth="1"/>
    <col min="6143" max="6143" width="9" style="2" customWidth="1"/>
    <col min="6144" max="6144" width="8.88671875" style="2" customWidth="1"/>
    <col min="6145" max="6383" width="11.44140625" style="2"/>
    <col min="6384" max="6384" width="14.44140625" style="2" customWidth="1"/>
    <col min="6385" max="6385" width="8" style="2" customWidth="1"/>
    <col min="6386" max="6386" width="4.6640625" style="2" customWidth="1"/>
    <col min="6387" max="6387" width="9.109375" style="2" customWidth="1"/>
    <col min="6388" max="6388" width="1.5546875" style="2" customWidth="1"/>
    <col min="6389" max="6389" width="5.44140625" style="2" customWidth="1"/>
    <col min="6390" max="6390" width="7.33203125" style="2" customWidth="1"/>
    <col min="6391" max="6391" width="8.33203125" style="2" customWidth="1"/>
    <col min="6392" max="6392" width="9.33203125" style="2" customWidth="1"/>
    <col min="6393" max="6393" width="7" style="2" customWidth="1"/>
    <col min="6394" max="6395" width="8.6640625" style="2" customWidth="1"/>
    <col min="6396" max="6396" width="7.5546875" style="2" customWidth="1"/>
    <col min="6397" max="6397" width="9.44140625" style="2" customWidth="1"/>
    <col min="6398" max="6398" width="8" style="2" customWidth="1"/>
    <col min="6399" max="6399" width="9" style="2" customWidth="1"/>
    <col min="6400" max="6400" width="8.88671875" style="2" customWidth="1"/>
    <col min="6401" max="6639" width="11.44140625" style="2"/>
    <col min="6640" max="6640" width="14.44140625" style="2" customWidth="1"/>
    <col min="6641" max="6641" width="8" style="2" customWidth="1"/>
    <col min="6642" max="6642" width="4.6640625" style="2" customWidth="1"/>
    <col min="6643" max="6643" width="9.109375" style="2" customWidth="1"/>
    <col min="6644" max="6644" width="1.5546875" style="2" customWidth="1"/>
    <col min="6645" max="6645" width="5.44140625" style="2" customWidth="1"/>
    <col min="6646" max="6646" width="7.33203125" style="2" customWidth="1"/>
    <col min="6647" max="6647" width="8.33203125" style="2" customWidth="1"/>
    <col min="6648" max="6648" width="9.33203125" style="2" customWidth="1"/>
    <col min="6649" max="6649" width="7" style="2" customWidth="1"/>
    <col min="6650" max="6651" width="8.6640625" style="2" customWidth="1"/>
    <col min="6652" max="6652" width="7.5546875" style="2" customWidth="1"/>
    <col min="6653" max="6653" width="9.44140625" style="2" customWidth="1"/>
    <col min="6654" max="6654" width="8" style="2" customWidth="1"/>
    <col min="6655" max="6655" width="9" style="2" customWidth="1"/>
    <col min="6656" max="6656" width="8.88671875" style="2" customWidth="1"/>
    <col min="6657" max="6895" width="11.44140625" style="2"/>
    <col min="6896" max="6896" width="14.44140625" style="2" customWidth="1"/>
    <col min="6897" max="6897" width="8" style="2" customWidth="1"/>
    <col min="6898" max="6898" width="4.6640625" style="2" customWidth="1"/>
    <col min="6899" max="6899" width="9.109375" style="2" customWidth="1"/>
    <col min="6900" max="6900" width="1.5546875" style="2" customWidth="1"/>
    <col min="6901" max="6901" width="5.44140625" style="2" customWidth="1"/>
    <col min="6902" max="6902" width="7.33203125" style="2" customWidth="1"/>
    <col min="6903" max="6903" width="8.33203125" style="2" customWidth="1"/>
    <col min="6904" max="6904" width="9.33203125" style="2" customWidth="1"/>
    <col min="6905" max="6905" width="7" style="2" customWidth="1"/>
    <col min="6906" max="6907" width="8.6640625" style="2" customWidth="1"/>
    <col min="6908" max="6908" width="7.5546875" style="2" customWidth="1"/>
    <col min="6909" max="6909" width="9.44140625" style="2" customWidth="1"/>
    <col min="6910" max="6910" width="8" style="2" customWidth="1"/>
    <col min="6911" max="6911" width="9" style="2" customWidth="1"/>
    <col min="6912" max="6912" width="8.88671875" style="2" customWidth="1"/>
    <col min="6913" max="7151" width="11.44140625" style="2"/>
    <col min="7152" max="7152" width="14.44140625" style="2" customWidth="1"/>
    <col min="7153" max="7153" width="8" style="2" customWidth="1"/>
    <col min="7154" max="7154" width="4.6640625" style="2" customWidth="1"/>
    <col min="7155" max="7155" width="9.109375" style="2" customWidth="1"/>
    <col min="7156" max="7156" width="1.5546875" style="2" customWidth="1"/>
    <col min="7157" max="7157" width="5.44140625" style="2" customWidth="1"/>
    <col min="7158" max="7158" width="7.33203125" style="2" customWidth="1"/>
    <col min="7159" max="7159" width="8.33203125" style="2" customWidth="1"/>
    <col min="7160" max="7160" width="9.33203125" style="2" customWidth="1"/>
    <col min="7161" max="7161" width="7" style="2" customWidth="1"/>
    <col min="7162" max="7163" width="8.6640625" style="2" customWidth="1"/>
    <col min="7164" max="7164" width="7.5546875" style="2" customWidth="1"/>
    <col min="7165" max="7165" width="9.44140625" style="2" customWidth="1"/>
    <col min="7166" max="7166" width="8" style="2" customWidth="1"/>
    <col min="7167" max="7167" width="9" style="2" customWidth="1"/>
    <col min="7168" max="7168" width="8.88671875" style="2" customWidth="1"/>
    <col min="7169" max="7407" width="11.44140625" style="2"/>
    <col min="7408" max="7408" width="14.44140625" style="2" customWidth="1"/>
    <col min="7409" max="7409" width="8" style="2" customWidth="1"/>
    <col min="7410" max="7410" width="4.6640625" style="2" customWidth="1"/>
    <col min="7411" max="7411" width="9.109375" style="2" customWidth="1"/>
    <col min="7412" max="7412" width="1.5546875" style="2" customWidth="1"/>
    <col min="7413" max="7413" width="5.44140625" style="2" customWidth="1"/>
    <col min="7414" max="7414" width="7.33203125" style="2" customWidth="1"/>
    <col min="7415" max="7415" width="8.33203125" style="2" customWidth="1"/>
    <col min="7416" max="7416" width="9.33203125" style="2" customWidth="1"/>
    <col min="7417" max="7417" width="7" style="2" customWidth="1"/>
    <col min="7418" max="7419" width="8.6640625" style="2" customWidth="1"/>
    <col min="7420" max="7420" width="7.5546875" style="2" customWidth="1"/>
    <col min="7421" max="7421" width="9.44140625" style="2" customWidth="1"/>
    <col min="7422" max="7422" width="8" style="2" customWidth="1"/>
    <col min="7423" max="7423" width="9" style="2" customWidth="1"/>
    <col min="7424" max="7424" width="8.88671875" style="2" customWidth="1"/>
    <col min="7425" max="7663" width="11.44140625" style="2"/>
    <col min="7664" max="7664" width="14.44140625" style="2" customWidth="1"/>
    <col min="7665" max="7665" width="8" style="2" customWidth="1"/>
    <col min="7666" max="7666" width="4.6640625" style="2" customWidth="1"/>
    <col min="7667" max="7667" width="9.109375" style="2" customWidth="1"/>
    <col min="7668" max="7668" width="1.5546875" style="2" customWidth="1"/>
    <col min="7669" max="7669" width="5.44140625" style="2" customWidth="1"/>
    <col min="7670" max="7670" width="7.33203125" style="2" customWidth="1"/>
    <col min="7671" max="7671" width="8.33203125" style="2" customWidth="1"/>
    <col min="7672" max="7672" width="9.33203125" style="2" customWidth="1"/>
    <col min="7673" max="7673" width="7" style="2" customWidth="1"/>
    <col min="7674" max="7675" width="8.6640625" style="2" customWidth="1"/>
    <col min="7676" max="7676" width="7.5546875" style="2" customWidth="1"/>
    <col min="7677" max="7677" width="9.44140625" style="2" customWidth="1"/>
    <col min="7678" max="7678" width="8" style="2" customWidth="1"/>
    <col min="7679" max="7679" width="9" style="2" customWidth="1"/>
    <col min="7680" max="7680" width="8.88671875" style="2" customWidth="1"/>
    <col min="7681" max="7919" width="11.44140625" style="2"/>
    <col min="7920" max="7920" width="14.44140625" style="2" customWidth="1"/>
    <col min="7921" max="7921" width="8" style="2" customWidth="1"/>
    <col min="7922" max="7922" width="4.6640625" style="2" customWidth="1"/>
    <col min="7923" max="7923" width="9.109375" style="2" customWidth="1"/>
    <col min="7924" max="7924" width="1.5546875" style="2" customWidth="1"/>
    <col min="7925" max="7925" width="5.44140625" style="2" customWidth="1"/>
    <col min="7926" max="7926" width="7.33203125" style="2" customWidth="1"/>
    <col min="7927" max="7927" width="8.33203125" style="2" customWidth="1"/>
    <col min="7928" max="7928" width="9.33203125" style="2" customWidth="1"/>
    <col min="7929" max="7929" width="7" style="2" customWidth="1"/>
    <col min="7930" max="7931" width="8.6640625" style="2" customWidth="1"/>
    <col min="7932" max="7932" width="7.5546875" style="2" customWidth="1"/>
    <col min="7933" max="7933" width="9.44140625" style="2" customWidth="1"/>
    <col min="7934" max="7934" width="8" style="2" customWidth="1"/>
    <col min="7935" max="7935" width="9" style="2" customWidth="1"/>
    <col min="7936" max="7936" width="8.88671875" style="2" customWidth="1"/>
    <col min="7937" max="8175" width="11.44140625" style="2"/>
    <col min="8176" max="8176" width="14.44140625" style="2" customWidth="1"/>
    <col min="8177" max="8177" width="8" style="2" customWidth="1"/>
    <col min="8178" max="8178" width="4.6640625" style="2" customWidth="1"/>
    <col min="8179" max="8179" width="9.109375" style="2" customWidth="1"/>
    <col min="8180" max="8180" width="1.5546875" style="2" customWidth="1"/>
    <col min="8181" max="8181" width="5.44140625" style="2" customWidth="1"/>
    <col min="8182" max="8182" width="7.33203125" style="2" customWidth="1"/>
    <col min="8183" max="8183" width="8.33203125" style="2" customWidth="1"/>
    <col min="8184" max="8184" width="9.33203125" style="2" customWidth="1"/>
    <col min="8185" max="8185" width="7" style="2" customWidth="1"/>
    <col min="8186" max="8187" width="8.6640625" style="2" customWidth="1"/>
    <col min="8188" max="8188" width="7.5546875" style="2" customWidth="1"/>
    <col min="8189" max="8189" width="9.44140625" style="2" customWidth="1"/>
    <col min="8190" max="8190" width="8" style="2" customWidth="1"/>
    <col min="8191" max="8191" width="9" style="2" customWidth="1"/>
    <col min="8192" max="8192" width="8.88671875" style="2" customWidth="1"/>
    <col min="8193" max="8431" width="11.44140625" style="2"/>
    <col min="8432" max="8432" width="14.44140625" style="2" customWidth="1"/>
    <col min="8433" max="8433" width="8" style="2" customWidth="1"/>
    <col min="8434" max="8434" width="4.6640625" style="2" customWidth="1"/>
    <col min="8435" max="8435" width="9.109375" style="2" customWidth="1"/>
    <col min="8436" max="8436" width="1.5546875" style="2" customWidth="1"/>
    <col min="8437" max="8437" width="5.44140625" style="2" customWidth="1"/>
    <col min="8438" max="8438" width="7.33203125" style="2" customWidth="1"/>
    <col min="8439" max="8439" width="8.33203125" style="2" customWidth="1"/>
    <col min="8440" max="8440" width="9.33203125" style="2" customWidth="1"/>
    <col min="8441" max="8441" width="7" style="2" customWidth="1"/>
    <col min="8442" max="8443" width="8.6640625" style="2" customWidth="1"/>
    <col min="8444" max="8444" width="7.5546875" style="2" customWidth="1"/>
    <col min="8445" max="8445" width="9.44140625" style="2" customWidth="1"/>
    <col min="8446" max="8446" width="8" style="2" customWidth="1"/>
    <col min="8447" max="8447" width="9" style="2" customWidth="1"/>
    <col min="8448" max="8448" width="8.88671875" style="2" customWidth="1"/>
    <col min="8449" max="8687" width="11.44140625" style="2"/>
    <col min="8688" max="8688" width="14.44140625" style="2" customWidth="1"/>
    <col min="8689" max="8689" width="8" style="2" customWidth="1"/>
    <col min="8690" max="8690" width="4.6640625" style="2" customWidth="1"/>
    <col min="8691" max="8691" width="9.109375" style="2" customWidth="1"/>
    <col min="8692" max="8692" width="1.5546875" style="2" customWidth="1"/>
    <col min="8693" max="8693" width="5.44140625" style="2" customWidth="1"/>
    <col min="8694" max="8694" width="7.33203125" style="2" customWidth="1"/>
    <col min="8695" max="8695" width="8.33203125" style="2" customWidth="1"/>
    <col min="8696" max="8696" width="9.33203125" style="2" customWidth="1"/>
    <col min="8697" max="8697" width="7" style="2" customWidth="1"/>
    <col min="8698" max="8699" width="8.6640625" style="2" customWidth="1"/>
    <col min="8700" max="8700" width="7.5546875" style="2" customWidth="1"/>
    <col min="8701" max="8701" width="9.44140625" style="2" customWidth="1"/>
    <col min="8702" max="8702" width="8" style="2" customWidth="1"/>
    <col min="8703" max="8703" width="9" style="2" customWidth="1"/>
    <col min="8704" max="8704" width="8.88671875" style="2" customWidth="1"/>
    <col min="8705" max="8943" width="11.44140625" style="2"/>
    <col min="8944" max="8944" width="14.44140625" style="2" customWidth="1"/>
    <col min="8945" max="8945" width="8" style="2" customWidth="1"/>
    <col min="8946" max="8946" width="4.6640625" style="2" customWidth="1"/>
    <col min="8947" max="8947" width="9.109375" style="2" customWidth="1"/>
    <col min="8948" max="8948" width="1.5546875" style="2" customWidth="1"/>
    <col min="8949" max="8949" width="5.44140625" style="2" customWidth="1"/>
    <col min="8950" max="8950" width="7.33203125" style="2" customWidth="1"/>
    <col min="8951" max="8951" width="8.33203125" style="2" customWidth="1"/>
    <col min="8952" max="8952" width="9.33203125" style="2" customWidth="1"/>
    <col min="8953" max="8953" width="7" style="2" customWidth="1"/>
    <col min="8954" max="8955" width="8.6640625" style="2" customWidth="1"/>
    <col min="8956" max="8956" width="7.5546875" style="2" customWidth="1"/>
    <col min="8957" max="8957" width="9.44140625" style="2" customWidth="1"/>
    <col min="8958" max="8958" width="8" style="2" customWidth="1"/>
    <col min="8959" max="8959" width="9" style="2" customWidth="1"/>
    <col min="8960" max="8960" width="8.88671875" style="2" customWidth="1"/>
    <col min="8961" max="9199" width="11.44140625" style="2"/>
    <col min="9200" max="9200" width="14.44140625" style="2" customWidth="1"/>
    <col min="9201" max="9201" width="8" style="2" customWidth="1"/>
    <col min="9202" max="9202" width="4.6640625" style="2" customWidth="1"/>
    <col min="9203" max="9203" width="9.109375" style="2" customWidth="1"/>
    <col min="9204" max="9204" width="1.5546875" style="2" customWidth="1"/>
    <col min="9205" max="9205" width="5.44140625" style="2" customWidth="1"/>
    <col min="9206" max="9206" width="7.33203125" style="2" customWidth="1"/>
    <col min="9207" max="9207" width="8.33203125" style="2" customWidth="1"/>
    <col min="9208" max="9208" width="9.33203125" style="2" customWidth="1"/>
    <col min="9209" max="9209" width="7" style="2" customWidth="1"/>
    <col min="9210" max="9211" width="8.6640625" style="2" customWidth="1"/>
    <col min="9212" max="9212" width="7.5546875" style="2" customWidth="1"/>
    <col min="9213" max="9213" width="9.44140625" style="2" customWidth="1"/>
    <col min="9214" max="9214" width="8" style="2" customWidth="1"/>
    <col min="9215" max="9215" width="9" style="2" customWidth="1"/>
    <col min="9216" max="9216" width="8.88671875" style="2" customWidth="1"/>
    <col min="9217" max="9455" width="11.44140625" style="2"/>
    <col min="9456" max="9456" width="14.44140625" style="2" customWidth="1"/>
    <col min="9457" max="9457" width="8" style="2" customWidth="1"/>
    <col min="9458" max="9458" width="4.6640625" style="2" customWidth="1"/>
    <col min="9459" max="9459" width="9.109375" style="2" customWidth="1"/>
    <col min="9460" max="9460" width="1.5546875" style="2" customWidth="1"/>
    <col min="9461" max="9461" width="5.44140625" style="2" customWidth="1"/>
    <col min="9462" max="9462" width="7.33203125" style="2" customWidth="1"/>
    <col min="9463" max="9463" width="8.33203125" style="2" customWidth="1"/>
    <col min="9464" max="9464" width="9.33203125" style="2" customWidth="1"/>
    <col min="9465" max="9465" width="7" style="2" customWidth="1"/>
    <col min="9466" max="9467" width="8.6640625" style="2" customWidth="1"/>
    <col min="9468" max="9468" width="7.5546875" style="2" customWidth="1"/>
    <col min="9469" max="9469" width="9.44140625" style="2" customWidth="1"/>
    <col min="9470" max="9470" width="8" style="2" customWidth="1"/>
    <col min="9471" max="9471" width="9" style="2" customWidth="1"/>
    <col min="9472" max="9472" width="8.88671875" style="2" customWidth="1"/>
    <col min="9473" max="9711" width="11.44140625" style="2"/>
    <col min="9712" max="9712" width="14.44140625" style="2" customWidth="1"/>
    <col min="9713" max="9713" width="8" style="2" customWidth="1"/>
    <col min="9714" max="9714" width="4.6640625" style="2" customWidth="1"/>
    <col min="9715" max="9715" width="9.109375" style="2" customWidth="1"/>
    <col min="9716" max="9716" width="1.5546875" style="2" customWidth="1"/>
    <col min="9717" max="9717" width="5.44140625" style="2" customWidth="1"/>
    <col min="9718" max="9718" width="7.33203125" style="2" customWidth="1"/>
    <col min="9719" max="9719" width="8.33203125" style="2" customWidth="1"/>
    <col min="9720" max="9720" width="9.33203125" style="2" customWidth="1"/>
    <col min="9721" max="9721" width="7" style="2" customWidth="1"/>
    <col min="9722" max="9723" width="8.6640625" style="2" customWidth="1"/>
    <col min="9724" max="9724" width="7.5546875" style="2" customWidth="1"/>
    <col min="9725" max="9725" width="9.44140625" style="2" customWidth="1"/>
    <col min="9726" max="9726" width="8" style="2" customWidth="1"/>
    <col min="9727" max="9727" width="9" style="2" customWidth="1"/>
    <col min="9728" max="9728" width="8.88671875" style="2" customWidth="1"/>
    <col min="9729" max="9967" width="11.44140625" style="2"/>
    <col min="9968" max="9968" width="14.44140625" style="2" customWidth="1"/>
    <col min="9969" max="9969" width="8" style="2" customWidth="1"/>
    <col min="9970" max="9970" width="4.6640625" style="2" customWidth="1"/>
    <col min="9971" max="9971" width="9.109375" style="2" customWidth="1"/>
    <col min="9972" max="9972" width="1.5546875" style="2" customWidth="1"/>
    <col min="9973" max="9973" width="5.44140625" style="2" customWidth="1"/>
    <col min="9974" max="9974" width="7.33203125" style="2" customWidth="1"/>
    <col min="9975" max="9975" width="8.33203125" style="2" customWidth="1"/>
    <col min="9976" max="9976" width="9.33203125" style="2" customWidth="1"/>
    <col min="9977" max="9977" width="7" style="2" customWidth="1"/>
    <col min="9978" max="9979" width="8.6640625" style="2" customWidth="1"/>
    <col min="9980" max="9980" width="7.5546875" style="2" customWidth="1"/>
    <col min="9981" max="9981" width="9.44140625" style="2" customWidth="1"/>
    <col min="9982" max="9982" width="8" style="2" customWidth="1"/>
    <col min="9983" max="9983" width="9" style="2" customWidth="1"/>
    <col min="9984" max="9984" width="8.88671875" style="2" customWidth="1"/>
    <col min="9985" max="10223" width="11.44140625" style="2"/>
    <col min="10224" max="10224" width="14.44140625" style="2" customWidth="1"/>
    <col min="10225" max="10225" width="8" style="2" customWidth="1"/>
    <col min="10226" max="10226" width="4.6640625" style="2" customWidth="1"/>
    <col min="10227" max="10227" width="9.109375" style="2" customWidth="1"/>
    <col min="10228" max="10228" width="1.5546875" style="2" customWidth="1"/>
    <col min="10229" max="10229" width="5.44140625" style="2" customWidth="1"/>
    <col min="10230" max="10230" width="7.33203125" style="2" customWidth="1"/>
    <col min="10231" max="10231" width="8.33203125" style="2" customWidth="1"/>
    <col min="10232" max="10232" width="9.33203125" style="2" customWidth="1"/>
    <col min="10233" max="10233" width="7" style="2" customWidth="1"/>
    <col min="10234" max="10235" width="8.6640625" style="2" customWidth="1"/>
    <col min="10236" max="10236" width="7.5546875" style="2" customWidth="1"/>
    <col min="10237" max="10237" width="9.44140625" style="2" customWidth="1"/>
    <col min="10238" max="10238" width="8" style="2" customWidth="1"/>
    <col min="10239" max="10239" width="9" style="2" customWidth="1"/>
    <col min="10240" max="10240" width="8.88671875" style="2" customWidth="1"/>
    <col min="10241" max="10479" width="11.44140625" style="2"/>
    <col min="10480" max="10480" width="14.44140625" style="2" customWidth="1"/>
    <col min="10481" max="10481" width="8" style="2" customWidth="1"/>
    <col min="10482" max="10482" width="4.6640625" style="2" customWidth="1"/>
    <col min="10483" max="10483" width="9.109375" style="2" customWidth="1"/>
    <col min="10484" max="10484" width="1.5546875" style="2" customWidth="1"/>
    <col min="10485" max="10485" width="5.44140625" style="2" customWidth="1"/>
    <col min="10486" max="10486" width="7.33203125" style="2" customWidth="1"/>
    <col min="10487" max="10487" width="8.33203125" style="2" customWidth="1"/>
    <col min="10488" max="10488" width="9.33203125" style="2" customWidth="1"/>
    <col min="10489" max="10489" width="7" style="2" customWidth="1"/>
    <col min="10490" max="10491" width="8.6640625" style="2" customWidth="1"/>
    <col min="10492" max="10492" width="7.5546875" style="2" customWidth="1"/>
    <col min="10493" max="10493" width="9.44140625" style="2" customWidth="1"/>
    <col min="10494" max="10494" width="8" style="2" customWidth="1"/>
    <col min="10495" max="10495" width="9" style="2" customWidth="1"/>
    <col min="10496" max="10496" width="8.88671875" style="2" customWidth="1"/>
    <col min="10497" max="10735" width="11.44140625" style="2"/>
    <col min="10736" max="10736" width="14.44140625" style="2" customWidth="1"/>
    <col min="10737" max="10737" width="8" style="2" customWidth="1"/>
    <col min="10738" max="10738" width="4.6640625" style="2" customWidth="1"/>
    <col min="10739" max="10739" width="9.109375" style="2" customWidth="1"/>
    <col min="10740" max="10740" width="1.5546875" style="2" customWidth="1"/>
    <col min="10741" max="10741" width="5.44140625" style="2" customWidth="1"/>
    <col min="10742" max="10742" width="7.33203125" style="2" customWidth="1"/>
    <col min="10743" max="10743" width="8.33203125" style="2" customWidth="1"/>
    <col min="10744" max="10744" width="9.33203125" style="2" customWidth="1"/>
    <col min="10745" max="10745" width="7" style="2" customWidth="1"/>
    <col min="10746" max="10747" width="8.6640625" style="2" customWidth="1"/>
    <col min="10748" max="10748" width="7.5546875" style="2" customWidth="1"/>
    <col min="10749" max="10749" width="9.44140625" style="2" customWidth="1"/>
    <col min="10750" max="10750" width="8" style="2" customWidth="1"/>
    <col min="10751" max="10751" width="9" style="2" customWidth="1"/>
    <col min="10752" max="10752" width="8.88671875" style="2" customWidth="1"/>
    <col min="10753" max="10991" width="11.44140625" style="2"/>
    <col min="10992" max="10992" width="14.44140625" style="2" customWidth="1"/>
    <col min="10993" max="10993" width="8" style="2" customWidth="1"/>
    <col min="10994" max="10994" width="4.6640625" style="2" customWidth="1"/>
    <col min="10995" max="10995" width="9.109375" style="2" customWidth="1"/>
    <col min="10996" max="10996" width="1.5546875" style="2" customWidth="1"/>
    <col min="10997" max="10997" width="5.44140625" style="2" customWidth="1"/>
    <col min="10998" max="10998" width="7.33203125" style="2" customWidth="1"/>
    <col min="10999" max="10999" width="8.33203125" style="2" customWidth="1"/>
    <col min="11000" max="11000" width="9.33203125" style="2" customWidth="1"/>
    <col min="11001" max="11001" width="7" style="2" customWidth="1"/>
    <col min="11002" max="11003" width="8.6640625" style="2" customWidth="1"/>
    <col min="11004" max="11004" width="7.5546875" style="2" customWidth="1"/>
    <col min="11005" max="11005" width="9.44140625" style="2" customWidth="1"/>
    <col min="11006" max="11006" width="8" style="2" customWidth="1"/>
    <col min="11007" max="11007" width="9" style="2" customWidth="1"/>
    <col min="11008" max="11008" width="8.88671875" style="2" customWidth="1"/>
    <col min="11009" max="11247" width="11.44140625" style="2"/>
    <col min="11248" max="11248" width="14.44140625" style="2" customWidth="1"/>
    <col min="11249" max="11249" width="8" style="2" customWidth="1"/>
    <col min="11250" max="11250" width="4.6640625" style="2" customWidth="1"/>
    <col min="11251" max="11251" width="9.109375" style="2" customWidth="1"/>
    <col min="11252" max="11252" width="1.5546875" style="2" customWidth="1"/>
    <col min="11253" max="11253" width="5.44140625" style="2" customWidth="1"/>
    <col min="11254" max="11254" width="7.33203125" style="2" customWidth="1"/>
    <col min="11255" max="11255" width="8.33203125" style="2" customWidth="1"/>
    <col min="11256" max="11256" width="9.33203125" style="2" customWidth="1"/>
    <col min="11257" max="11257" width="7" style="2" customWidth="1"/>
    <col min="11258" max="11259" width="8.6640625" style="2" customWidth="1"/>
    <col min="11260" max="11260" width="7.5546875" style="2" customWidth="1"/>
    <col min="11261" max="11261" width="9.44140625" style="2" customWidth="1"/>
    <col min="11262" max="11262" width="8" style="2" customWidth="1"/>
    <col min="11263" max="11263" width="9" style="2" customWidth="1"/>
    <col min="11264" max="11264" width="8.88671875" style="2" customWidth="1"/>
    <col min="11265" max="11503" width="11.44140625" style="2"/>
    <col min="11504" max="11504" width="14.44140625" style="2" customWidth="1"/>
    <col min="11505" max="11505" width="8" style="2" customWidth="1"/>
    <col min="11506" max="11506" width="4.6640625" style="2" customWidth="1"/>
    <col min="11507" max="11507" width="9.109375" style="2" customWidth="1"/>
    <col min="11508" max="11508" width="1.5546875" style="2" customWidth="1"/>
    <col min="11509" max="11509" width="5.44140625" style="2" customWidth="1"/>
    <col min="11510" max="11510" width="7.33203125" style="2" customWidth="1"/>
    <col min="11511" max="11511" width="8.33203125" style="2" customWidth="1"/>
    <col min="11512" max="11512" width="9.33203125" style="2" customWidth="1"/>
    <col min="11513" max="11513" width="7" style="2" customWidth="1"/>
    <col min="11514" max="11515" width="8.6640625" style="2" customWidth="1"/>
    <col min="11516" max="11516" width="7.5546875" style="2" customWidth="1"/>
    <col min="11517" max="11517" width="9.44140625" style="2" customWidth="1"/>
    <col min="11518" max="11518" width="8" style="2" customWidth="1"/>
    <col min="11519" max="11519" width="9" style="2" customWidth="1"/>
    <col min="11520" max="11520" width="8.88671875" style="2" customWidth="1"/>
    <col min="11521" max="11759" width="11.44140625" style="2"/>
    <col min="11760" max="11760" width="14.44140625" style="2" customWidth="1"/>
    <col min="11761" max="11761" width="8" style="2" customWidth="1"/>
    <col min="11762" max="11762" width="4.6640625" style="2" customWidth="1"/>
    <col min="11763" max="11763" width="9.109375" style="2" customWidth="1"/>
    <col min="11764" max="11764" width="1.5546875" style="2" customWidth="1"/>
    <col min="11765" max="11765" width="5.44140625" style="2" customWidth="1"/>
    <col min="11766" max="11766" width="7.33203125" style="2" customWidth="1"/>
    <col min="11767" max="11767" width="8.33203125" style="2" customWidth="1"/>
    <col min="11768" max="11768" width="9.33203125" style="2" customWidth="1"/>
    <col min="11769" max="11769" width="7" style="2" customWidth="1"/>
    <col min="11770" max="11771" width="8.6640625" style="2" customWidth="1"/>
    <col min="11772" max="11772" width="7.5546875" style="2" customWidth="1"/>
    <col min="11773" max="11773" width="9.44140625" style="2" customWidth="1"/>
    <col min="11774" max="11774" width="8" style="2" customWidth="1"/>
    <col min="11775" max="11775" width="9" style="2" customWidth="1"/>
    <col min="11776" max="11776" width="8.88671875" style="2" customWidth="1"/>
    <col min="11777" max="12015" width="11.44140625" style="2"/>
    <col min="12016" max="12016" width="14.44140625" style="2" customWidth="1"/>
    <col min="12017" max="12017" width="8" style="2" customWidth="1"/>
    <col min="12018" max="12018" width="4.6640625" style="2" customWidth="1"/>
    <col min="12019" max="12019" width="9.109375" style="2" customWidth="1"/>
    <col min="12020" max="12020" width="1.5546875" style="2" customWidth="1"/>
    <col min="12021" max="12021" width="5.44140625" style="2" customWidth="1"/>
    <col min="12022" max="12022" width="7.33203125" style="2" customWidth="1"/>
    <col min="12023" max="12023" width="8.33203125" style="2" customWidth="1"/>
    <col min="12024" max="12024" width="9.33203125" style="2" customWidth="1"/>
    <col min="12025" max="12025" width="7" style="2" customWidth="1"/>
    <col min="12026" max="12027" width="8.6640625" style="2" customWidth="1"/>
    <col min="12028" max="12028" width="7.5546875" style="2" customWidth="1"/>
    <col min="12029" max="12029" width="9.44140625" style="2" customWidth="1"/>
    <col min="12030" max="12030" width="8" style="2" customWidth="1"/>
    <col min="12031" max="12031" width="9" style="2" customWidth="1"/>
    <col min="12032" max="12032" width="8.88671875" style="2" customWidth="1"/>
    <col min="12033" max="12271" width="11.44140625" style="2"/>
    <col min="12272" max="12272" width="14.44140625" style="2" customWidth="1"/>
    <col min="12273" max="12273" width="8" style="2" customWidth="1"/>
    <col min="12274" max="12274" width="4.6640625" style="2" customWidth="1"/>
    <col min="12275" max="12275" width="9.109375" style="2" customWidth="1"/>
    <col min="12276" max="12276" width="1.5546875" style="2" customWidth="1"/>
    <col min="12277" max="12277" width="5.44140625" style="2" customWidth="1"/>
    <col min="12278" max="12278" width="7.33203125" style="2" customWidth="1"/>
    <col min="12279" max="12279" width="8.33203125" style="2" customWidth="1"/>
    <col min="12280" max="12280" width="9.33203125" style="2" customWidth="1"/>
    <col min="12281" max="12281" width="7" style="2" customWidth="1"/>
    <col min="12282" max="12283" width="8.6640625" style="2" customWidth="1"/>
    <col min="12284" max="12284" width="7.5546875" style="2" customWidth="1"/>
    <col min="12285" max="12285" width="9.44140625" style="2" customWidth="1"/>
    <col min="12286" max="12286" width="8" style="2" customWidth="1"/>
    <col min="12287" max="12287" width="9" style="2" customWidth="1"/>
    <col min="12288" max="12288" width="8.88671875" style="2" customWidth="1"/>
    <col min="12289" max="12527" width="11.44140625" style="2"/>
    <col min="12528" max="12528" width="14.44140625" style="2" customWidth="1"/>
    <col min="12529" max="12529" width="8" style="2" customWidth="1"/>
    <col min="12530" max="12530" width="4.6640625" style="2" customWidth="1"/>
    <col min="12531" max="12531" width="9.109375" style="2" customWidth="1"/>
    <col min="12532" max="12532" width="1.5546875" style="2" customWidth="1"/>
    <col min="12533" max="12533" width="5.44140625" style="2" customWidth="1"/>
    <col min="12534" max="12534" width="7.33203125" style="2" customWidth="1"/>
    <col min="12535" max="12535" width="8.33203125" style="2" customWidth="1"/>
    <col min="12536" max="12536" width="9.33203125" style="2" customWidth="1"/>
    <col min="12537" max="12537" width="7" style="2" customWidth="1"/>
    <col min="12538" max="12539" width="8.6640625" style="2" customWidth="1"/>
    <col min="12540" max="12540" width="7.5546875" style="2" customWidth="1"/>
    <col min="12541" max="12541" width="9.44140625" style="2" customWidth="1"/>
    <col min="12542" max="12542" width="8" style="2" customWidth="1"/>
    <col min="12543" max="12543" width="9" style="2" customWidth="1"/>
    <col min="12544" max="12544" width="8.88671875" style="2" customWidth="1"/>
    <col min="12545" max="12783" width="11.44140625" style="2"/>
    <col min="12784" max="12784" width="14.44140625" style="2" customWidth="1"/>
    <col min="12785" max="12785" width="8" style="2" customWidth="1"/>
    <col min="12786" max="12786" width="4.6640625" style="2" customWidth="1"/>
    <col min="12787" max="12787" width="9.109375" style="2" customWidth="1"/>
    <col min="12788" max="12788" width="1.5546875" style="2" customWidth="1"/>
    <col min="12789" max="12789" width="5.44140625" style="2" customWidth="1"/>
    <col min="12790" max="12790" width="7.33203125" style="2" customWidth="1"/>
    <col min="12791" max="12791" width="8.33203125" style="2" customWidth="1"/>
    <col min="12792" max="12792" width="9.33203125" style="2" customWidth="1"/>
    <col min="12793" max="12793" width="7" style="2" customWidth="1"/>
    <col min="12794" max="12795" width="8.6640625" style="2" customWidth="1"/>
    <col min="12796" max="12796" width="7.5546875" style="2" customWidth="1"/>
    <col min="12797" max="12797" width="9.44140625" style="2" customWidth="1"/>
    <col min="12798" max="12798" width="8" style="2" customWidth="1"/>
    <col min="12799" max="12799" width="9" style="2" customWidth="1"/>
    <col min="12800" max="12800" width="8.88671875" style="2" customWidth="1"/>
    <col min="12801" max="13039" width="11.44140625" style="2"/>
    <col min="13040" max="13040" width="14.44140625" style="2" customWidth="1"/>
    <col min="13041" max="13041" width="8" style="2" customWidth="1"/>
    <col min="13042" max="13042" width="4.6640625" style="2" customWidth="1"/>
    <col min="13043" max="13043" width="9.109375" style="2" customWidth="1"/>
    <col min="13044" max="13044" width="1.5546875" style="2" customWidth="1"/>
    <col min="13045" max="13045" width="5.44140625" style="2" customWidth="1"/>
    <col min="13046" max="13046" width="7.33203125" style="2" customWidth="1"/>
    <col min="13047" max="13047" width="8.33203125" style="2" customWidth="1"/>
    <col min="13048" max="13048" width="9.33203125" style="2" customWidth="1"/>
    <col min="13049" max="13049" width="7" style="2" customWidth="1"/>
    <col min="13050" max="13051" width="8.6640625" style="2" customWidth="1"/>
    <col min="13052" max="13052" width="7.5546875" style="2" customWidth="1"/>
    <col min="13053" max="13053" width="9.44140625" style="2" customWidth="1"/>
    <col min="13054" max="13054" width="8" style="2" customWidth="1"/>
    <col min="13055" max="13055" width="9" style="2" customWidth="1"/>
    <col min="13056" max="13056" width="8.88671875" style="2" customWidth="1"/>
    <col min="13057" max="13295" width="11.44140625" style="2"/>
    <col min="13296" max="13296" width="14.44140625" style="2" customWidth="1"/>
    <col min="13297" max="13297" width="8" style="2" customWidth="1"/>
    <col min="13298" max="13298" width="4.6640625" style="2" customWidth="1"/>
    <col min="13299" max="13299" width="9.109375" style="2" customWidth="1"/>
    <col min="13300" max="13300" width="1.5546875" style="2" customWidth="1"/>
    <col min="13301" max="13301" width="5.44140625" style="2" customWidth="1"/>
    <col min="13302" max="13302" width="7.33203125" style="2" customWidth="1"/>
    <col min="13303" max="13303" width="8.33203125" style="2" customWidth="1"/>
    <col min="13304" max="13304" width="9.33203125" style="2" customWidth="1"/>
    <col min="13305" max="13305" width="7" style="2" customWidth="1"/>
    <col min="13306" max="13307" width="8.6640625" style="2" customWidth="1"/>
    <col min="13308" max="13308" width="7.5546875" style="2" customWidth="1"/>
    <col min="13309" max="13309" width="9.44140625" style="2" customWidth="1"/>
    <col min="13310" max="13310" width="8" style="2" customWidth="1"/>
    <col min="13311" max="13311" width="9" style="2" customWidth="1"/>
    <col min="13312" max="13312" width="8.88671875" style="2" customWidth="1"/>
    <col min="13313" max="13551" width="11.44140625" style="2"/>
    <col min="13552" max="13552" width="14.44140625" style="2" customWidth="1"/>
    <col min="13553" max="13553" width="8" style="2" customWidth="1"/>
    <col min="13554" max="13554" width="4.6640625" style="2" customWidth="1"/>
    <col min="13555" max="13555" width="9.109375" style="2" customWidth="1"/>
    <col min="13556" max="13556" width="1.5546875" style="2" customWidth="1"/>
    <col min="13557" max="13557" width="5.44140625" style="2" customWidth="1"/>
    <col min="13558" max="13558" width="7.33203125" style="2" customWidth="1"/>
    <col min="13559" max="13559" width="8.33203125" style="2" customWidth="1"/>
    <col min="13560" max="13560" width="9.33203125" style="2" customWidth="1"/>
    <col min="13561" max="13561" width="7" style="2" customWidth="1"/>
    <col min="13562" max="13563" width="8.6640625" style="2" customWidth="1"/>
    <col min="13564" max="13564" width="7.5546875" style="2" customWidth="1"/>
    <col min="13565" max="13565" width="9.44140625" style="2" customWidth="1"/>
    <col min="13566" max="13566" width="8" style="2" customWidth="1"/>
    <col min="13567" max="13567" width="9" style="2" customWidth="1"/>
    <col min="13568" max="13568" width="8.88671875" style="2" customWidth="1"/>
    <col min="13569" max="13807" width="11.44140625" style="2"/>
    <col min="13808" max="13808" width="14.44140625" style="2" customWidth="1"/>
    <col min="13809" max="13809" width="8" style="2" customWidth="1"/>
    <col min="13810" max="13810" width="4.6640625" style="2" customWidth="1"/>
    <col min="13811" max="13811" width="9.109375" style="2" customWidth="1"/>
    <col min="13812" max="13812" width="1.5546875" style="2" customWidth="1"/>
    <col min="13813" max="13813" width="5.44140625" style="2" customWidth="1"/>
    <col min="13814" max="13814" width="7.33203125" style="2" customWidth="1"/>
    <col min="13815" max="13815" width="8.33203125" style="2" customWidth="1"/>
    <col min="13816" max="13816" width="9.33203125" style="2" customWidth="1"/>
    <col min="13817" max="13817" width="7" style="2" customWidth="1"/>
    <col min="13818" max="13819" width="8.6640625" style="2" customWidth="1"/>
    <col min="13820" max="13820" width="7.5546875" style="2" customWidth="1"/>
    <col min="13821" max="13821" width="9.44140625" style="2" customWidth="1"/>
    <col min="13822" max="13822" width="8" style="2" customWidth="1"/>
    <col min="13823" max="13823" width="9" style="2" customWidth="1"/>
    <col min="13824" max="13824" width="8.88671875" style="2" customWidth="1"/>
    <col min="13825" max="14063" width="11.44140625" style="2"/>
    <col min="14064" max="14064" width="14.44140625" style="2" customWidth="1"/>
    <col min="14065" max="14065" width="8" style="2" customWidth="1"/>
    <col min="14066" max="14066" width="4.6640625" style="2" customWidth="1"/>
    <col min="14067" max="14067" width="9.109375" style="2" customWidth="1"/>
    <col min="14068" max="14068" width="1.5546875" style="2" customWidth="1"/>
    <col min="14069" max="14069" width="5.44140625" style="2" customWidth="1"/>
    <col min="14070" max="14070" width="7.33203125" style="2" customWidth="1"/>
    <col min="14071" max="14071" width="8.33203125" style="2" customWidth="1"/>
    <col min="14072" max="14072" width="9.33203125" style="2" customWidth="1"/>
    <col min="14073" max="14073" width="7" style="2" customWidth="1"/>
    <col min="14074" max="14075" width="8.6640625" style="2" customWidth="1"/>
    <col min="14076" max="14076" width="7.5546875" style="2" customWidth="1"/>
    <col min="14077" max="14077" width="9.44140625" style="2" customWidth="1"/>
    <col min="14078" max="14078" width="8" style="2" customWidth="1"/>
    <col min="14079" max="14079" width="9" style="2" customWidth="1"/>
    <col min="14080" max="14080" width="8.88671875" style="2" customWidth="1"/>
    <col min="14081" max="14319" width="11.44140625" style="2"/>
    <col min="14320" max="14320" width="14.44140625" style="2" customWidth="1"/>
    <col min="14321" max="14321" width="8" style="2" customWidth="1"/>
    <col min="14322" max="14322" width="4.6640625" style="2" customWidth="1"/>
    <col min="14323" max="14323" width="9.109375" style="2" customWidth="1"/>
    <col min="14324" max="14324" width="1.5546875" style="2" customWidth="1"/>
    <col min="14325" max="14325" width="5.44140625" style="2" customWidth="1"/>
    <col min="14326" max="14326" width="7.33203125" style="2" customWidth="1"/>
    <col min="14327" max="14327" width="8.33203125" style="2" customWidth="1"/>
    <col min="14328" max="14328" width="9.33203125" style="2" customWidth="1"/>
    <col min="14329" max="14329" width="7" style="2" customWidth="1"/>
    <col min="14330" max="14331" width="8.6640625" style="2" customWidth="1"/>
    <col min="14332" max="14332" width="7.5546875" style="2" customWidth="1"/>
    <col min="14333" max="14333" width="9.44140625" style="2" customWidth="1"/>
    <col min="14334" max="14334" width="8" style="2" customWidth="1"/>
    <col min="14335" max="14335" width="9" style="2" customWidth="1"/>
    <col min="14336" max="14336" width="8.88671875" style="2" customWidth="1"/>
    <col min="14337" max="14575" width="11.44140625" style="2"/>
    <col min="14576" max="14576" width="14.44140625" style="2" customWidth="1"/>
    <col min="14577" max="14577" width="8" style="2" customWidth="1"/>
    <col min="14578" max="14578" width="4.6640625" style="2" customWidth="1"/>
    <col min="14579" max="14579" width="9.109375" style="2" customWidth="1"/>
    <col min="14580" max="14580" width="1.5546875" style="2" customWidth="1"/>
    <col min="14581" max="14581" width="5.44140625" style="2" customWidth="1"/>
    <col min="14582" max="14582" width="7.33203125" style="2" customWidth="1"/>
    <col min="14583" max="14583" width="8.33203125" style="2" customWidth="1"/>
    <col min="14584" max="14584" width="9.33203125" style="2" customWidth="1"/>
    <col min="14585" max="14585" width="7" style="2" customWidth="1"/>
    <col min="14586" max="14587" width="8.6640625" style="2" customWidth="1"/>
    <col min="14588" max="14588" width="7.5546875" style="2" customWidth="1"/>
    <col min="14589" max="14589" width="9.44140625" style="2" customWidth="1"/>
    <col min="14590" max="14590" width="8" style="2" customWidth="1"/>
    <col min="14591" max="14591" width="9" style="2" customWidth="1"/>
    <col min="14592" max="14592" width="8.88671875" style="2" customWidth="1"/>
    <col min="14593" max="14831" width="11.44140625" style="2"/>
    <col min="14832" max="14832" width="14.44140625" style="2" customWidth="1"/>
    <col min="14833" max="14833" width="8" style="2" customWidth="1"/>
    <col min="14834" max="14834" width="4.6640625" style="2" customWidth="1"/>
    <col min="14835" max="14835" width="9.109375" style="2" customWidth="1"/>
    <col min="14836" max="14836" width="1.5546875" style="2" customWidth="1"/>
    <col min="14837" max="14837" width="5.44140625" style="2" customWidth="1"/>
    <col min="14838" max="14838" width="7.33203125" style="2" customWidth="1"/>
    <col min="14839" max="14839" width="8.33203125" style="2" customWidth="1"/>
    <col min="14840" max="14840" width="9.33203125" style="2" customWidth="1"/>
    <col min="14841" max="14841" width="7" style="2" customWidth="1"/>
    <col min="14842" max="14843" width="8.6640625" style="2" customWidth="1"/>
    <col min="14844" max="14844" width="7.5546875" style="2" customWidth="1"/>
    <col min="14845" max="14845" width="9.44140625" style="2" customWidth="1"/>
    <col min="14846" max="14846" width="8" style="2" customWidth="1"/>
    <col min="14847" max="14847" width="9" style="2" customWidth="1"/>
    <col min="14848" max="14848" width="8.88671875" style="2" customWidth="1"/>
    <col min="14849" max="15087" width="11.44140625" style="2"/>
    <col min="15088" max="15088" width="14.44140625" style="2" customWidth="1"/>
    <col min="15089" max="15089" width="8" style="2" customWidth="1"/>
    <col min="15090" max="15090" width="4.6640625" style="2" customWidth="1"/>
    <col min="15091" max="15091" width="9.109375" style="2" customWidth="1"/>
    <col min="15092" max="15092" width="1.5546875" style="2" customWidth="1"/>
    <col min="15093" max="15093" width="5.44140625" style="2" customWidth="1"/>
    <col min="15094" max="15094" width="7.33203125" style="2" customWidth="1"/>
    <col min="15095" max="15095" width="8.33203125" style="2" customWidth="1"/>
    <col min="15096" max="15096" width="9.33203125" style="2" customWidth="1"/>
    <col min="15097" max="15097" width="7" style="2" customWidth="1"/>
    <col min="15098" max="15099" width="8.6640625" style="2" customWidth="1"/>
    <col min="15100" max="15100" width="7.5546875" style="2" customWidth="1"/>
    <col min="15101" max="15101" width="9.44140625" style="2" customWidth="1"/>
    <col min="15102" max="15102" width="8" style="2" customWidth="1"/>
    <col min="15103" max="15103" width="9" style="2" customWidth="1"/>
    <col min="15104" max="15104" width="8.88671875" style="2" customWidth="1"/>
    <col min="15105" max="15343" width="11.44140625" style="2"/>
    <col min="15344" max="15344" width="14.44140625" style="2" customWidth="1"/>
    <col min="15345" max="15345" width="8" style="2" customWidth="1"/>
    <col min="15346" max="15346" width="4.6640625" style="2" customWidth="1"/>
    <col min="15347" max="15347" width="9.109375" style="2" customWidth="1"/>
    <col min="15348" max="15348" width="1.5546875" style="2" customWidth="1"/>
    <col min="15349" max="15349" width="5.44140625" style="2" customWidth="1"/>
    <col min="15350" max="15350" width="7.33203125" style="2" customWidth="1"/>
    <col min="15351" max="15351" width="8.33203125" style="2" customWidth="1"/>
    <col min="15352" max="15352" width="9.33203125" style="2" customWidth="1"/>
    <col min="15353" max="15353" width="7" style="2" customWidth="1"/>
    <col min="15354" max="15355" width="8.6640625" style="2" customWidth="1"/>
    <col min="15356" max="15356" width="7.5546875" style="2" customWidth="1"/>
    <col min="15357" max="15357" width="9.44140625" style="2" customWidth="1"/>
    <col min="15358" max="15358" width="8" style="2" customWidth="1"/>
    <col min="15359" max="15359" width="9" style="2" customWidth="1"/>
    <col min="15360" max="15360" width="8.88671875" style="2" customWidth="1"/>
    <col min="15361" max="15599" width="11.44140625" style="2"/>
    <col min="15600" max="15600" width="14.44140625" style="2" customWidth="1"/>
    <col min="15601" max="15601" width="8" style="2" customWidth="1"/>
    <col min="15602" max="15602" width="4.6640625" style="2" customWidth="1"/>
    <col min="15603" max="15603" width="9.109375" style="2" customWidth="1"/>
    <col min="15604" max="15604" width="1.5546875" style="2" customWidth="1"/>
    <col min="15605" max="15605" width="5.44140625" style="2" customWidth="1"/>
    <col min="15606" max="15606" width="7.33203125" style="2" customWidth="1"/>
    <col min="15607" max="15607" width="8.33203125" style="2" customWidth="1"/>
    <col min="15608" max="15608" width="9.33203125" style="2" customWidth="1"/>
    <col min="15609" max="15609" width="7" style="2" customWidth="1"/>
    <col min="15610" max="15611" width="8.6640625" style="2" customWidth="1"/>
    <col min="15612" max="15612" width="7.5546875" style="2" customWidth="1"/>
    <col min="15613" max="15613" width="9.44140625" style="2" customWidth="1"/>
    <col min="15614" max="15614" width="8" style="2" customWidth="1"/>
    <col min="15615" max="15615" width="9" style="2" customWidth="1"/>
    <col min="15616" max="15616" width="8.88671875" style="2" customWidth="1"/>
    <col min="15617" max="15855" width="11.44140625" style="2"/>
    <col min="15856" max="15856" width="14.44140625" style="2" customWidth="1"/>
    <col min="15857" max="15857" width="8" style="2" customWidth="1"/>
    <col min="15858" max="15858" width="4.6640625" style="2" customWidth="1"/>
    <col min="15859" max="15859" width="9.109375" style="2" customWidth="1"/>
    <col min="15860" max="15860" width="1.5546875" style="2" customWidth="1"/>
    <col min="15861" max="15861" width="5.44140625" style="2" customWidth="1"/>
    <col min="15862" max="15862" width="7.33203125" style="2" customWidth="1"/>
    <col min="15863" max="15863" width="8.33203125" style="2" customWidth="1"/>
    <col min="15864" max="15864" width="9.33203125" style="2" customWidth="1"/>
    <col min="15865" max="15865" width="7" style="2" customWidth="1"/>
    <col min="15866" max="15867" width="8.6640625" style="2" customWidth="1"/>
    <col min="15868" max="15868" width="7.5546875" style="2" customWidth="1"/>
    <col min="15869" max="15869" width="9.44140625" style="2" customWidth="1"/>
    <col min="15870" max="15870" width="8" style="2" customWidth="1"/>
    <col min="15871" max="15871" width="9" style="2" customWidth="1"/>
    <col min="15872" max="15872" width="8.88671875" style="2" customWidth="1"/>
    <col min="15873" max="16111" width="11.44140625" style="2"/>
    <col min="16112" max="16112" width="14.44140625" style="2" customWidth="1"/>
    <col min="16113" max="16113" width="8" style="2" customWidth="1"/>
    <col min="16114" max="16114" width="4.6640625" style="2" customWidth="1"/>
    <col min="16115" max="16115" width="9.109375" style="2" customWidth="1"/>
    <col min="16116" max="16116" width="1.5546875" style="2" customWidth="1"/>
    <col min="16117" max="16117" width="5.44140625" style="2" customWidth="1"/>
    <col min="16118" max="16118" width="7.33203125" style="2" customWidth="1"/>
    <col min="16119" max="16119" width="8.33203125" style="2" customWidth="1"/>
    <col min="16120" max="16120" width="9.33203125" style="2" customWidth="1"/>
    <col min="16121" max="16121" width="7" style="2" customWidth="1"/>
    <col min="16122" max="16123" width="8.6640625" style="2" customWidth="1"/>
    <col min="16124" max="16124" width="7.5546875" style="2" customWidth="1"/>
    <col min="16125" max="16125" width="9.44140625" style="2" customWidth="1"/>
    <col min="16126" max="16126" width="8" style="2" customWidth="1"/>
    <col min="16127" max="16127" width="9" style="2" customWidth="1"/>
    <col min="16128" max="16128" width="8.88671875" style="2" customWidth="1"/>
    <col min="16129" max="16367" width="11.44140625" style="2"/>
    <col min="16368" max="16384" width="11.44140625" style="2" customWidth="1"/>
  </cols>
  <sheetData>
    <row r="1" spans="1:1" x14ac:dyDescent="0.25">
      <c r="A1" s="1" t="s">
        <v>114</v>
      </c>
    </row>
    <row r="20" spans="1:1" x14ac:dyDescent="0.25">
      <c r="A20" s="1"/>
    </row>
    <row r="26" spans="1:1" x14ac:dyDescent="0.25">
      <c r="A26" s="1"/>
    </row>
  </sheetData>
  <pageMargins left="0.75" right="0.75" top="1" bottom="1" header="0" footer="0"/>
  <pageSetup paperSize="9" orientation="portrait" horizontalDpi="300" verticalDpi="300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FD50-8988-4C8B-A9ED-8616BC581A69}">
  <dimension ref="A1:A18"/>
  <sheetViews>
    <sheetView zoomScaleNormal="100" workbookViewId="0">
      <selection activeCell="A2" sqref="A2"/>
    </sheetView>
  </sheetViews>
  <sheetFormatPr baseColWidth="10" defaultRowHeight="13.2" x14ac:dyDescent="0.25"/>
  <cols>
    <col min="1" max="4" width="11.44140625" style="2"/>
    <col min="5" max="5" width="9.6640625" style="2" bestFit="1" customWidth="1"/>
    <col min="6" max="6" width="8.109375" style="2" bestFit="1" customWidth="1"/>
    <col min="7" max="7" width="8.33203125" style="2" bestFit="1" customWidth="1"/>
    <col min="8" max="8" width="11.88671875" style="2" customWidth="1"/>
    <col min="9" max="260" width="11.44140625" style="2"/>
    <col min="261" max="261" width="9.6640625" style="2" bestFit="1" customWidth="1"/>
    <col min="262" max="262" width="8.109375" style="2" bestFit="1" customWidth="1"/>
    <col min="263" max="263" width="8.33203125" style="2" bestFit="1" customWidth="1"/>
    <col min="264" max="264" width="11.88671875" style="2" customWidth="1"/>
    <col min="265" max="516" width="11.44140625" style="2"/>
    <col min="517" max="517" width="9.6640625" style="2" bestFit="1" customWidth="1"/>
    <col min="518" max="518" width="8.109375" style="2" bestFit="1" customWidth="1"/>
    <col min="519" max="519" width="8.33203125" style="2" bestFit="1" customWidth="1"/>
    <col min="520" max="520" width="11.88671875" style="2" customWidth="1"/>
    <col min="521" max="772" width="11.44140625" style="2"/>
    <col min="773" max="773" width="9.6640625" style="2" bestFit="1" customWidth="1"/>
    <col min="774" max="774" width="8.109375" style="2" bestFit="1" customWidth="1"/>
    <col min="775" max="775" width="8.33203125" style="2" bestFit="1" customWidth="1"/>
    <col min="776" max="776" width="11.88671875" style="2" customWidth="1"/>
    <col min="777" max="1028" width="11.44140625" style="2"/>
    <col min="1029" max="1029" width="9.6640625" style="2" bestFit="1" customWidth="1"/>
    <col min="1030" max="1030" width="8.109375" style="2" bestFit="1" customWidth="1"/>
    <col min="1031" max="1031" width="8.33203125" style="2" bestFit="1" customWidth="1"/>
    <col min="1032" max="1032" width="11.88671875" style="2" customWidth="1"/>
    <col min="1033" max="1284" width="11.44140625" style="2"/>
    <col min="1285" max="1285" width="9.6640625" style="2" bestFit="1" customWidth="1"/>
    <col min="1286" max="1286" width="8.109375" style="2" bestFit="1" customWidth="1"/>
    <col min="1287" max="1287" width="8.33203125" style="2" bestFit="1" customWidth="1"/>
    <col min="1288" max="1288" width="11.88671875" style="2" customWidth="1"/>
    <col min="1289" max="1540" width="11.44140625" style="2"/>
    <col min="1541" max="1541" width="9.6640625" style="2" bestFit="1" customWidth="1"/>
    <col min="1542" max="1542" width="8.109375" style="2" bestFit="1" customWidth="1"/>
    <col min="1543" max="1543" width="8.33203125" style="2" bestFit="1" customWidth="1"/>
    <col min="1544" max="1544" width="11.88671875" style="2" customWidth="1"/>
    <col min="1545" max="1796" width="11.44140625" style="2"/>
    <col min="1797" max="1797" width="9.6640625" style="2" bestFit="1" customWidth="1"/>
    <col min="1798" max="1798" width="8.109375" style="2" bestFit="1" customWidth="1"/>
    <col min="1799" max="1799" width="8.33203125" style="2" bestFit="1" customWidth="1"/>
    <col min="1800" max="1800" width="11.88671875" style="2" customWidth="1"/>
    <col min="1801" max="2052" width="11.44140625" style="2"/>
    <col min="2053" max="2053" width="9.6640625" style="2" bestFit="1" customWidth="1"/>
    <col min="2054" max="2054" width="8.109375" style="2" bestFit="1" customWidth="1"/>
    <col min="2055" max="2055" width="8.33203125" style="2" bestFit="1" customWidth="1"/>
    <col min="2056" max="2056" width="11.88671875" style="2" customWidth="1"/>
    <col min="2057" max="2308" width="11.44140625" style="2"/>
    <col min="2309" max="2309" width="9.6640625" style="2" bestFit="1" customWidth="1"/>
    <col min="2310" max="2310" width="8.109375" style="2" bestFit="1" customWidth="1"/>
    <col min="2311" max="2311" width="8.33203125" style="2" bestFit="1" customWidth="1"/>
    <col min="2312" max="2312" width="11.88671875" style="2" customWidth="1"/>
    <col min="2313" max="2564" width="11.44140625" style="2"/>
    <col min="2565" max="2565" width="9.6640625" style="2" bestFit="1" customWidth="1"/>
    <col min="2566" max="2566" width="8.109375" style="2" bestFit="1" customWidth="1"/>
    <col min="2567" max="2567" width="8.33203125" style="2" bestFit="1" customWidth="1"/>
    <col min="2568" max="2568" width="11.88671875" style="2" customWidth="1"/>
    <col min="2569" max="2820" width="11.44140625" style="2"/>
    <col min="2821" max="2821" width="9.6640625" style="2" bestFit="1" customWidth="1"/>
    <col min="2822" max="2822" width="8.109375" style="2" bestFit="1" customWidth="1"/>
    <col min="2823" max="2823" width="8.33203125" style="2" bestFit="1" customWidth="1"/>
    <col min="2824" max="2824" width="11.88671875" style="2" customWidth="1"/>
    <col min="2825" max="3076" width="11.44140625" style="2"/>
    <col min="3077" max="3077" width="9.6640625" style="2" bestFit="1" customWidth="1"/>
    <col min="3078" max="3078" width="8.109375" style="2" bestFit="1" customWidth="1"/>
    <col min="3079" max="3079" width="8.33203125" style="2" bestFit="1" customWidth="1"/>
    <col min="3080" max="3080" width="11.88671875" style="2" customWidth="1"/>
    <col min="3081" max="3332" width="11.44140625" style="2"/>
    <col min="3333" max="3333" width="9.6640625" style="2" bestFit="1" customWidth="1"/>
    <col min="3334" max="3334" width="8.109375" style="2" bestFit="1" customWidth="1"/>
    <col min="3335" max="3335" width="8.33203125" style="2" bestFit="1" customWidth="1"/>
    <col min="3336" max="3336" width="11.88671875" style="2" customWidth="1"/>
    <col min="3337" max="3588" width="11.44140625" style="2"/>
    <col min="3589" max="3589" width="9.6640625" style="2" bestFit="1" customWidth="1"/>
    <col min="3590" max="3590" width="8.109375" style="2" bestFit="1" customWidth="1"/>
    <col min="3591" max="3591" width="8.33203125" style="2" bestFit="1" customWidth="1"/>
    <col min="3592" max="3592" width="11.88671875" style="2" customWidth="1"/>
    <col min="3593" max="3844" width="11.44140625" style="2"/>
    <col min="3845" max="3845" width="9.6640625" style="2" bestFit="1" customWidth="1"/>
    <col min="3846" max="3846" width="8.109375" style="2" bestFit="1" customWidth="1"/>
    <col min="3847" max="3847" width="8.33203125" style="2" bestFit="1" customWidth="1"/>
    <col min="3848" max="3848" width="11.88671875" style="2" customWidth="1"/>
    <col min="3849" max="4100" width="11.44140625" style="2"/>
    <col min="4101" max="4101" width="9.6640625" style="2" bestFit="1" customWidth="1"/>
    <col min="4102" max="4102" width="8.109375" style="2" bestFit="1" customWidth="1"/>
    <col min="4103" max="4103" width="8.33203125" style="2" bestFit="1" customWidth="1"/>
    <col min="4104" max="4104" width="11.88671875" style="2" customWidth="1"/>
    <col min="4105" max="4356" width="11.44140625" style="2"/>
    <col min="4357" max="4357" width="9.6640625" style="2" bestFit="1" customWidth="1"/>
    <col min="4358" max="4358" width="8.109375" style="2" bestFit="1" customWidth="1"/>
    <col min="4359" max="4359" width="8.33203125" style="2" bestFit="1" customWidth="1"/>
    <col min="4360" max="4360" width="11.88671875" style="2" customWidth="1"/>
    <col min="4361" max="4612" width="11.44140625" style="2"/>
    <col min="4613" max="4613" width="9.6640625" style="2" bestFit="1" customWidth="1"/>
    <col min="4614" max="4614" width="8.109375" style="2" bestFit="1" customWidth="1"/>
    <col min="4615" max="4615" width="8.33203125" style="2" bestFit="1" customWidth="1"/>
    <col min="4616" max="4616" width="11.88671875" style="2" customWidth="1"/>
    <col min="4617" max="4868" width="11.44140625" style="2"/>
    <col min="4869" max="4869" width="9.6640625" style="2" bestFit="1" customWidth="1"/>
    <col min="4870" max="4870" width="8.109375" style="2" bestFit="1" customWidth="1"/>
    <col min="4871" max="4871" width="8.33203125" style="2" bestFit="1" customWidth="1"/>
    <col min="4872" max="4872" width="11.88671875" style="2" customWidth="1"/>
    <col min="4873" max="5124" width="11.44140625" style="2"/>
    <col min="5125" max="5125" width="9.6640625" style="2" bestFit="1" customWidth="1"/>
    <col min="5126" max="5126" width="8.109375" style="2" bestFit="1" customWidth="1"/>
    <col min="5127" max="5127" width="8.33203125" style="2" bestFit="1" customWidth="1"/>
    <col min="5128" max="5128" width="11.88671875" style="2" customWidth="1"/>
    <col min="5129" max="5380" width="11.44140625" style="2"/>
    <col min="5381" max="5381" width="9.6640625" style="2" bestFit="1" customWidth="1"/>
    <col min="5382" max="5382" width="8.109375" style="2" bestFit="1" customWidth="1"/>
    <col min="5383" max="5383" width="8.33203125" style="2" bestFit="1" customWidth="1"/>
    <col min="5384" max="5384" width="11.88671875" style="2" customWidth="1"/>
    <col min="5385" max="5636" width="11.44140625" style="2"/>
    <col min="5637" max="5637" width="9.6640625" style="2" bestFit="1" customWidth="1"/>
    <col min="5638" max="5638" width="8.109375" style="2" bestFit="1" customWidth="1"/>
    <col min="5639" max="5639" width="8.33203125" style="2" bestFit="1" customWidth="1"/>
    <col min="5640" max="5640" width="11.88671875" style="2" customWidth="1"/>
    <col min="5641" max="5892" width="11.44140625" style="2"/>
    <col min="5893" max="5893" width="9.6640625" style="2" bestFit="1" customWidth="1"/>
    <col min="5894" max="5894" width="8.109375" style="2" bestFit="1" customWidth="1"/>
    <col min="5895" max="5895" width="8.33203125" style="2" bestFit="1" customWidth="1"/>
    <col min="5896" max="5896" width="11.88671875" style="2" customWidth="1"/>
    <col min="5897" max="6148" width="11.44140625" style="2"/>
    <col min="6149" max="6149" width="9.6640625" style="2" bestFit="1" customWidth="1"/>
    <col min="6150" max="6150" width="8.109375" style="2" bestFit="1" customWidth="1"/>
    <col min="6151" max="6151" width="8.33203125" style="2" bestFit="1" customWidth="1"/>
    <col min="6152" max="6152" width="11.88671875" style="2" customWidth="1"/>
    <col min="6153" max="6404" width="11.44140625" style="2"/>
    <col min="6405" max="6405" width="9.6640625" style="2" bestFit="1" customWidth="1"/>
    <col min="6406" max="6406" width="8.109375" style="2" bestFit="1" customWidth="1"/>
    <col min="6407" max="6407" width="8.33203125" style="2" bestFit="1" customWidth="1"/>
    <col min="6408" max="6408" width="11.88671875" style="2" customWidth="1"/>
    <col min="6409" max="6660" width="11.44140625" style="2"/>
    <col min="6661" max="6661" width="9.6640625" style="2" bestFit="1" customWidth="1"/>
    <col min="6662" max="6662" width="8.109375" style="2" bestFit="1" customWidth="1"/>
    <col min="6663" max="6663" width="8.33203125" style="2" bestFit="1" customWidth="1"/>
    <col min="6664" max="6664" width="11.88671875" style="2" customWidth="1"/>
    <col min="6665" max="6916" width="11.44140625" style="2"/>
    <col min="6917" max="6917" width="9.6640625" style="2" bestFit="1" customWidth="1"/>
    <col min="6918" max="6918" width="8.109375" style="2" bestFit="1" customWidth="1"/>
    <col min="6919" max="6919" width="8.33203125" style="2" bestFit="1" customWidth="1"/>
    <col min="6920" max="6920" width="11.88671875" style="2" customWidth="1"/>
    <col min="6921" max="7172" width="11.44140625" style="2"/>
    <col min="7173" max="7173" width="9.6640625" style="2" bestFit="1" customWidth="1"/>
    <col min="7174" max="7174" width="8.109375" style="2" bestFit="1" customWidth="1"/>
    <col min="7175" max="7175" width="8.33203125" style="2" bestFit="1" customWidth="1"/>
    <col min="7176" max="7176" width="11.88671875" style="2" customWidth="1"/>
    <col min="7177" max="7428" width="11.44140625" style="2"/>
    <col min="7429" max="7429" width="9.6640625" style="2" bestFit="1" customWidth="1"/>
    <col min="7430" max="7430" width="8.109375" style="2" bestFit="1" customWidth="1"/>
    <col min="7431" max="7431" width="8.33203125" style="2" bestFit="1" customWidth="1"/>
    <col min="7432" max="7432" width="11.88671875" style="2" customWidth="1"/>
    <col min="7433" max="7684" width="11.44140625" style="2"/>
    <col min="7685" max="7685" width="9.6640625" style="2" bestFit="1" customWidth="1"/>
    <col min="7686" max="7686" width="8.109375" style="2" bestFit="1" customWidth="1"/>
    <col min="7687" max="7687" width="8.33203125" style="2" bestFit="1" customWidth="1"/>
    <col min="7688" max="7688" width="11.88671875" style="2" customWidth="1"/>
    <col min="7689" max="7940" width="11.44140625" style="2"/>
    <col min="7941" max="7941" width="9.6640625" style="2" bestFit="1" customWidth="1"/>
    <col min="7942" max="7942" width="8.109375" style="2" bestFit="1" customWidth="1"/>
    <col min="7943" max="7943" width="8.33203125" style="2" bestFit="1" customWidth="1"/>
    <col min="7944" max="7944" width="11.88671875" style="2" customWidth="1"/>
    <col min="7945" max="8196" width="11.44140625" style="2"/>
    <col min="8197" max="8197" width="9.6640625" style="2" bestFit="1" customWidth="1"/>
    <col min="8198" max="8198" width="8.109375" style="2" bestFit="1" customWidth="1"/>
    <col min="8199" max="8199" width="8.33203125" style="2" bestFit="1" customWidth="1"/>
    <col min="8200" max="8200" width="11.88671875" style="2" customWidth="1"/>
    <col min="8201" max="8452" width="11.44140625" style="2"/>
    <col min="8453" max="8453" width="9.6640625" style="2" bestFit="1" customWidth="1"/>
    <col min="8454" max="8454" width="8.109375" style="2" bestFit="1" customWidth="1"/>
    <col min="8455" max="8455" width="8.33203125" style="2" bestFit="1" customWidth="1"/>
    <col min="8456" max="8456" width="11.88671875" style="2" customWidth="1"/>
    <col min="8457" max="8708" width="11.44140625" style="2"/>
    <col min="8709" max="8709" width="9.6640625" style="2" bestFit="1" customWidth="1"/>
    <col min="8710" max="8710" width="8.109375" style="2" bestFit="1" customWidth="1"/>
    <col min="8711" max="8711" width="8.33203125" style="2" bestFit="1" customWidth="1"/>
    <col min="8712" max="8712" width="11.88671875" style="2" customWidth="1"/>
    <col min="8713" max="8964" width="11.44140625" style="2"/>
    <col min="8965" max="8965" width="9.6640625" style="2" bestFit="1" customWidth="1"/>
    <col min="8966" max="8966" width="8.109375" style="2" bestFit="1" customWidth="1"/>
    <col min="8967" max="8967" width="8.33203125" style="2" bestFit="1" customWidth="1"/>
    <col min="8968" max="8968" width="11.88671875" style="2" customWidth="1"/>
    <col min="8969" max="9220" width="11.44140625" style="2"/>
    <col min="9221" max="9221" width="9.6640625" style="2" bestFit="1" customWidth="1"/>
    <col min="9222" max="9222" width="8.109375" style="2" bestFit="1" customWidth="1"/>
    <col min="9223" max="9223" width="8.33203125" style="2" bestFit="1" customWidth="1"/>
    <col min="9224" max="9224" width="11.88671875" style="2" customWidth="1"/>
    <col min="9225" max="9476" width="11.44140625" style="2"/>
    <col min="9477" max="9477" width="9.6640625" style="2" bestFit="1" customWidth="1"/>
    <col min="9478" max="9478" width="8.109375" style="2" bestFit="1" customWidth="1"/>
    <col min="9479" max="9479" width="8.33203125" style="2" bestFit="1" customWidth="1"/>
    <col min="9480" max="9480" width="11.88671875" style="2" customWidth="1"/>
    <col min="9481" max="9732" width="11.44140625" style="2"/>
    <col min="9733" max="9733" width="9.6640625" style="2" bestFit="1" customWidth="1"/>
    <col min="9734" max="9734" width="8.109375" style="2" bestFit="1" customWidth="1"/>
    <col min="9735" max="9735" width="8.33203125" style="2" bestFit="1" customWidth="1"/>
    <col min="9736" max="9736" width="11.88671875" style="2" customWidth="1"/>
    <col min="9737" max="9988" width="11.44140625" style="2"/>
    <col min="9989" max="9989" width="9.6640625" style="2" bestFit="1" customWidth="1"/>
    <col min="9990" max="9990" width="8.109375" style="2" bestFit="1" customWidth="1"/>
    <col min="9991" max="9991" width="8.33203125" style="2" bestFit="1" customWidth="1"/>
    <col min="9992" max="9992" width="11.88671875" style="2" customWidth="1"/>
    <col min="9993" max="10244" width="11.44140625" style="2"/>
    <col min="10245" max="10245" width="9.6640625" style="2" bestFit="1" customWidth="1"/>
    <col min="10246" max="10246" width="8.109375" style="2" bestFit="1" customWidth="1"/>
    <col min="10247" max="10247" width="8.33203125" style="2" bestFit="1" customWidth="1"/>
    <col min="10248" max="10248" width="11.88671875" style="2" customWidth="1"/>
    <col min="10249" max="10500" width="11.44140625" style="2"/>
    <col min="10501" max="10501" width="9.6640625" style="2" bestFit="1" customWidth="1"/>
    <col min="10502" max="10502" width="8.109375" style="2" bestFit="1" customWidth="1"/>
    <col min="10503" max="10503" width="8.33203125" style="2" bestFit="1" customWidth="1"/>
    <col min="10504" max="10504" width="11.88671875" style="2" customWidth="1"/>
    <col min="10505" max="10756" width="11.44140625" style="2"/>
    <col min="10757" max="10757" width="9.6640625" style="2" bestFit="1" customWidth="1"/>
    <col min="10758" max="10758" width="8.109375" style="2" bestFit="1" customWidth="1"/>
    <col min="10759" max="10759" width="8.33203125" style="2" bestFit="1" customWidth="1"/>
    <col min="10760" max="10760" width="11.88671875" style="2" customWidth="1"/>
    <col min="10761" max="11012" width="11.44140625" style="2"/>
    <col min="11013" max="11013" width="9.6640625" style="2" bestFit="1" customWidth="1"/>
    <col min="11014" max="11014" width="8.109375" style="2" bestFit="1" customWidth="1"/>
    <col min="11015" max="11015" width="8.33203125" style="2" bestFit="1" customWidth="1"/>
    <col min="11016" max="11016" width="11.88671875" style="2" customWidth="1"/>
    <col min="11017" max="11268" width="11.44140625" style="2"/>
    <col min="11269" max="11269" width="9.6640625" style="2" bestFit="1" customWidth="1"/>
    <col min="11270" max="11270" width="8.109375" style="2" bestFit="1" customWidth="1"/>
    <col min="11271" max="11271" width="8.33203125" style="2" bestFit="1" customWidth="1"/>
    <col min="11272" max="11272" width="11.88671875" style="2" customWidth="1"/>
    <col min="11273" max="11524" width="11.44140625" style="2"/>
    <col min="11525" max="11525" width="9.6640625" style="2" bestFit="1" customWidth="1"/>
    <col min="11526" max="11526" width="8.109375" style="2" bestFit="1" customWidth="1"/>
    <col min="11527" max="11527" width="8.33203125" style="2" bestFit="1" customWidth="1"/>
    <col min="11528" max="11528" width="11.88671875" style="2" customWidth="1"/>
    <col min="11529" max="11780" width="11.44140625" style="2"/>
    <col min="11781" max="11781" width="9.6640625" style="2" bestFit="1" customWidth="1"/>
    <col min="11782" max="11782" width="8.109375" style="2" bestFit="1" customWidth="1"/>
    <col min="11783" max="11783" width="8.33203125" style="2" bestFit="1" customWidth="1"/>
    <col min="11784" max="11784" width="11.88671875" style="2" customWidth="1"/>
    <col min="11785" max="12036" width="11.44140625" style="2"/>
    <col min="12037" max="12037" width="9.6640625" style="2" bestFit="1" customWidth="1"/>
    <col min="12038" max="12038" width="8.109375" style="2" bestFit="1" customWidth="1"/>
    <col min="12039" max="12039" width="8.33203125" style="2" bestFit="1" customWidth="1"/>
    <col min="12040" max="12040" width="11.88671875" style="2" customWidth="1"/>
    <col min="12041" max="12292" width="11.44140625" style="2"/>
    <col min="12293" max="12293" width="9.6640625" style="2" bestFit="1" customWidth="1"/>
    <col min="12294" max="12294" width="8.109375" style="2" bestFit="1" customWidth="1"/>
    <col min="12295" max="12295" width="8.33203125" style="2" bestFit="1" customWidth="1"/>
    <col min="12296" max="12296" width="11.88671875" style="2" customWidth="1"/>
    <col min="12297" max="12548" width="11.44140625" style="2"/>
    <col min="12549" max="12549" width="9.6640625" style="2" bestFit="1" customWidth="1"/>
    <col min="12550" max="12550" width="8.109375" style="2" bestFit="1" customWidth="1"/>
    <col min="12551" max="12551" width="8.33203125" style="2" bestFit="1" customWidth="1"/>
    <col min="12552" max="12552" width="11.88671875" style="2" customWidth="1"/>
    <col min="12553" max="12804" width="11.44140625" style="2"/>
    <col min="12805" max="12805" width="9.6640625" style="2" bestFit="1" customWidth="1"/>
    <col min="12806" max="12806" width="8.109375" style="2" bestFit="1" customWidth="1"/>
    <col min="12807" max="12807" width="8.33203125" style="2" bestFit="1" customWidth="1"/>
    <col min="12808" max="12808" width="11.88671875" style="2" customWidth="1"/>
    <col min="12809" max="13060" width="11.44140625" style="2"/>
    <col min="13061" max="13061" width="9.6640625" style="2" bestFit="1" customWidth="1"/>
    <col min="13062" max="13062" width="8.109375" style="2" bestFit="1" customWidth="1"/>
    <col min="13063" max="13063" width="8.33203125" style="2" bestFit="1" customWidth="1"/>
    <col min="13064" max="13064" width="11.88671875" style="2" customWidth="1"/>
    <col min="13065" max="13316" width="11.44140625" style="2"/>
    <col min="13317" max="13317" width="9.6640625" style="2" bestFit="1" customWidth="1"/>
    <col min="13318" max="13318" width="8.109375" style="2" bestFit="1" customWidth="1"/>
    <col min="13319" max="13319" width="8.33203125" style="2" bestFit="1" customWidth="1"/>
    <col min="13320" max="13320" width="11.88671875" style="2" customWidth="1"/>
    <col min="13321" max="13572" width="11.44140625" style="2"/>
    <col min="13573" max="13573" width="9.6640625" style="2" bestFit="1" customWidth="1"/>
    <col min="13574" max="13574" width="8.109375" style="2" bestFit="1" customWidth="1"/>
    <col min="13575" max="13575" width="8.33203125" style="2" bestFit="1" customWidth="1"/>
    <col min="13576" max="13576" width="11.88671875" style="2" customWidth="1"/>
    <col min="13577" max="13828" width="11.44140625" style="2"/>
    <col min="13829" max="13829" width="9.6640625" style="2" bestFit="1" customWidth="1"/>
    <col min="13830" max="13830" width="8.109375" style="2" bestFit="1" customWidth="1"/>
    <col min="13831" max="13831" width="8.33203125" style="2" bestFit="1" customWidth="1"/>
    <col min="13832" max="13832" width="11.88671875" style="2" customWidth="1"/>
    <col min="13833" max="14084" width="11.44140625" style="2"/>
    <col min="14085" max="14085" width="9.6640625" style="2" bestFit="1" customWidth="1"/>
    <col min="14086" max="14086" width="8.109375" style="2" bestFit="1" customWidth="1"/>
    <col min="14087" max="14087" width="8.33203125" style="2" bestFit="1" customWidth="1"/>
    <col min="14088" max="14088" width="11.88671875" style="2" customWidth="1"/>
    <col min="14089" max="14340" width="11.44140625" style="2"/>
    <col min="14341" max="14341" width="9.6640625" style="2" bestFit="1" customWidth="1"/>
    <col min="14342" max="14342" width="8.109375" style="2" bestFit="1" customWidth="1"/>
    <col min="14343" max="14343" width="8.33203125" style="2" bestFit="1" customWidth="1"/>
    <col min="14344" max="14344" width="11.88671875" style="2" customWidth="1"/>
    <col min="14345" max="14596" width="11.44140625" style="2"/>
    <col min="14597" max="14597" width="9.6640625" style="2" bestFit="1" customWidth="1"/>
    <col min="14598" max="14598" width="8.109375" style="2" bestFit="1" customWidth="1"/>
    <col min="14599" max="14599" width="8.33203125" style="2" bestFit="1" customWidth="1"/>
    <col min="14600" max="14600" width="11.88671875" style="2" customWidth="1"/>
    <col min="14601" max="14852" width="11.44140625" style="2"/>
    <col min="14853" max="14853" width="9.6640625" style="2" bestFit="1" customWidth="1"/>
    <col min="14854" max="14854" width="8.109375" style="2" bestFit="1" customWidth="1"/>
    <col min="14855" max="14855" width="8.33203125" style="2" bestFit="1" customWidth="1"/>
    <col min="14856" max="14856" width="11.88671875" style="2" customWidth="1"/>
    <col min="14857" max="15108" width="11.44140625" style="2"/>
    <col min="15109" max="15109" width="9.6640625" style="2" bestFit="1" customWidth="1"/>
    <col min="15110" max="15110" width="8.109375" style="2" bestFit="1" customWidth="1"/>
    <col min="15111" max="15111" width="8.33203125" style="2" bestFit="1" customWidth="1"/>
    <col min="15112" max="15112" width="11.88671875" style="2" customWidth="1"/>
    <col min="15113" max="15364" width="11.44140625" style="2"/>
    <col min="15365" max="15365" width="9.6640625" style="2" bestFit="1" customWidth="1"/>
    <col min="15366" max="15366" width="8.109375" style="2" bestFit="1" customWidth="1"/>
    <col min="15367" max="15367" width="8.33203125" style="2" bestFit="1" customWidth="1"/>
    <col min="15368" max="15368" width="11.88671875" style="2" customWidth="1"/>
    <col min="15369" max="15620" width="11.44140625" style="2"/>
    <col min="15621" max="15621" width="9.6640625" style="2" bestFit="1" customWidth="1"/>
    <col min="15622" max="15622" width="8.109375" style="2" bestFit="1" customWidth="1"/>
    <col min="15623" max="15623" width="8.33203125" style="2" bestFit="1" customWidth="1"/>
    <col min="15624" max="15624" width="11.88671875" style="2" customWidth="1"/>
    <col min="15625" max="15876" width="11.44140625" style="2"/>
    <col min="15877" max="15877" width="9.6640625" style="2" bestFit="1" customWidth="1"/>
    <col min="15878" max="15878" width="8.109375" style="2" bestFit="1" customWidth="1"/>
    <col min="15879" max="15879" width="8.33203125" style="2" bestFit="1" customWidth="1"/>
    <col min="15880" max="15880" width="11.88671875" style="2" customWidth="1"/>
    <col min="15881" max="16132" width="11.44140625" style="2"/>
    <col min="16133" max="16133" width="9.6640625" style="2" bestFit="1" customWidth="1"/>
    <col min="16134" max="16134" width="8.109375" style="2" bestFit="1" customWidth="1"/>
    <col min="16135" max="16135" width="8.33203125" style="2" bestFit="1" customWidth="1"/>
    <col min="16136" max="16136" width="11.88671875" style="2" customWidth="1"/>
    <col min="16137" max="16384" width="11.44140625" style="2"/>
  </cols>
  <sheetData>
    <row r="1" spans="1:1" ht="13.8" x14ac:dyDescent="0.25">
      <c r="A1" s="72" t="s">
        <v>156</v>
      </c>
    </row>
    <row r="2" spans="1:1" ht="13.8" x14ac:dyDescent="0.25">
      <c r="A2" s="72"/>
    </row>
    <row r="3" spans="1:1" ht="13.8" x14ac:dyDescent="0.25">
      <c r="A3" s="72"/>
    </row>
    <row r="4" spans="1:1" ht="13.8" x14ac:dyDescent="0.25">
      <c r="A4" s="72"/>
    </row>
    <row r="5" spans="1:1" ht="13.8" x14ac:dyDescent="0.25">
      <c r="A5" s="72"/>
    </row>
    <row r="6" spans="1:1" ht="13.8" x14ac:dyDescent="0.25">
      <c r="A6" s="72"/>
    </row>
    <row r="7" spans="1:1" ht="13.8" x14ac:dyDescent="0.25">
      <c r="A7" s="72"/>
    </row>
    <row r="8" spans="1:1" ht="13.8" x14ac:dyDescent="0.25">
      <c r="A8" s="72"/>
    </row>
    <row r="9" spans="1:1" ht="13.8" x14ac:dyDescent="0.25">
      <c r="A9" s="72"/>
    </row>
    <row r="10" spans="1:1" ht="13.8" x14ac:dyDescent="0.25">
      <c r="A10" s="72"/>
    </row>
    <row r="11" spans="1:1" ht="13.8" x14ac:dyDescent="0.25">
      <c r="A11" s="72"/>
    </row>
    <row r="12" spans="1:1" ht="13.8" x14ac:dyDescent="0.25">
      <c r="A12" s="72"/>
    </row>
    <row r="13" spans="1:1" ht="13.8" x14ac:dyDescent="0.25">
      <c r="A13" s="72"/>
    </row>
    <row r="14" spans="1:1" ht="13.8" x14ac:dyDescent="0.25">
      <c r="A14" s="72"/>
    </row>
    <row r="15" spans="1:1" ht="13.8" x14ac:dyDescent="0.25">
      <c r="A15" s="72"/>
    </row>
    <row r="16" spans="1:1" ht="13.8" x14ac:dyDescent="0.25">
      <c r="A16" s="72"/>
    </row>
    <row r="17" spans="1:1" ht="13.8" x14ac:dyDescent="0.25">
      <c r="A17" s="72"/>
    </row>
    <row r="18" spans="1:1" ht="13.8" x14ac:dyDescent="0.25">
      <c r="A18" s="72"/>
    </row>
  </sheetData>
  <pageMargins left="0.75" right="0.75" top="1" bottom="1" header="0" footer="0"/>
  <pageSetup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C4E83-557D-444B-BEBF-FBC475615DFE}">
  <dimension ref="A1:A37"/>
  <sheetViews>
    <sheetView zoomScaleNormal="100" workbookViewId="0">
      <selection activeCell="A2" sqref="A2"/>
    </sheetView>
  </sheetViews>
  <sheetFormatPr baseColWidth="10" defaultRowHeight="13.2" x14ac:dyDescent="0.25"/>
  <cols>
    <col min="1" max="4" width="11.44140625" style="2"/>
    <col min="5" max="5" width="9.109375" style="2" bestFit="1" customWidth="1"/>
    <col min="6" max="6" width="8.5546875" style="2" bestFit="1" customWidth="1"/>
    <col min="7" max="7" width="6.109375" style="2" bestFit="1" customWidth="1"/>
    <col min="8" max="8" width="8.33203125" style="2" bestFit="1" customWidth="1"/>
    <col min="9" max="9" width="11.88671875" style="2" customWidth="1"/>
    <col min="10" max="260" width="11.44140625" style="2"/>
    <col min="261" max="261" width="9.109375" style="2" bestFit="1" customWidth="1"/>
    <col min="262" max="262" width="8.5546875" style="2" bestFit="1" customWidth="1"/>
    <col min="263" max="263" width="6.109375" style="2" bestFit="1" customWidth="1"/>
    <col min="264" max="264" width="8.33203125" style="2" bestFit="1" customWidth="1"/>
    <col min="265" max="265" width="11.88671875" style="2" customWidth="1"/>
    <col min="266" max="516" width="11.44140625" style="2"/>
    <col min="517" max="517" width="9.109375" style="2" bestFit="1" customWidth="1"/>
    <col min="518" max="518" width="8.5546875" style="2" bestFit="1" customWidth="1"/>
    <col min="519" max="519" width="6.109375" style="2" bestFit="1" customWidth="1"/>
    <col min="520" max="520" width="8.33203125" style="2" bestFit="1" customWidth="1"/>
    <col min="521" max="521" width="11.88671875" style="2" customWidth="1"/>
    <col min="522" max="772" width="11.44140625" style="2"/>
    <col min="773" max="773" width="9.109375" style="2" bestFit="1" customWidth="1"/>
    <col min="774" max="774" width="8.5546875" style="2" bestFit="1" customWidth="1"/>
    <col min="775" max="775" width="6.109375" style="2" bestFit="1" customWidth="1"/>
    <col min="776" max="776" width="8.33203125" style="2" bestFit="1" customWidth="1"/>
    <col min="777" max="777" width="11.88671875" style="2" customWidth="1"/>
    <col min="778" max="1028" width="11.44140625" style="2"/>
    <col min="1029" max="1029" width="9.109375" style="2" bestFit="1" customWidth="1"/>
    <col min="1030" max="1030" width="8.5546875" style="2" bestFit="1" customWidth="1"/>
    <col min="1031" max="1031" width="6.109375" style="2" bestFit="1" customWidth="1"/>
    <col min="1032" max="1032" width="8.33203125" style="2" bestFit="1" customWidth="1"/>
    <col min="1033" max="1033" width="11.88671875" style="2" customWidth="1"/>
    <col min="1034" max="1284" width="11.44140625" style="2"/>
    <col min="1285" max="1285" width="9.109375" style="2" bestFit="1" customWidth="1"/>
    <col min="1286" max="1286" width="8.5546875" style="2" bestFit="1" customWidth="1"/>
    <col min="1287" max="1287" width="6.109375" style="2" bestFit="1" customWidth="1"/>
    <col min="1288" max="1288" width="8.33203125" style="2" bestFit="1" customWidth="1"/>
    <col min="1289" max="1289" width="11.88671875" style="2" customWidth="1"/>
    <col min="1290" max="1540" width="11.44140625" style="2"/>
    <col min="1541" max="1541" width="9.109375" style="2" bestFit="1" customWidth="1"/>
    <col min="1542" max="1542" width="8.5546875" style="2" bestFit="1" customWidth="1"/>
    <col min="1543" max="1543" width="6.109375" style="2" bestFit="1" customWidth="1"/>
    <col min="1544" max="1544" width="8.33203125" style="2" bestFit="1" customWidth="1"/>
    <col min="1545" max="1545" width="11.88671875" style="2" customWidth="1"/>
    <col min="1546" max="1796" width="11.44140625" style="2"/>
    <col min="1797" max="1797" width="9.109375" style="2" bestFit="1" customWidth="1"/>
    <col min="1798" max="1798" width="8.5546875" style="2" bestFit="1" customWidth="1"/>
    <col min="1799" max="1799" width="6.109375" style="2" bestFit="1" customWidth="1"/>
    <col min="1800" max="1800" width="8.33203125" style="2" bestFit="1" customWidth="1"/>
    <col min="1801" max="1801" width="11.88671875" style="2" customWidth="1"/>
    <col min="1802" max="2052" width="11.44140625" style="2"/>
    <col min="2053" max="2053" width="9.109375" style="2" bestFit="1" customWidth="1"/>
    <col min="2054" max="2054" width="8.5546875" style="2" bestFit="1" customWidth="1"/>
    <col min="2055" max="2055" width="6.109375" style="2" bestFit="1" customWidth="1"/>
    <col min="2056" max="2056" width="8.33203125" style="2" bestFit="1" customWidth="1"/>
    <col min="2057" max="2057" width="11.88671875" style="2" customWidth="1"/>
    <col min="2058" max="2308" width="11.44140625" style="2"/>
    <col min="2309" max="2309" width="9.109375" style="2" bestFit="1" customWidth="1"/>
    <col min="2310" max="2310" width="8.5546875" style="2" bestFit="1" customWidth="1"/>
    <col min="2311" max="2311" width="6.109375" style="2" bestFit="1" customWidth="1"/>
    <col min="2312" max="2312" width="8.33203125" style="2" bestFit="1" customWidth="1"/>
    <col min="2313" max="2313" width="11.88671875" style="2" customWidth="1"/>
    <col min="2314" max="2564" width="11.44140625" style="2"/>
    <col min="2565" max="2565" width="9.109375" style="2" bestFit="1" customWidth="1"/>
    <col min="2566" max="2566" width="8.5546875" style="2" bestFit="1" customWidth="1"/>
    <col min="2567" max="2567" width="6.109375" style="2" bestFit="1" customWidth="1"/>
    <col min="2568" max="2568" width="8.33203125" style="2" bestFit="1" customWidth="1"/>
    <col min="2569" max="2569" width="11.88671875" style="2" customWidth="1"/>
    <col min="2570" max="2820" width="11.44140625" style="2"/>
    <col min="2821" max="2821" width="9.109375" style="2" bestFit="1" customWidth="1"/>
    <col min="2822" max="2822" width="8.5546875" style="2" bestFit="1" customWidth="1"/>
    <col min="2823" max="2823" width="6.109375" style="2" bestFit="1" customWidth="1"/>
    <col min="2824" max="2824" width="8.33203125" style="2" bestFit="1" customWidth="1"/>
    <col min="2825" max="2825" width="11.88671875" style="2" customWidth="1"/>
    <col min="2826" max="3076" width="11.44140625" style="2"/>
    <col min="3077" max="3077" width="9.109375" style="2" bestFit="1" customWidth="1"/>
    <col min="3078" max="3078" width="8.5546875" style="2" bestFit="1" customWidth="1"/>
    <col min="3079" max="3079" width="6.109375" style="2" bestFit="1" customWidth="1"/>
    <col min="3080" max="3080" width="8.33203125" style="2" bestFit="1" customWidth="1"/>
    <col min="3081" max="3081" width="11.88671875" style="2" customWidth="1"/>
    <col min="3082" max="3332" width="11.44140625" style="2"/>
    <col min="3333" max="3333" width="9.109375" style="2" bestFit="1" customWidth="1"/>
    <col min="3334" max="3334" width="8.5546875" style="2" bestFit="1" customWidth="1"/>
    <col min="3335" max="3335" width="6.109375" style="2" bestFit="1" customWidth="1"/>
    <col min="3336" max="3336" width="8.33203125" style="2" bestFit="1" customWidth="1"/>
    <col min="3337" max="3337" width="11.88671875" style="2" customWidth="1"/>
    <col min="3338" max="3588" width="11.44140625" style="2"/>
    <col min="3589" max="3589" width="9.109375" style="2" bestFit="1" customWidth="1"/>
    <col min="3590" max="3590" width="8.5546875" style="2" bestFit="1" customWidth="1"/>
    <col min="3591" max="3591" width="6.109375" style="2" bestFit="1" customWidth="1"/>
    <col min="3592" max="3592" width="8.33203125" style="2" bestFit="1" customWidth="1"/>
    <col min="3593" max="3593" width="11.88671875" style="2" customWidth="1"/>
    <col min="3594" max="3844" width="11.44140625" style="2"/>
    <col min="3845" max="3845" width="9.109375" style="2" bestFit="1" customWidth="1"/>
    <col min="3846" max="3846" width="8.5546875" style="2" bestFit="1" customWidth="1"/>
    <col min="3847" max="3847" width="6.109375" style="2" bestFit="1" customWidth="1"/>
    <col min="3848" max="3848" width="8.33203125" style="2" bestFit="1" customWidth="1"/>
    <col min="3849" max="3849" width="11.88671875" style="2" customWidth="1"/>
    <col min="3850" max="4100" width="11.44140625" style="2"/>
    <col min="4101" max="4101" width="9.109375" style="2" bestFit="1" customWidth="1"/>
    <col min="4102" max="4102" width="8.5546875" style="2" bestFit="1" customWidth="1"/>
    <col min="4103" max="4103" width="6.109375" style="2" bestFit="1" customWidth="1"/>
    <col min="4104" max="4104" width="8.33203125" style="2" bestFit="1" customWidth="1"/>
    <col min="4105" max="4105" width="11.88671875" style="2" customWidth="1"/>
    <col min="4106" max="4356" width="11.44140625" style="2"/>
    <col min="4357" max="4357" width="9.109375" style="2" bestFit="1" customWidth="1"/>
    <col min="4358" max="4358" width="8.5546875" style="2" bestFit="1" customWidth="1"/>
    <col min="4359" max="4359" width="6.109375" style="2" bestFit="1" customWidth="1"/>
    <col min="4360" max="4360" width="8.33203125" style="2" bestFit="1" customWidth="1"/>
    <col min="4361" max="4361" width="11.88671875" style="2" customWidth="1"/>
    <col min="4362" max="4612" width="11.44140625" style="2"/>
    <col min="4613" max="4613" width="9.109375" style="2" bestFit="1" customWidth="1"/>
    <col min="4614" max="4614" width="8.5546875" style="2" bestFit="1" customWidth="1"/>
    <col min="4615" max="4615" width="6.109375" style="2" bestFit="1" customWidth="1"/>
    <col min="4616" max="4616" width="8.33203125" style="2" bestFit="1" customWidth="1"/>
    <col min="4617" max="4617" width="11.88671875" style="2" customWidth="1"/>
    <col min="4618" max="4868" width="11.44140625" style="2"/>
    <col min="4869" max="4869" width="9.109375" style="2" bestFit="1" customWidth="1"/>
    <col min="4870" max="4870" width="8.5546875" style="2" bestFit="1" customWidth="1"/>
    <col min="4871" max="4871" width="6.109375" style="2" bestFit="1" customWidth="1"/>
    <col min="4872" max="4872" width="8.33203125" style="2" bestFit="1" customWidth="1"/>
    <col min="4873" max="4873" width="11.88671875" style="2" customWidth="1"/>
    <col min="4874" max="5124" width="11.44140625" style="2"/>
    <col min="5125" max="5125" width="9.109375" style="2" bestFit="1" customWidth="1"/>
    <col min="5126" max="5126" width="8.5546875" style="2" bestFit="1" customWidth="1"/>
    <col min="5127" max="5127" width="6.109375" style="2" bestFit="1" customWidth="1"/>
    <col min="5128" max="5128" width="8.33203125" style="2" bestFit="1" customWidth="1"/>
    <col min="5129" max="5129" width="11.88671875" style="2" customWidth="1"/>
    <col min="5130" max="5380" width="11.44140625" style="2"/>
    <col min="5381" max="5381" width="9.109375" style="2" bestFit="1" customWidth="1"/>
    <col min="5382" max="5382" width="8.5546875" style="2" bestFit="1" customWidth="1"/>
    <col min="5383" max="5383" width="6.109375" style="2" bestFit="1" customWidth="1"/>
    <col min="5384" max="5384" width="8.33203125" style="2" bestFit="1" customWidth="1"/>
    <col min="5385" max="5385" width="11.88671875" style="2" customWidth="1"/>
    <col min="5386" max="5636" width="11.44140625" style="2"/>
    <col min="5637" max="5637" width="9.109375" style="2" bestFit="1" customWidth="1"/>
    <col min="5638" max="5638" width="8.5546875" style="2" bestFit="1" customWidth="1"/>
    <col min="5639" max="5639" width="6.109375" style="2" bestFit="1" customWidth="1"/>
    <col min="5640" max="5640" width="8.33203125" style="2" bestFit="1" customWidth="1"/>
    <col min="5641" max="5641" width="11.88671875" style="2" customWidth="1"/>
    <col min="5642" max="5892" width="11.44140625" style="2"/>
    <col min="5893" max="5893" width="9.109375" style="2" bestFit="1" customWidth="1"/>
    <col min="5894" max="5894" width="8.5546875" style="2" bestFit="1" customWidth="1"/>
    <col min="5895" max="5895" width="6.109375" style="2" bestFit="1" customWidth="1"/>
    <col min="5896" max="5896" width="8.33203125" style="2" bestFit="1" customWidth="1"/>
    <col min="5897" max="5897" width="11.88671875" style="2" customWidth="1"/>
    <col min="5898" max="6148" width="11.44140625" style="2"/>
    <col min="6149" max="6149" width="9.109375" style="2" bestFit="1" customWidth="1"/>
    <col min="6150" max="6150" width="8.5546875" style="2" bestFit="1" customWidth="1"/>
    <col min="6151" max="6151" width="6.109375" style="2" bestFit="1" customWidth="1"/>
    <col min="6152" max="6152" width="8.33203125" style="2" bestFit="1" customWidth="1"/>
    <col min="6153" max="6153" width="11.88671875" style="2" customWidth="1"/>
    <col min="6154" max="6404" width="11.44140625" style="2"/>
    <col min="6405" max="6405" width="9.109375" style="2" bestFit="1" customWidth="1"/>
    <col min="6406" max="6406" width="8.5546875" style="2" bestFit="1" customWidth="1"/>
    <col min="6407" max="6407" width="6.109375" style="2" bestFit="1" customWidth="1"/>
    <col min="6408" max="6408" width="8.33203125" style="2" bestFit="1" customWidth="1"/>
    <col min="6409" max="6409" width="11.88671875" style="2" customWidth="1"/>
    <col min="6410" max="6660" width="11.44140625" style="2"/>
    <col min="6661" max="6661" width="9.109375" style="2" bestFit="1" customWidth="1"/>
    <col min="6662" max="6662" width="8.5546875" style="2" bestFit="1" customWidth="1"/>
    <col min="6663" max="6663" width="6.109375" style="2" bestFit="1" customWidth="1"/>
    <col min="6664" max="6664" width="8.33203125" style="2" bestFit="1" customWidth="1"/>
    <col min="6665" max="6665" width="11.88671875" style="2" customWidth="1"/>
    <col min="6666" max="6916" width="11.44140625" style="2"/>
    <col min="6917" max="6917" width="9.109375" style="2" bestFit="1" customWidth="1"/>
    <col min="6918" max="6918" width="8.5546875" style="2" bestFit="1" customWidth="1"/>
    <col min="6919" max="6919" width="6.109375" style="2" bestFit="1" customWidth="1"/>
    <col min="6920" max="6920" width="8.33203125" style="2" bestFit="1" customWidth="1"/>
    <col min="6921" max="6921" width="11.88671875" style="2" customWidth="1"/>
    <col min="6922" max="7172" width="11.44140625" style="2"/>
    <col min="7173" max="7173" width="9.109375" style="2" bestFit="1" customWidth="1"/>
    <col min="7174" max="7174" width="8.5546875" style="2" bestFit="1" customWidth="1"/>
    <col min="7175" max="7175" width="6.109375" style="2" bestFit="1" customWidth="1"/>
    <col min="7176" max="7176" width="8.33203125" style="2" bestFit="1" customWidth="1"/>
    <col min="7177" max="7177" width="11.88671875" style="2" customWidth="1"/>
    <col min="7178" max="7428" width="11.44140625" style="2"/>
    <col min="7429" max="7429" width="9.109375" style="2" bestFit="1" customWidth="1"/>
    <col min="7430" max="7430" width="8.5546875" style="2" bestFit="1" customWidth="1"/>
    <col min="7431" max="7431" width="6.109375" style="2" bestFit="1" customWidth="1"/>
    <col min="7432" max="7432" width="8.33203125" style="2" bestFit="1" customWidth="1"/>
    <col min="7433" max="7433" width="11.88671875" style="2" customWidth="1"/>
    <col min="7434" max="7684" width="11.44140625" style="2"/>
    <col min="7685" max="7685" width="9.109375" style="2" bestFit="1" customWidth="1"/>
    <col min="7686" max="7686" width="8.5546875" style="2" bestFit="1" customWidth="1"/>
    <col min="7687" max="7687" width="6.109375" style="2" bestFit="1" customWidth="1"/>
    <col min="7688" max="7688" width="8.33203125" style="2" bestFit="1" customWidth="1"/>
    <col min="7689" max="7689" width="11.88671875" style="2" customWidth="1"/>
    <col min="7690" max="7940" width="11.44140625" style="2"/>
    <col min="7941" max="7941" width="9.109375" style="2" bestFit="1" customWidth="1"/>
    <col min="7942" max="7942" width="8.5546875" style="2" bestFit="1" customWidth="1"/>
    <col min="7943" max="7943" width="6.109375" style="2" bestFit="1" customWidth="1"/>
    <col min="7944" max="7944" width="8.33203125" style="2" bestFit="1" customWidth="1"/>
    <col min="7945" max="7945" width="11.88671875" style="2" customWidth="1"/>
    <col min="7946" max="8196" width="11.44140625" style="2"/>
    <col min="8197" max="8197" width="9.109375" style="2" bestFit="1" customWidth="1"/>
    <col min="8198" max="8198" width="8.5546875" style="2" bestFit="1" customWidth="1"/>
    <col min="8199" max="8199" width="6.109375" style="2" bestFit="1" customWidth="1"/>
    <col min="8200" max="8200" width="8.33203125" style="2" bestFit="1" customWidth="1"/>
    <col min="8201" max="8201" width="11.88671875" style="2" customWidth="1"/>
    <col min="8202" max="8452" width="11.44140625" style="2"/>
    <col min="8453" max="8453" width="9.109375" style="2" bestFit="1" customWidth="1"/>
    <col min="8454" max="8454" width="8.5546875" style="2" bestFit="1" customWidth="1"/>
    <col min="8455" max="8455" width="6.109375" style="2" bestFit="1" customWidth="1"/>
    <col min="8456" max="8456" width="8.33203125" style="2" bestFit="1" customWidth="1"/>
    <col min="8457" max="8457" width="11.88671875" style="2" customWidth="1"/>
    <col min="8458" max="8708" width="11.44140625" style="2"/>
    <col min="8709" max="8709" width="9.109375" style="2" bestFit="1" customWidth="1"/>
    <col min="8710" max="8710" width="8.5546875" style="2" bestFit="1" customWidth="1"/>
    <col min="8711" max="8711" width="6.109375" style="2" bestFit="1" customWidth="1"/>
    <col min="8712" max="8712" width="8.33203125" style="2" bestFit="1" customWidth="1"/>
    <col min="8713" max="8713" width="11.88671875" style="2" customWidth="1"/>
    <col min="8714" max="8964" width="11.44140625" style="2"/>
    <col min="8965" max="8965" width="9.109375" style="2" bestFit="1" customWidth="1"/>
    <col min="8966" max="8966" width="8.5546875" style="2" bestFit="1" customWidth="1"/>
    <col min="8967" max="8967" width="6.109375" style="2" bestFit="1" customWidth="1"/>
    <col min="8968" max="8968" width="8.33203125" style="2" bestFit="1" customWidth="1"/>
    <col min="8969" max="8969" width="11.88671875" style="2" customWidth="1"/>
    <col min="8970" max="9220" width="11.44140625" style="2"/>
    <col min="9221" max="9221" width="9.109375" style="2" bestFit="1" customWidth="1"/>
    <col min="9222" max="9222" width="8.5546875" style="2" bestFit="1" customWidth="1"/>
    <col min="9223" max="9223" width="6.109375" style="2" bestFit="1" customWidth="1"/>
    <col min="9224" max="9224" width="8.33203125" style="2" bestFit="1" customWidth="1"/>
    <col min="9225" max="9225" width="11.88671875" style="2" customWidth="1"/>
    <col min="9226" max="9476" width="11.44140625" style="2"/>
    <col min="9477" max="9477" width="9.109375" style="2" bestFit="1" customWidth="1"/>
    <col min="9478" max="9478" width="8.5546875" style="2" bestFit="1" customWidth="1"/>
    <col min="9479" max="9479" width="6.109375" style="2" bestFit="1" customWidth="1"/>
    <col min="9480" max="9480" width="8.33203125" style="2" bestFit="1" customWidth="1"/>
    <col min="9481" max="9481" width="11.88671875" style="2" customWidth="1"/>
    <col min="9482" max="9732" width="11.44140625" style="2"/>
    <col min="9733" max="9733" width="9.109375" style="2" bestFit="1" customWidth="1"/>
    <col min="9734" max="9734" width="8.5546875" style="2" bestFit="1" customWidth="1"/>
    <col min="9735" max="9735" width="6.109375" style="2" bestFit="1" customWidth="1"/>
    <col min="9736" max="9736" width="8.33203125" style="2" bestFit="1" customWidth="1"/>
    <col min="9737" max="9737" width="11.88671875" style="2" customWidth="1"/>
    <col min="9738" max="9988" width="11.44140625" style="2"/>
    <col min="9989" max="9989" width="9.109375" style="2" bestFit="1" customWidth="1"/>
    <col min="9990" max="9990" width="8.5546875" style="2" bestFit="1" customWidth="1"/>
    <col min="9991" max="9991" width="6.109375" style="2" bestFit="1" customWidth="1"/>
    <col min="9992" max="9992" width="8.33203125" style="2" bestFit="1" customWidth="1"/>
    <col min="9993" max="9993" width="11.88671875" style="2" customWidth="1"/>
    <col min="9994" max="10244" width="11.44140625" style="2"/>
    <col min="10245" max="10245" width="9.109375" style="2" bestFit="1" customWidth="1"/>
    <col min="10246" max="10246" width="8.5546875" style="2" bestFit="1" customWidth="1"/>
    <col min="10247" max="10247" width="6.109375" style="2" bestFit="1" customWidth="1"/>
    <col min="10248" max="10248" width="8.33203125" style="2" bestFit="1" customWidth="1"/>
    <col min="10249" max="10249" width="11.88671875" style="2" customWidth="1"/>
    <col min="10250" max="10500" width="11.44140625" style="2"/>
    <col min="10501" max="10501" width="9.109375" style="2" bestFit="1" customWidth="1"/>
    <col min="10502" max="10502" width="8.5546875" style="2" bestFit="1" customWidth="1"/>
    <col min="10503" max="10503" width="6.109375" style="2" bestFit="1" customWidth="1"/>
    <col min="10504" max="10504" width="8.33203125" style="2" bestFit="1" customWidth="1"/>
    <col min="10505" max="10505" width="11.88671875" style="2" customWidth="1"/>
    <col min="10506" max="10756" width="11.44140625" style="2"/>
    <col min="10757" max="10757" width="9.109375" style="2" bestFit="1" customWidth="1"/>
    <col min="10758" max="10758" width="8.5546875" style="2" bestFit="1" customWidth="1"/>
    <col min="10759" max="10759" width="6.109375" style="2" bestFit="1" customWidth="1"/>
    <col min="10760" max="10760" width="8.33203125" style="2" bestFit="1" customWidth="1"/>
    <col min="10761" max="10761" width="11.88671875" style="2" customWidth="1"/>
    <col min="10762" max="11012" width="11.44140625" style="2"/>
    <col min="11013" max="11013" width="9.109375" style="2" bestFit="1" customWidth="1"/>
    <col min="11014" max="11014" width="8.5546875" style="2" bestFit="1" customWidth="1"/>
    <col min="11015" max="11015" width="6.109375" style="2" bestFit="1" customWidth="1"/>
    <col min="11016" max="11016" width="8.33203125" style="2" bestFit="1" customWidth="1"/>
    <col min="11017" max="11017" width="11.88671875" style="2" customWidth="1"/>
    <col min="11018" max="11268" width="11.44140625" style="2"/>
    <col min="11269" max="11269" width="9.109375" style="2" bestFit="1" customWidth="1"/>
    <col min="11270" max="11270" width="8.5546875" style="2" bestFit="1" customWidth="1"/>
    <col min="11271" max="11271" width="6.109375" style="2" bestFit="1" customWidth="1"/>
    <col min="11272" max="11272" width="8.33203125" style="2" bestFit="1" customWidth="1"/>
    <col min="11273" max="11273" width="11.88671875" style="2" customWidth="1"/>
    <col min="11274" max="11524" width="11.44140625" style="2"/>
    <col min="11525" max="11525" width="9.109375" style="2" bestFit="1" customWidth="1"/>
    <col min="11526" max="11526" width="8.5546875" style="2" bestFit="1" customWidth="1"/>
    <col min="11527" max="11527" width="6.109375" style="2" bestFit="1" customWidth="1"/>
    <col min="11528" max="11528" width="8.33203125" style="2" bestFit="1" customWidth="1"/>
    <col min="11529" max="11529" width="11.88671875" style="2" customWidth="1"/>
    <col min="11530" max="11780" width="11.44140625" style="2"/>
    <col min="11781" max="11781" width="9.109375" style="2" bestFit="1" customWidth="1"/>
    <col min="11782" max="11782" width="8.5546875" style="2" bestFit="1" customWidth="1"/>
    <col min="11783" max="11783" width="6.109375" style="2" bestFit="1" customWidth="1"/>
    <col min="11784" max="11784" width="8.33203125" style="2" bestFit="1" customWidth="1"/>
    <col min="11785" max="11785" width="11.88671875" style="2" customWidth="1"/>
    <col min="11786" max="12036" width="11.44140625" style="2"/>
    <col min="12037" max="12037" width="9.109375" style="2" bestFit="1" customWidth="1"/>
    <col min="12038" max="12038" width="8.5546875" style="2" bestFit="1" customWidth="1"/>
    <col min="12039" max="12039" width="6.109375" style="2" bestFit="1" customWidth="1"/>
    <col min="12040" max="12040" width="8.33203125" style="2" bestFit="1" customWidth="1"/>
    <col min="12041" max="12041" width="11.88671875" style="2" customWidth="1"/>
    <col min="12042" max="12292" width="11.44140625" style="2"/>
    <col min="12293" max="12293" width="9.109375" style="2" bestFit="1" customWidth="1"/>
    <col min="12294" max="12294" width="8.5546875" style="2" bestFit="1" customWidth="1"/>
    <col min="12295" max="12295" width="6.109375" style="2" bestFit="1" customWidth="1"/>
    <col min="12296" max="12296" width="8.33203125" style="2" bestFit="1" customWidth="1"/>
    <col min="12297" max="12297" width="11.88671875" style="2" customWidth="1"/>
    <col min="12298" max="12548" width="11.44140625" style="2"/>
    <col min="12549" max="12549" width="9.109375" style="2" bestFit="1" customWidth="1"/>
    <col min="12550" max="12550" width="8.5546875" style="2" bestFit="1" customWidth="1"/>
    <col min="12551" max="12551" width="6.109375" style="2" bestFit="1" customWidth="1"/>
    <col min="12552" max="12552" width="8.33203125" style="2" bestFit="1" customWidth="1"/>
    <col min="12553" max="12553" width="11.88671875" style="2" customWidth="1"/>
    <col min="12554" max="12804" width="11.44140625" style="2"/>
    <col min="12805" max="12805" width="9.109375" style="2" bestFit="1" customWidth="1"/>
    <col min="12806" max="12806" width="8.5546875" style="2" bestFit="1" customWidth="1"/>
    <col min="12807" max="12807" width="6.109375" style="2" bestFit="1" customWidth="1"/>
    <col min="12808" max="12808" width="8.33203125" style="2" bestFit="1" customWidth="1"/>
    <col min="12809" max="12809" width="11.88671875" style="2" customWidth="1"/>
    <col min="12810" max="13060" width="11.44140625" style="2"/>
    <col min="13061" max="13061" width="9.109375" style="2" bestFit="1" customWidth="1"/>
    <col min="13062" max="13062" width="8.5546875" style="2" bestFit="1" customWidth="1"/>
    <col min="13063" max="13063" width="6.109375" style="2" bestFit="1" customWidth="1"/>
    <col min="13064" max="13064" width="8.33203125" style="2" bestFit="1" customWidth="1"/>
    <col min="13065" max="13065" width="11.88671875" style="2" customWidth="1"/>
    <col min="13066" max="13316" width="11.44140625" style="2"/>
    <col min="13317" max="13317" width="9.109375" style="2" bestFit="1" customWidth="1"/>
    <col min="13318" max="13318" width="8.5546875" style="2" bestFit="1" customWidth="1"/>
    <col min="13319" max="13319" width="6.109375" style="2" bestFit="1" customWidth="1"/>
    <col min="13320" max="13320" width="8.33203125" style="2" bestFit="1" customWidth="1"/>
    <col min="13321" max="13321" width="11.88671875" style="2" customWidth="1"/>
    <col min="13322" max="13572" width="11.44140625" style="2"/>
    <col min="13573" max="13573" width="9.109375" style="2" bestFit="1" customWidth="1"/>
    <col min="13574" max="13574" width="8.5546875" style="2" bestFit="1" customWidth="1"/>
    <col min="13575" max="13575" width="6.109375" style="2" bestFit="1" customWidth="1"/>
    <col min="13576" max="13576" width="8.33203125" style="2" bestFit="1" customWidth="1"/>
    <col min="13577" max="13577" width="11.88671875" style="2" customWidth="1"/>
    <col min="13578" max="13828" width="11.44140625" style="2"/>
    <col min="13829" max="13829" width="9.109375" style="2" bestFit="1" customWidth="1"/>
    <col min="13830" max="13830" width="8.5546875" style="2" bestFit="1" customWidth="1"/>
    <col min="13831" max="13831" width="6.109375" style="2" bestFit="1" customWidth="1"/>
    <col min="13832" max="13832" width="8.33203125" style="2" bestFit="1" customWidth="1"/>
    <col min="13833" max="13833" width="11.88671875" style="2" customWidth="1"/>
    <col min="13834" max="14084" width="11.44140625" style="2"/>
    <col min="14085" max="14085" width="9.109375" style="2" bestFit="1" customWidth="1"/>
    <col min="14086" max="14086" width="8.5546875" style="2" bestFit="1" customWidth="1"/>
    <col min="14087" max="14087" width="6.109375" style="2" bestFit="1" customWidth="1"/>
    <col min="14088" max="14088" width="8.33203125" style="2" bestFit="1" customWidth="1"/>
    <col min="14089" max="14089" width="11.88671875" style="2" customWidth="1"/>
    <col min="14090" max="14340" width="11.44140625" style="2"/>
    <col min="14341" max="14341" width="9.109375" style="2" bestFit="1" customWidth="1"/>
    <col min="14342" max="14342" width="8.5546875" style="2" bestFit="1" customWidth="1"/>
    <col min="14343" max="14343" width="6.109375" style="2" bestFit="1" customWidth="1"/>
    <col min="14344" max="14344" width="8.33203125" style="2" bestFit="1" customWidth="1"/>
    <col min="14345" max="14345" width="11.88671875" style="2" customWidth="1"/>
    <col min="14346" max="14596" width="11.44140625" style="2"/>
    <col min="14597" max="14597" width="9.109375" style="2" bestFit="1" customWidth="1"/>
    <col min="14598" max="14598" width="8.5546875" style="2" bestFit="1" customWidth="1"/>
    <col min="14599" max="14599" width="6.109375" style="2" bestFit="1" customWidth="1"/>
    <col min="14600" max="14600" width="8.33203125" style="2" bestFit="1" customWidth="1"/>
    <col min="14601" max="14601" width="11.88671875" style="2" customWidth="1"/>
    <col min="14602" max="14852" width="11.44140625" style="2"/>
    <col min="14853" max="14853" width="9.109375" style="2" bestFit="1" customWidth="1"/>
    <col min="14854" max="14854" width="8.5546875" style="2" bestFit="1" customWidth="1"/>
    <col min="14855" max="14855" width="6.109375" style="2" bestFit="1" customWidth="1"/>
    <col min="14856" max="14856" width="8.33203125" style="2" bestFit="1" customWidth="1"/>
    <col min="14857" max="14857" width="11.88671875" style="2" customWidth="1"/>
    <col min="14858" max="15108" width="11.44140625" style="2"/>
    <col min="15109" max="15109" width="9.109375" style="2" bestFit="1" customWidth="1"/>
    <col min="15110" max="15110" width="8.5546875" style="2" bestFit="1" customWidth="1"/>
    <col min="15111" max="15111" width="6.109375" style="2" bestFit="1" customWidth="1"/>
    <col min="15112" max="15112" width="8.33203125" style="2" bestFit="1" customWidth="1"/>
    <col min="15113" max="15113" width="11.88671875" style="2" customWidth="1"/>
    <col min="15114" max="15364" width="11.44140625" style="2"/>
    <col min="15365" max="15365" width="9.109375" style="2" bestFit="1" customWidth="1"/>
    <col min="15366" max="15366" width="8.5546875" style="2" bestFit="1" customWidth="1"/>
    <col min="15367" max="15367" width="6.109375" style="2" bestFit="1" customWidth="1"/>
    <col min="15368" max="15368" width="8.33203125" style="2" bestFit="1" customWidth="1"/>
    <col min="15369" max="15369" width="11.88671875" style="2" customWidth="1"/>
    <col min="15370" max="15620" width="11.44140625" style="2"/>
    <col min="15621" max="15621" width="9.109375" style="2" bestFit="1" customWidth="1"/>
    <col min="15622" max="15622" width="8.5546875" style="2" bestFit="1" customWidth="1"/>
    <col min="15623" max="15623" width="6.109375" style="2" bestFit="1" customWidth="1"/>
    <col min="15624" max="15624" width="8.33203125" style="2" bestFit="1" customWidth="1"/>
    <col min="15625" max="15625" width="11.88671875" style="2" customWidth="1"/>
    <col min="15626" max="15876" width="11.44140625" style="2"/>
    <col min="15877" max="15877" width="9.109375" style="2" bestFit="1" customWidth="1"/>
    <col min="15878" max="15878" width="8.5546875" style="2" bestFit="1" customWidth="1"/>
    <col min="15879" max="15879" width="6.109375" style="2" bestFit="1" customWidth="1"/>
    <col min="15880" max="15880" width="8.33203125" style="2" bestFit="1" customWidth="1"/>
    <col min="15881" max="15881" width="11.88671875" style="2" customWidth="1"/>
    <col min="15882" max="16132" width="11.44140625" style="2"/>
    <col min="16133" max="16133" width="9.109375" style="2" bestFit="1" customWidth="1"/>
    <col min="16134" max="16134" width="8.5546875" style="2" bestFit="1" customWidth="1"/>
    <col min="16135" max="16135" width="6.109375" style="2" bestFit="1" customWidth="1"/>
    <col min="16136" max="16136" width="8.33203125" style="2" bestFit="1" customWidth="1"/>
    <col min="16137" max="16137" width="11.88671875" style="2" customWidth="1"/>
    <col min="16138" max="16384" width="11.44140625" style="2"/>
  </cols>
  <sheetData>
    <row r="1" spans="1:1" x14ac:dyDescent="0.25">
      <c r="A1" s="1" t="s">
        <v>115</v>
      </c>
    </row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</sheetData>
  <pageMargins left="0.75" right="0.75" top="1" bottom="1" header="0" footer="0"/>
  <pageSetup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F0AF0-3A84-49F0-A775-B72643622776}">
  <dimension ref="A1"/>
  <sheetViews>
    <sheetView workbookViewId="0">
      <selection activeCell="A2" sqref="A2"/>
    </sheetView>
  </sheetViews>
  <sheetFormatPr baseColWidth="10" defaultColWidth="11.44140625" defaultRowHeight="13.2" x14ac:dyDescent="0.25"/>
  <cols>
    <col min="1" max="16384" width="11.44140625" style="2"/>
  </cols>
  <sheetData>
    <row r="1" spans="1:1" x14ac:dyDescent="0.25">
      <c r="A1" s="1" t="s">
        <v>116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B275F-2539-4344-A339-0051ABE3F924}">
  <dimension ref="A1:A47"/>
  <sheetViews>
    <sheetView workbookViewId="0">
      <selection activeCell="A2" sqref="A2"/>
    </sheetView>
  </sheetViews>
  <sheetFormatPr baseColWidth="10" defaultRowHeight="13.2" x14ac:dyDescent="0.25"/>
  <cols>
    <col min="1" max="4" width="11.44140625" style="2"/>
    <col min="5" max="5" width="9.109375" style="2" bestFit="1" customWidth="1"/>
    <col min="6" max="6" width="8.5546875" style="2" bestFit="1" customWidth="1"/>
    <col min="7" max="7" width="6.109375" style="2" bestFit="1" customWidth="1"/>
    <col min="8" max="8" width="8.33203125" style="2" bestFit="1" customWidth="1"/>
    <col min="9" max="9" width="11.88671875" style="2" customWidth="1"/>
    <col min="10" max="260" width="11.44140625" style="2"/>
    <col min="261" max="261" width="9.109375" style="2" bestFit="1" customWidth="1"/>
    <col min="262" max="262" width="8.5546875" style="2" bestFit="1" customWidth="1"/>
    <col min="263" max="263" width="6.109375" style="2" bestFit="1" customWidth="1"/>
    <col min="264" max="264" width="8.33203125" style="2" bestFit="1" customWidth="1"/>
    <col min="265" max="265" width="11.88671875" style="2" customWidth="1"/>
    <col min="266" max="516" width="11.44140625" style="2"/>
    <col min="517" max="517" width="9.109375" style="2" bestFit="1" customWidth="1"/>
    <col min="518" max="518" width="8.5546875" style="2" bestFit="1" customWidth="1"/>
    <col min="519" max="519" width="6.109375" style="2" bestFit="1" customWidth="1"/>
    <col min="520" max="520" width="8.33203125" style="2" bestFit="1" customWidth="1"/>
    <col min="521" max="521" width="11.88671875" style="2" customWidth="1"/>
    <col min="522" max="772" width="11.44140625" style="2"/>
    <col min="773" max="773" width="9.109375" style="2" bestFit="1" customWidth="1"/>
    <col min="774" max="774" width="8.5546875" style="2" bestFit="1" customWidth="1"/>
    <col min="775" max="775" width="6.109375" style="2" bestFit="1" customWidth="1"/>
    <col min="776" max="776" width="8.33203125" style="2" bestFit="1" customWidth="1"/>
    <col min="777" max="777" width="11.88671875" style="2" customWidth="1"/>
    <col min="778" max="1028" width="11.44140625" style="2"/>
    <col min="1029" max="1029" width="9.109375" style="2" bestFit="1" customWidth="1"/>
    <col min="1030" max="1030" width="8.5546875" style="2" bestFit="1" customWidth="1"/>
    <col min="1031" max="1031" width="6.109375" style="2" bestFit="1" customWidth="1"/>
    <col min="1032" max="1032" width="8.33203125" style="2" bestFit="1" customWidth="1"/>
    <col min="1033" max="1033" width="11.88671875" style="2" customWidth="1"/>
    <col min="1034" max="1284" width="11.44140625" style="2"/>
    <col min="1285" max="1285" width="9.109375" style="2" bestFit="1" customWidth="1"/>
    <col min="1286" max="1286" width="8.5546875" style="2" bestFit="1" customWidth="1"/>
    <col min="1287" max="1287" width="6.109375" style="2" bestFit="1" customWidth="1"/>
    <col min="1288" max="1288" width="8.33203125" style="2" bestFit="1" customWidth="1"/>
    <col min="1289" max="1289" width="11.88671875" style="2" customWidth="1"/>
    <col min="1290" max="1540" width="11.44140625" style="2"/>
    <col min="1541" max="1541" width="9.109375" style="2" bestFit="1" customWidth="1"/>
    <col min="1542" max="1542" width="8.5546875" style="2" bestFit="1" customWidth="1"/>
    <col min="1543" max="1543" width="6.109375" style="2" bestFit="1" customWidth="1"/>
    <col min="1544" max="1544" width="8.33203125" style="2" bestFit="1" customWidth="1"/>
    <col min="1545" max="1545" width="11.88671875" style="2" customWidth="1"/>
    <col min="1546" max="1796" width="11.44140625" style="2"/>
    <col min="1797" max="1797" width="9.109375" style="2" bestFit="1" customWidth="1"/>
    <col min="1798" max="1798" width="8.5546875" style="2" bestFit="1" customWidth="1"/>
    <col min="1799" max="1799" width="6.109375" style="2" bestFit="1" customWidth="1"/>
    <col min="1800" max="1800" width="8.33203125" style="2" bestFit="1" customWidth="1"/>
    <col min="1801" max="1801" width="11.88671875" style="2" customWidth="1"/>
    <col min="1802" max="2052" width="11.44140625" style="2"/>
    <col min="2053" max="2053" width="9.109375" style="2" bestFit="1" customWidth="1"/>
    <col min="2054" max="2054" width="8.5546875" style="2" bestFit="1" customWidth="1"/>
    <col min="2055" max="2055" width="6.109375" style="2" bestFit="1" customWidth="1"/>
    <col min="2056" max="2056" width="8.33203125" style="2" bestFit="1" customWidth="1"/>
    <col min="2057" max="2057" width="11.88671875" style="2" customWidth="1"/>
    <col min="2058" max="2308" width="11.44140625" style="2"/>
    <col min="2309" max="2309" width="9.109375" style="2" bestFit="1" customWidth="1"/>
    <col min="2310" max="2310" width="8.5546875" style="2" bestFit="1" customWidth="1"/>
    <col min="2311" max="2311" width="6.109375" style="2" bestFit="1" customWidth="1"/>
    <col min="2312" max="2312" width="8.33203125" style="2" bestFit="1" customWidth="1"/>
    <col min="2313" max="2313" width="11.88671875" style="2" customWidth="1"/>
    <col min="2314" max="2564" width="11.44140625" style="2"/>
    <col min="2565" max="2565" width="9.109375" style="2" bestFit="1" customWidth="1"/>
    <col min="2566" max="2566" width="8.5546875" style="2" bestFit="1" customWidth="1"/>
    <col min="2567" max="2567" width="6.109375" style="2" bestFit="1" customWidth="1"/>
    <col min="2568" max="2568" width="8.33203125" style="2" bestFit="1" customWidth="1"/>
    <col min="2569" max="2569" width="11.88671875" style="2" customWidth="1"/>
    <col min="2570" max="2820" width="11.44140625" style="2"/>
    <col min="2821" max="2821" width="9.109375" style="2" bestFit="1" customWidth="1"/>
    <col min="2822" max="2822" width="8.5546875" style="2" bestFit="1" customWidth="1"/>
    <col min="2823" max="2823" width="6.109375" style="2" bestFit="1" customWidth="1"/>
    <col min="2824" max="2824" width="8.33203125" style="2" bestFit="1" customWidth="1"/>
    <col min="2825" max="2825" width="11.88671875" style="2" customWidth="1"/>
    <col min="2826" max="3076" width="11.44140625" style="2"/>
    <col min="3077" max="3077" width="9.109375" style="2" bestFit="1" customWidth="1"/>
    <col min="3078" max="3078" width="8.5546875" style="2" bestFit="1" customWidth="1"/>
    <col min="3079" max="3079" width="6.109375" style="2" bestFit="1" customWidth="1"/>
    <col min="3080" max="3080" width="8.33203125" style="2" bestFit="1" customWidth="1"/>
    <col min="3081" max="3081" width="11.88671875" style="2" customWidth="1"/>
    <col min="3082" max="3332" width="11.44140625" style="2"/>
    <col min="3333" max="3333" width="9.109375" style="2" bestFit="1" customWidth="1"/>
    <col min="3334" max="3334" width="8.5546875" style="2" bestFit="1" customWidth="1"/>
    <col min="3335" max="3335" width="6.109375" style="2" bestFit="1" customWidth="1"/>
    <col min="3336" max="3336" width="8.33203125" style="2" bestFit="1" customWidth="1"/>
    <col min="3337" max="3337" width="11.88671875" style="2" customWidth="1"/>
    <col min="3338" max="3588" width="11.44140625" style="2"/>
    <col min="3589" max="3589" width="9.109375" style="2" bestFit="1" customWidth="1"/>
    <col min="3590" max="3590" width="8.5546875" style="2" bestFit="1" customWidth="1"/>
    <col min="3591" max="3591" width="6.109375" style="2" bestFit="1" customWidth="1"/>
    <col min="3592" max="3592" width="8.33203125" style="2" bestFit="1" customWidth="1"/>
    <col min="3593" max="3593" width="11.88671875" style="2" customWidth="1"/>
    <col min="3594" max="3844" width="11.44140625" style="2"/>
    <col min="3845" max="3845" width="9.109375" style="2" bestFit="1" customWidth="1"/>
    <col min="3846" max="3846" width="8.5546875" style="2" bestFit="1" customWidth="1"/>
    <col min="3847" max="3847" width="6.109375" style="2" bestFit="1" customWidth="1"/>
    <col min="3848" max="3848" width="8.33203125" style="2" bestFit="1" customWidth="1"/>
    <col min="3849" max="3849" width="11.88671875" style="2" customWidth="1"/>
    <col min="3850" max="4100" width="11.44140625" style="2"/>
    <col min="4101" max="4101" width="9.109375" style="2" bestFit="1" customWidth="1"/>
    <col min="4102" max="4102" width="8.5546875" style="2" bestFit="1" customWidth="1"/>
    <col min="4103" max="4103" width="6.109375" style="2" bestFit="1" customWidth="1"/>
    <col min="4104" max="4104" width="8.33203125" style="2" bestFit="1" customWidth="1"/>
    <col min="4105" max="4105" width="11.88671875" style="2" customWidth="1"/>
    <col min="4106" max="4356" width="11.44140625" style="2"/>
    <col min="4357" max="4357" width="9.109375" style="2" bestFit="1" customWidth="1"/>
    <col min="4358" max="4358" width="8.5546875" style="2" bestFit="1" customWidth="1"/>
    <col min="4359" max="4359" width="6.109375" style="2" bestFit="1" customWidth="1"/>
    <col min="4360" max="4360" width="8.33203125" style="2" bestFit="1" customWidth="1"/>
    <col min="4361" max="4361" width="11.88671875" style="2" customWidth="1"/>
    <col min="4362" max="4612" width="11.44140625" style="2"/>
    <col min="4613" max="4613" width="9.109375" style="2" bestFit="1" customWidth="1"/>
    <col min="4614" max="4614" width="8.5546875" style="2" bestFit="1" customWidth="1"/>
    <col min="4615" max="4615" width="6.109375" style="2" bestFit="1" customWidth="1"/>
    <col min="4616" max="4616" width="8.33203125" style="2" bestFit="1" customWidth="1"/>
    <col min="4617" max="4617" width="11.88671875" style="2" customWidth="1"/>
    <col min="4618" max="4868" width="11.44140625" style="2"/>
    <col min="4869" max="4869" width="9.109375" style="2" bestFit="1" customWidth="1"/>
    <col min="4870" max="4870" width="8.5546875" style="2" bestFit="1" customWidth="1"/>
    <col min="4871" max="4871" width="6.109375" style="2" bestFit="1" customWidth="1"/>
    <col min="4872" max="4872" width="8.33203125" style="2" bestFit="1" customWidth="1"/>
    <col min="4873" max="4873" width="11.88671875" style="2" customWidth="1"/>
    <col min="4874" max="5124" width="11.44140625" style="2"/>
    <col min="5125" max="5125" width="9.109375" style="2" bestFit="1" customWidth="1"/>
    <col min="5126" max="5126" width="8.5546875" style="2" bestFit="1" customWidth="1"/>
    <col min="5127" max="5127" width="6.109375" style="2" bestFit="1" customWidth="1"/>
    <col min="5128" max="5128" width="8.33203125" style="2" bestFit="1" customWidth="1"/>
    <col min="5129" max="5129" width="11.88671875" style="2" customWidth="1"/>
    <col min="5130" max="5380" width="11.44140625" style="2"/>
    <col min="5381" max="5381" width="9.109375" style="2" bestFit="1" customWidth="1"/>
    <col min="5382" max="5382" width="8.5546875" style="2" bestFit="1" customWidth="1"/>
    <col min="5383" max="5383" width="6.109375" style="2" bestFit="1" customWidth="1"/>
    <col min="5384" max="5384" width="8.33203125" style="2" bestFit="1" customWidth="1"/>
    <col min="5385" max="5385" width="11.88671875" style="2" customWidth="1"/>
    <col min="5386" max="5636" width="11.44140625" style="2"/>
    <col min="5637" max="5637" width="9.109375" style="2" bestFit="1" customWidth="1"/>
    <col min="5638" max="5638" width="8.5546875" style="2" bestFit="1" customWidth="1"/>
    <col min="5639" max="5639" width="6.109375" style="2" bestFit="1" customWidth="1"/>
    <col min="5640" max="5640" width="8.33203125" style="2" bestFit="1" customWidth="1"/>
    <col min="5641" max="5641" width="11.88671875" style="2" customWidth="1"/>
    <col min="5642" max="5892" width="11.44140625" style="2"/>
    <col min="5893" max="5893" width="9.109375" style="2" bestFit="1" customWidth="1"/>
    <col min="5894" max="5894" width="8.5546875" style="2" bestFit="1" customWidth="1"/>
    <col min="5895" max="5895" width="6.109375" style="2" bestFit="1" customWidth="1"/>
    <col min="5896" max="5896" width="8.33203125" style="2" bestFit="1" customWidth="1"/>
    <col min="5897" max="5897" width="11.88671875" style="2" customWidth="1"/>
    <col min="5898" max="6148" width="11.44140625" style="2"/>
    <col min="6149" max="6149" width="9.109375" style="2" bestFit="1" customWidth="1"/>
    <col min="6150" max="6150" width="8.5546875" style="2" bestFit="1" customWidth="1"/>
    <col min="6151" max="6151" width="6.109375" style="2" bestFit="1" customWidth="1"/>
    <col min="6152" max="6152" width="8.33203125" style="2" bestFit="1" customWidth="1"/>
    <col min="6153" max="6153" width="11.88671875" style="2" customWidth="1"/>
    <col min="6154" max="6404" width="11.44140625" style="2"/>
    <col min="6405" max="6405" width="9.109375" style="2" bestFit="1" customWidth="1"/>
    <col min="6406" max="6406" width="8.5546875" style="2" bestFit="1" customWidth="1"/>
    <col min="6407" max="6407" width="6.109375" style="2" bestFit="1" customWidth="1"/>
    <col min="6408" max="6408" width="8.33203125" style="2" bestFit="1" customWidth="1"/>
    <col min="6409" max="6409" width="11.88671875" style="2" customWidth="1"/>
    <col min="6410" max="6660" width="11.44140625" style="2"/>
    <col min="6661" max="6661" width="9.109375" style="2" bestFit="1" customWidth="1"/>
    <col min="6662" max="6662" width="8.5546875" style="2" bestFit="1" customWidth="1"/>
    <col min="6663" max="6663" width="6.109375" style="2" bestFit="1" customWidth="1"/>
    <col min="6664" max="6664" width="8.33203125" style="2" bestFit="1" customWidth="1"/>
    <col min="6665" max="6665" width="11.88671875" style="2" customWidth="1"/>
    <col min="6666" max="6916" width="11.44140625" style="2"/>
    <col min="6917" max="6917" width="9.109375" style="2" bestFit="1" customWidth="1"/>
    <col min="6918" max="6918" width="8.5546875" style="2" bestFit="1" customWidth="1"/>
    <col min="6919" max="6919" width="6.109375" style="2" bestFit="1" customWidth="1"/>
    <col min="6920" max="6920" width="8.33203125" style="2" bestFit="1" customWidth="1"/>
    <col min="6921" max="6921" width="11.88671875" style="2" customWidth="1"/>
    <col min="6922" max="7172" width="11.44140625" style="2"/>
    <col min="7173" max="7173" width="9.109375" style="2" bestFit="1" customWidth="1"/>
    <col min="7174" max="7174" width="8.5546875" style="2" bestFit="1" customWidth="1"/>
    <col min="7175" max="7175" width="6.109375" style="2" bestFit="1" customWidth="1"/>
    <col min="7176" max="7176" width="8.33203125" style="2" bestFit="1" customWidth="1"/>
    <col min="7177" max="7177" width="11.88671875" style="2" customWidth="1"/>
    <col min="7178" max="7428" width="11.44140625" style="2"/>
    <col min="7429" max="7429" width="9.109375" style="2" bestFit="1" customWidth="1"/>
    <col min="7430" max="7430" width="8.5546875" style="2" bestFit="1" customWidth="1"/>
    <col min="7431" max="7431" width="6.109375" style="2" bestFit="1" customWidth="1"/>
    <col min="7432" max="7432" width="8.33203125" style="2" bestFit="1" customWidth="1"/>
    <col min="7433" max="7433" width="11.88671875" style="2" customWidth="1"/>
    <col min="7434" max="7684" width="11.44140625" style="2"/>
    <col min="7685" max="7685" width="9.109375" style="2" bestFit="1" customWidth="1"/>
    <col min="7686" max="7686" width="8.5546875" style="2" bestFit="1" customWidth="1"/>
    <col min="7687" max="7687" width="6.109375" style="2" bestFit="1" customWidth="1"/>
    <col min="7688" max="7688" width="8.33203125" style="2" bestFit="1" customWidth="1"/>
    <col min="7689" max="7689" width="11.88671875" style="2" customWidth="1"/>
    <col min="7690" max="7940" width="11.44140625" style="2"/>
    <col min="7941" max="7941" width="9.109375" style="2" bestFit="1" customWidth="1"/>
    <col min="7942" max="7942" width="8.5546875" style="2" bestFit="1" customWidth="1"/>
    <col min="7943" max="7943" width="6.109375" style="2" bestFit="1" customWidth="1"/>
    <col min="7944" max="7944" width="8.33203125" style="2" bestFit="1" customWidth="1"/>
    <col min="7945" max="7945" width="11.88671875" style="2" customWidth="1"/>
    <col min="7946" max="8196" width="11.44140625" style="2"/>
    <col min="8197" max="8197" width="9.109375" style="2" bestFit="1" customWidth="1"/>
    <col min="8198" max="8198" width="8.5546875" style="2" bestFit="1" customWidth="1"/>
    <col min="8199" max="8199" width="6.109375" style="2" bestFit="1" customWidth="1"/>
    <col min="8200" max="8200" width="8.33203125" style="2" bestFit="1" customWidth="1"/>
    <col min="8201" max="8201" width="11.88671875" style="2" customWidth="1"/>
    <col min="8202" max="8452" width="11.44140625" style="2"/>
    <col min="8453" max="8453" width="9.109375" style="2" bestFit="1" customWidth="1"/>
    <col min="8454" max="8454" width="8.5546875" style="2" bestFit="1" customWidth="1"/>
    <col min="8455" max="8455" width="6.109375" style="2" bestFit="1" customWidth="1"/>
    <col min="8456" max="8456" width="8.33203125" style="2" bestFit="1" customWidth="1"/>
    <col min="8457" max="8457" width="11.88671875" style="2" customWidth="1"/>
    <col min="8458" max="8708" width="11.44140625" style="2"/>
    <col min="8709" max="8709" width="9.109375" style="2" bestFit="1" customWidth="1"/>
    <col min="8710" max="8710" width="8.5546875" style="2" bestFit="1" customWidth="1"/>
    <col min="8711" max="8711" width="6.109375" style="2" bestFit="1" customWidth="1"/>
    <col min="8712" max="8712" width="8.33203125" style="2" bestFit="1" customWidth="1"/>
    <col min="8713" max="8713" width="11.88671875" style="2" customWidth="1"/>
    <col min="8714" max="8964" width="11.44140625" style="2"/>
    <col min="8965" max="8965" width="9.109375" style="2" bestFit="1" customWidth="1"/>
    <col min="8966" max="8966" width="8.5546875" style="2" bestFit="1" customWidth="1"/>
    <col min="8967" max="8967" width="6.109375" style="2" bestFit="1" customWidth="1"/>
    <col min="8968" max="8968" width="8.33203125" style="2" bestFit="1" customWidth="1"/>
    <col min="8969" max="8969" width="11.88671875" style="2" customWidth="1"/>
    <col min="8970" max="9220" width="11.44140625" style="2"/>
    <col min="9221" max="9221" width="9.109375" style="2" bestFit="1" customWidth="1"/>
    <col min="9222" max="9222" width="8.5546875" style="2" bestFit="1" customWidth="1"/>
    <col min="9223" max="9223" width="6.109375" style="2" bestFit="1" customWidth="1"/>
    <col min="9224" max="9224" width="8.33203125" style="2" bestFit="1" customWidth="1"/>
    <col min="9225" max="9225" width="11.88671875" style="2" customWidth="1"/>
    <col min="9226" max="9476" width="11.44140625" style="2"/>
    <col min="9477" max="9477" width="9.109375" style="2" bestFit="1" customWidth="1"/>
    <col min="9478" max="9478" width="8.5546875" style="2" bestFit="1" customWidth="1"/>
    <col min="9479" max="9479" width="6.109375" style="2" bestFit="1" customWidth="1"/>
    <col min="9480" max="9480" width="8.33203125" style="2" bestFit="1" customWidth="1"/>
    <col min="9481" max="9481" width="11.88671875" style="2" customWidth="1"/>
    <col min="9482" max="9732" width="11.44140625" style="2"/>
    <col min="9733" max="9733" width="9.109375" style="2" bestFit="1" customWidth="1"/>
    <col min="9734" max="9734" width="8.5546875" style="2" bestFit="1" customWidth="1"/>
    <col min="9735" max="9735" width="6.109375" style="2" bestFit="1" customWidth="1"/>
    <col min="9736" max="9736" width="8.33203125" style="2" bestFit="1" customWidth="1"/>
    <col min="9737" max="9737" width="11.88671875" style="2" customWidth="1"/>
    <col min="9738" max="9988" width="11.44140625" style="2"/>
    <col min="9989" max="9989" width="9.109375" style="2" bestFit="1" customWidth="1"/>
    <col min="9990" max="9990" width="8.5546875" style="2" bestFit="1" customWidth="1"/>
    <col min="9991" max="9991" width="6.109375" style="2" bestFit="1" customWidth="1"/>
    <col min="9992" max="9992" width="8.33203125" style="2" bestFit="1" customWidth="1"/>
    <col min="9993" max="9993" width="11.88671875" style="2" customWidth="1"/>
    <col min="9994" max="10244" width="11.44140625" style="2"/>
    <col min="10245" max="10245" width="9.109375" style="2" bestFit="1" customWidth="1"/>
    <col min="10246" max="10246" width="8.5546875" style="2" bestFit="1" customWidth="1"/>
    <col min="10247" max="10247" width="6.109375" style="2" bestFit="1" customWidth="1"/>
    <col min="10248" max="10248" width="8.33203125" style="2" bestFit="1" customWidth="1"/>
    <col min="10249" max="10249" width="11.88671875" style="2" customWidth="1"/>
    <col min="10250" max="10500" width="11.44140625" style="2"/>
    <col min="10501" max="10501" width="9.109375" style="2" bestFit="1" customWidth="1"/>
    <col min="10502" max="10502" width="8.5546875" style="2" bestFit="1" customWidth="1"/>
    <col min="10503" max="10503" width="6.109375" style="2" bestFit="1" customWidth="1"/>
    <col min="10504" max="10504" width="8.33203125" style="2" bestFit="1" customWidth="1"/>
    <col min="10505" max="10505" width="11.88671875" style="2" customWidth="1"/>
    <col min="10506" max="10756" width="11.44140625" style="2"/>
    <col min="10757" max="10757" width="9.109375" style="2" bestFit="1" customWidth="1"/>
    <col min="10758" max="10758" width="8.5546875" style="2" bestFit="1" customWidth="1"/>
    <col min="10759" max="10759" width="6.109375" style="2" bestFit="1" customWidth="1"/>
    <col min="10760" max="10760" width="8.33203125" style="2" bestFit="1" customWidth="1"/>
    <col min="10761" max="10761" width="11.88671875" style="2" customWidth="1"/>
    <col min="10762" max="11012" width="11.44140625" style="2"/>
    <col min="11013" max="11013" width="9.109375" style="2" bestFit="1" customWidth="1"/>
    <col min="11014" max="11014" width="8.5546875" style="2" bestFit="1" customWidth="1"/>
    <col min="11015" max="11015" width="6.109375" style="2" bestFit="1" customWidth="1"/>
    <col min="11016" max="11016" width="8.33203125" style="2" bestFit="1" customWidth="1"/>
    <col min="11017" max="11017" width="11.88671875" style="2" customWidth="1"/>
    <col min="11018" max="11268" width="11.44140625" style="2"/>
    <col min="11269" max="11269" width="9.109375" style="2" bestFit="1" customWidth="1"/>
    <col min="11270" max="11270" width="8.5546875" style="2" bestFit="1" customWidth="1"/>
    <col min="11271" max="11271" width="6.109375" style="2" bestFit="1" customWidth="1"/>
    <col min="11272" max="11272" width="8.33203125" style="2" bestFit="1" customWidth="1"/>
    <col min="11273" max="11273" width="11.88671875" style="2" customWidth="1"/>
    <col min="11274" max="11524" width="11.44140625" style="2"/>
    <col min="11525" max="11525" width="9.109375" style="2" bestFit="1" customWidth="1"/>
    <col min="11526" max="11526" width="8.5546875" style="2" bestFit="1" customWidth="1"/>
    <col min="11527" max="11527" width="6.109375" style="2" bestFit="1" customWidth="1"/>
    <col min="11528" max="11528" width="8.33203125" style="2" bestFit="1" customWidth="1"/>
    <col min="11529" max="11529" width="11.88671875" style="2" customWidth="1"/>
    <col min="11530" max="11780" width="11.44140625" style="2"/>
    <col min="11781" max="11781" width="9.109375" style="2" bestFit="1" customWidth="1"/>
    <col min="11782" max="11782" width="8.5546875" style="2" bestFit="1" customWidth="1"/>
    <col min="11783" max="11783" width="6.109375" style="2" bestFit="1" customWidth="1"/>
    <col min="11784" max="11784" width="8.33203125" style="2" bestFit="1" customWidth="1"/>
    <col min="11785" max="11785" width="11.88671875" style="2" customWidth="1"/>
    <col min="11786" max="12036" width="11.44140625" style="2"/>
    <col min="12037" max="12037" width="9.109375" style="2" bestFit="1" customWidth="1"/>
    <col min="12038" max="12038" width="8.5546875" style="2" bestFit="1" customWidth="1"/>
    <col min="12039" max="12039" width="6.109375" style="2" bestFit="1" customWidth="1"/>
    <col min="12040" max="12040" width="8.33203125" style="2" bestFit="1" customWidth="1"/>
    <col min="12041" max="12041" width="11.88671875" style="2" customWidth="1"/>
    <col min="12042" max="12292" width="11.44140625" style="2"/>
    <col min="12293" max="12293" width="9.109375" style="2" bestFit="1" customWidth="1"/>
    <col min="12294" max="12294" width="8.5546875" style="2" bestFit="1" customWidth="1"/>
    <col min="12295" max="12295" width="6.109375" style="2" bestFit="1" customWidth="1"/>
    <col min="12296" max="12296" width="8.33203125" style="2" bestFit="1" customWidth="1"/>
    <col min="12297" max="12297" width="11.88671875" style="2" customWidth="1"/>
    <col min="12298" max="12548" width="11.44140625" style="2"/>
    <col min="12549" max="12549" width="9.109375" style="2" bestFit="1" customWidth="1"/>
    <col min="12550" max="12550" width="8.5546875" style="2" bestFit="1" customWidth="1"/>
    <col min="12551" max="12551" width="6.109375" style="2" bestFit="1" customWidth="1"/>
    <col min="12552" max="12552" width="8.33203125" style="2" bestFit="1" customWidth="1"/>
    <col min="12553" max="12553" width="11.88671875" style="2" customWidth="1"/>
    <col min="12554" max="12804" width="11.44140625" style="2"/>
    <col min="12805" max="12805" width="9.109375" style="2" bestFit="1" customWidth="1"/>
    <col min="12806" max="12806" width="8.5546875" style="2" bestFit="1" customWidth="1"/>
    <col min="12807" max="12807" width="6.109375" style="2" bestFit="1" customWidth="1"/>
    <col min="12808" max="12808" width="8.33203125" style="2" bestFit="1" customWidth="1"/>
    <col min="12809" max="12809" width="11.88671875" style="2" customWidth="1"/>
    <col min="12810" max="13060" width="11.44140625" style="2"/>
    <col min="13061" max="13061" width="9.109375" style="2" bestFit="1" customWidth="1"/>
    <col min="13062" max="13062" width="8.5546875" style="2" bestFit="1" customWidth="1"/>
    <col min="13063" max="13063" width="6.109375" style="2" bestFit="1" customWidth="1"/>
    <col min="13064" max="13064" width="8.33203125" style="2" bestFit="1" customWidth="1"/>
    <col min="13065" max="13065" width="11.88671875" style="2" customWidth="1"/>
    <col min="13066" max="13316" width="11.44140625" style="2"/>
    <col min="13317" max="13317" width="9.109375" style="2" bestFit="1" customWidth="1"/>
    <col min="13318" max="13318" width="8.5546875" style="2" bestFit="1" customWidth="1"/>
    <col min="13319" max="13319" width="6.109375" style="2" bestFit="1" customWidth="1"/>
    <col min="13320" max="13320" width="8.33203125" style="2" bestFit="1" customWidth="1"/>
    <col min="13321" max="13321" width="11.88671875" style="2" customWidth="1"/>
    <col min="13322" max="13572" width="11.44140625" style="2"/>
    <col min="13573" max="13573" width="9.109375" style="2" bestFit="1" customWidth="1"/>
    <col min="13574" max="13574" width="8.5546875" style="2" bestFit="1" customWidth="1"/>
    <col min="13575" max="13575" width="6.109375" style="2" bestFit="1" customWidth="1"/>
    <col min="13576" max="13576" width="8.33203125" style="2" bestFit="1" customWidth="1"/>
    <col min="13577" max="13577" width="11.88671875" style="2" customWidth="1"/>
    <col min="13578" max="13828" width="11.44140625" style="2"/>
    <col min="13829" max="13829" width="9.109375" style="2" bestFit="1" customWidth="1"/>
    <col min="13830" max="13830" width="8.5546875" style="2" bestFit="1" customWidth="1"/>
    <col min="13831" max="13831" width="6.109375" style="2" bestFit="1" customWidth="1"/>
    <col min="13832" max="13832" width="8.33203125" style="2" bestFit="1" customWidth="1"/>
    <col min="13833" max="13833" width="11.88671875" style="2" customWidth="1"/>
    <col min="13834" max="14084" width="11.44140625" style="2"/>
    <col min="14085" max="14085" width="9.109375" style="2" bestFit="1" customWidth="1"/>
    <col min="14086" max="14086" width="8.5546875" style="2" bestFit="1" customWidth="1"/>
    <col min="14087" max="14087" width="6.109375" style="2" bestFit="1" customWidth="1"/>
    <col min="14088" max="14088" width="8.33203125" style="2" bestFit="1" customWidth="1"/>
    <col min="14089" max="14089" width="11.88671875" style="2" customWidth="1"/>
    <col min="14090" max="14340" width="11.44140625" style="2"/>
    <col min="14341" max="14341" width="9.109375" style="2" bestFit="1" customWidth="1"/>
    <col min="14342" max="14342" width="8.5546875" style="2" bestFit="1" customWidth="1"/>
    <col min="14343" max="14343" width="6.109375" style="2" bestFit="1" customWidth="1"/>
    <col min="14344" max="14344" width="8.33203125" style="2" bestFit="1" customWidth="1"/>
    <col min="14345" max="14345" width="11.88671875" style="2" customWidth="1"/>
    <col min="14346" max="14596" width="11.44140625" style="2"/>
    <col min="14597" max="14597" width="9.109375" style="2" bestFit="1" customWidth="1"/>
    <col min="14598" max="14598" width="8.5546875" style="2" bestFit="1" customWidth="1"/>
    <col min="14599" max="14599" width="6.109375" style="2" bestFit="1" customWidth="1"/>
    <col min="14600" max="14600" width="8.33203125" style="2" bestFit="1" customWidth="1"/>
    <col min="14601" max="14601" width="11.88671875" style="2" customWidth="1"/>
    <col min="14602" max="14852" width="11.44140625" style="2"/>
    <col min="14853" max="14853" width="9.109375" style="2" bestFit="1" customWidth="1"/>
    <col min="14854" max="14854" width="8.5546875" style="2" bestFit="1" customWidth="1"/>
    <col min="14855" max="14855" width="6.109375" style="2" bestFit="1" customWidth="1"/>
    <col min="14856" max="14856" width="8.33203125" style="2" bestFit="1" customWidth="1"/>
    <col min="14857" max="14857" width="11.88671875" style="2" customWidth="1"/>
    <col min="14858" max="15108" width="11.44140625" style="2"/>
    <col min="15109" max="15109" width="9.109375" style="2" bestFit="1" customWidth="1"/>
    <col min="15110" max="15110" width="8.5546875" style="2" bestFit="1" customWidth="1"/>
    <col min="15111" max="15111" width="6.109375" style="2" bestFit="1" customWidth="1"/>
    <col min="15112" max="15112" width="8.33203125" style="2" bestFit="1" customWidth="1"/>
    <col min="15113" max="15113" width="11.88671875" style="2" customWidth="1"/>
    <col min="15114" max="15364" width="11.44140625" style="2"/>
    <col min="15365" max="15365" width="9.109375" style="2" bestFit="1" customWidth="1"/>
    <col min="15366" max="15366" width="8.5546875" style="2" bestFit="1" customWidth="1"/>
    <col min="15367" max="15367" width="6.109375" style="2" bestFit="1" customWidth="1"/>
    <col min="15368" max="15368" width="8.33203125" style="2" bestFit="1" customWidth="1"/>
    <col min="15369" max="15369" width="11.88671875" style="2" customWidth="1"/>
    <col min="15370" max="15620" width="11.44140625" style="2"/>
    <col min="15621" max="15621" width="9.109375" style="2" bestFit="1" customWidth="1"/>
    <col min="15622" max="15622" width="8.5546875" style="2" bestFit="1" customWidth="1"/>
    <col min="15623" max="15623" width="6.109375" style="2" bestFit="1" customWidth="1"/>
    <col min="15624" max="15624" width="8.33203125" style="2" bestFit="1" customWidth="1"/>
    <col min="15625" max="15625" width="11.88671875" style="2" customWidth="1"/>
    <col min="15626" max="15876" width="11.44140625" style="2"/>
    <col min="15877" max="15877" width="9.109375" style="2" bestFit="1" customWidth="1"/>
    <col min="15878" max="15878" width="8.5546875" style="2" bestFit="1" customWidth="1"/>
    <col min="15879" max="15879" width="6.109375" style="2" bestFit="1" customWidth="1"/>
    <col min="15880" max="15880" width="8.33203125" style="2" bestFit="1" customWidth="1"/>
    <col min="15881" max="15881" width="11.88671875" style="2" customWidth="1"/>
    <col min="15882" max="16132" width="11.44140625" style="2"/>
    <col min="16133" max="16133" width="9.109375" style="2" bestFit="1" customWidth="1"/>
    <col min="16134" max="16134" width="8.5546875" style="2" bestFit="1" customWidth="1"/>
    <col min="16135" max="16135" width="6.109375" style="2" bestFit="1" customWidth="1"/>
    <col min="16136" max="16136" width="8.33203125" style="2" bestFit="1" customWidth="1"/>
    <col min="16137" max="16137" width="11.88671875" style="2" customWidth="1"/>
    <col min="16138" max="16384" width="11.44140625" style="2"/>
  </cols>
  <sheetData>
    <row r="1" spans="1:1" x14ac:dyDescent="0.25">
      <c r="A1" s="1" t="s">
        <v>117</v>
      </c>
    </row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</sheetData>
  <pageMargins left="0.75" right="0.75" top="1" bottom="1" header="0" footer="0"/>
  <pageSetup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50DAC-C039-432F-9DA6-F5C37AD74F4F}">
  <dimension ref="A1:F31"/>
  <sheetViews>
    <sheetView workbookViewId="0">
      <selection activeCell="A2" sqref="A2"/>
    </sheetView>
  </sheetViews>
  <sheetFormatPr baseColWidth="10" defaultColWidth="11.44140625" defaultRowHeight="13.2" x14ac:dyDescent="0.25"/>
  <cols>
    <col min="1" max="16384" width="11.44140625" style="2"/>
  </cols>
  <sheetData>
    <row r="1" spans="1:6" x14ac:dyDescent="0.25">
      <c r="A1" s="1" t="s">
        <v>157</v>
      </c>
    </row>
    <row r="2" spans="1:6" x14ac:dyDescent="0.25">
      <c r="A2" s="2" t="s">
        <v>118</v>
      </c>
    </row>
    <row r="3" spans="1:6" x14ac:dyDescent="0.25">
      <c r="A3" s="2" t="s">
        <v>119</v>
      </c>
    </row>
    <row r="4" spans="1:6" x14ac:dyDescent="0.25">
      <c r="A4" s="2" t="s">
        <v>120</v>
      </c>
    </row>
    <row r="5" spans="1:6" x14ac:dyDescent="0.25">
      <c r="A5" s="2" t="s">
        <v>121</v>
      </c>
      <c r="D5" s="73">
        <v>12</v>
      </c>
    </row>
    <row r="6" spans="1:6" x14ac:dyDescent="0.25">
      <c r="A6" s="2" t="s">
        <v>122</v>
      </c>
      <c r="D6" s="73">
        <v>30</v>
      </c>
    </row>
    <row r="7" spans="1:6" x14ac:dyDescent="0.25">
      <c r="A7" s="2" t="s">
        <v>123</v>
      </c>
      <c r="D7" s="73">
        <v>10</v>
      </c>
    </row>
    <row r="8" spans="1:6" x14ac:dyDescent="0.25">
      <c r="A8" s="2" t="s">
        <v>124</v>
      </c>
      <c r="D8" s="73">
        <v>20</v>
      </c>
    </row>
    <row r="9" spans="1:6" x14ac:dyDescent="0.25">
      <c r="A9" s="2" t="s">
        <v>125</v>
      </c>
      <c r="D9" s="73">
        <f>SUM(D5:D8)</f>
        <v>72</v>
      </c>
    </row>
    <row r="11" spans="1:6" x14ac:dyDescent="0.25">
      <c r="A11" s="2" t="s">
        <v>126</v>
      </c>
    </row>
    <row r="12" spans="1:6" x14ac:dyDescent="0.25">
      <c r="A12" s="2" t="s">
        <v>127</v>
      </c>
    </row>
    <row r="13" spans="1:6" x14ac:dyDescent="0.25">
      <c r="A13" s="2" t="s">
        <v>128</v>
      </c>
      <c r="D13" s="62"/>
      <c r="E13" s="62" t="s">
        <v>129</v>
      </c>
      <c r="F13" s="62" t="s">
        <v>130</v>
      </c>
    </row>
    <row r="14" spans="1:6" x14ac:dyDescent="0.25">
      <c r="A14" s="2" t="s">
        <v>131</v>
      </c>
      <c r="D14" s="62" t="s">
        <v>6</v>
      </c>
      <c r="E14" s="74">
        <v>5000</v>
      </c>
      <c r="F14" s="74">
        <v>7300</v>
      </c>
    </row>
    <row r="15" spans="1:6" x14ac:dyDescent="0.25">
      <c r="D15" s="62" t="s">
        <v>132</v>
      </c>
      <c r="E15" s="75">
        <v>60000</v>
      </c>
      <c r="F15" s="75">
        <v>87600</v>
      </c>
    </row>
    <row r="16" spans="1:6" x14ac:dyDescent="0.25">
      <c r="A16" s="2" t="s">
        <v>133</v>
      </c>
      <c r="D16" s="62" t="s">
        <v>6</v>
      </c>
      <c r="E16" s="74">
        <v>4000</v>
      </c>
      <c r="F16" s="74">
        <v>3800</v>
      </c>
    </row>
    <row r="17" spans="1:6" x14ac:dyDescent="0.25">
      <c r="D17" s="62" t="s">
        <v>132</v>
      </c>
      <c r="E17" s="75">
        <v>288000</v>
      </c>
      <c r="F17" s="75">
        <v>237600</v>
      </c>
    </row>
    <row r="19" spans="1:6" x14ac:dyDescent="0.25">
      <c r="A19" s="2" t="s">
        <v>134</v>
      </c>
    </row>
    <row r="20" spans="1:6" x14ac:dyDescent="0.25">
      <c r="A20" s="2" t="s">
        <v>135</v>
      </c>
    </row>
    <row r="21" spans="1:6" x14ac:dyDescent="0.25">
      <c r="A21" s="2" t="s">
        <v>136</v>
      </c>
    </row>
    <row r="22" spans="1:6" x14ac:dyDescent="0.25">
      <c r="A22" s="2" t="s">
        <v>137</v>
      </c>
    </row>
    <row r="23" spans="1:6" x14ac:dyDescent="0.25">
      <c r="A23" s="2" t="s">
        <v>138</v>
      </c>
    </row>
    <row r="24" spans="1:6" x14ac:dyDescent="0.25">
      <c r="A24" s="2" t="s">
        <v>139</v>
      </c>
    </row>
    <row r="25" spans="1:6" x14ac:dyDescent="0.25">
      <c r="A25" s="2" t="s">
        <v>140</v>
      </c>
    </row>
    <row r="26" spans="1:6" x14ac:dyDescent="0.25">
      <c r="A26" s="2" t="s">
        <v>141</v>
      </c>
    </row>
    <row r="27" spans="1:6" x14ac:dyDescent="0.25">
      <c r="A27" s="2" t="s">
        <v>142</v>
      </c>
    </row>
    <row r="28" spans="1:6" x14ac:dyDescent="0.25">
      <c r="A28" s="2" t="s">
        <v>143</v>
      </c>
    </row>
    <row r="29" spans="1:6" x14ac:dyDescent="0.25">
      <c r="A29" s="2" t="s">
        <v>144</v>
      </c>
    </row>
    <row r="30" spans="1:6" x14ac:dyDescent="0.25">
      <c r="A30" s="2" t="s">
        <v>145</v>
      </c>
    </row>
    <row r="31" spans="1:6" x14ac:dyDescent="0.25">
      <c r="A31" s="2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P01</vt:lpstr>
      <vt:lpstr>P02</vt:lpstr>
      <vt:lpstr>P03</vt:lpstr>
      <vt:lpstr>P04</vt:lpstr>
      <vt:lpstr>P05</vt:lpstr>
      <vt:lpstr>P06</vt:lpstr>
      <vt:lpstr>P07</vt:lpstr>
      <vt:lpstr>P08</vt:lpstr>
      <vt:lpstr>P09</vt:lpstr>
      <vt:lpstr>P10</vt:lpstr>
      <vt:lpstr>P11</vt:lpstr>
      <vt:lpstr>P12</vt:lpstr>
      <vt:lpstr>P13</vt:lpstr>
      <vt:lpstr>P14</vt:lpstr>
      <vt:lpstr>P15</vt:lpstr>
      <vt:lpstr>P16</vt:lpstr>
      <vt:lpstr>P17</vt:lpstr>
      <vt:lpstr>P18</vt:lpstr>
      <vt:lpstr>P19</vt:lpstr>
      <vt:lpstr>P20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Oria</dc:creator>
  <cp:lastModifiedBy>William Oria</cp:lastModifiedBy>
  <dcterms:created xsi:type="dcterms:W3CDTF">2020-06-08T14:09:21Z</dcterms:created>
  <dcterms:modified xsi:type="dcterms:W3CDTF">2025-10-01T21:03:01Z</dcterms:modified>
</cp:coreProperties>
</file>