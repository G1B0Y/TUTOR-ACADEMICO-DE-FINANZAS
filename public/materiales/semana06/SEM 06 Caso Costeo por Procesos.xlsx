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ISCO D TOSHIBA\WOCH DOCENCIA UNIV\UNIVERSIDAD UNI\FIIS UNI\PRE GRADO FIIS UNI\CICLO 2021 01 VIRTUAL\GE605U 2021 01 VIRTUAL\Semana 07\"/>
    </mc:Choice>
  </mc:AlternateContent>
  <xr:revisionPtr revIDLastSave="0" documentId="13_ncr:1_{AB6E68F3-7253-4E52-9FAF-53559381A427}" xr6:coauthVersionLast="46" xr6:coauthVersionMax="46" xr10:uidLastSave="{00000000-0000-0000-0000-000000000000}"/>
  <bookViews>
    <workbookView xWindow="-120" yWindow="-120" windowWidth="20730" windowHeight="11160" xr2:uid="{0F187B99-0BAE-4976-A934-30D2C078B413}"/>
  </bookViews>
  <sheets>
    <sheet name="Cas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6" i="1" l="1"/>
  <c r="L52" i="1"/>
  <c r="L18" i="1"/>
  <c r="M17" i="1"/>
  <c r="L17" i="1"/>
  <c r="M12" i="1"/>
  <c r="M11" i="1"/>
  <c r="M18" i="1" s="1"/>
  <c r="L11" i="1"/>
  <c r="G31" i="1"/>
  <c r="G30" i="1"/>
  <c r="G29" i="1"/>
  <c r="F30" i="1"/>
  <c r="F31" i="1"/>
  <c r="E30" i="1"/>
  <c r="F29" i="1"/>
  <c r="E31" i="1"/>
  <c r="D31" i="1"/>
  <c r="D30" i="1"/>
  <c r="E29" i="1"/>
  <c r="D29" i="1"/>
  <c r="M28" i="1"/>
  <c r="M24" i="1"/>
  <c r="L28" i="1"/>
  <c r="L24" i="1"/>
  <c r="D32" i="1" l="1"/>
  <c r="L38" i="1" s="1"/>
  <c r="E32" i="1"/>
  <c r="L40" i="1" s="1"/>
  <c r="L47" i="1" s="1"/>
  <c r="G32" i="1"/>
  <c r="F32" i="1"/>
  <c r="M38" i="1" s="1"/>
  <c r="M45" i="1" s="1"/>
  <c r="M40" i="1" l="1"/>
  <c r="M47" i="1" s="1"/>
  <c r="M39" i="1"/>
  <c r="M46" i="1" s="1"/>
  <c r="L45" i="1"/>
  <c r="L39" i="1"/>
  <c r="L41" i="1" s="1"/>
  <c r="M48" i="1" l="1"/>
  <c r="L46" i="1"/>
  <c r="L48" i="1" s="1"/>
  <c r="L43" i="1" l="1"/>
  <c r="L49" i="1"/>
  <c r="L50" i="1" l="1"/>
  <c r="M41" i="1"/>
  <c r="M43" i="1" l="1"/>
  <c r="M49" i="1"/>
  <c r="M50" i="1" l="1"/>
  <c r="M52" i="1" s="1"/>
</calcChain>
</file>

<file path=xl/sharedStrings.xml><?xml version="1.0" encoding="utf-8"?>
<sst xmlns="http://schemas.openxmlformats.org/spreadsheetml/2006/main" count="66" uniqueCount="50">
  <si>
    <t>CASO COSTEO POR PROCESOS CONTINUOS</t>
  </si>
  <si>
    <t>La empresa EMPAQUES muestra el flujo productivo por proceso</t>
  </si>
  <si>
    <t>continuo para el mes de marzo.</t>
  </si>
  <si>
    <t>Los costos registrado en el periodo de costeo fueron los siguientes (cifras en soles):</t>
  </si>
  <si>
    <t>Concepto</t>
  </si>
  <si>
    <t>Inventario inicial productos proceso:</t>
  </si>
  <si>
    <t xml:space="preserve">  Materiales directos</t>
  </si>
  <si>
    <t xml:space="preserve">  Mano de obra directa</t>
  </si>
  <si>
    <t xml:space="preserve">   Costos indirectos de fábrica</t>
  </si>
  <si>
    <t xml:space="preserve">   Materiales directos</t>
  </si>
  <si>
    <t xml:space="preserve">   Mano de obra directa</t>
  </si>
  <si>
    <t>CC Ensamble</t>
  </si>
  <si>
    <t>CC Enpaque</t>
  </si>
  <si>
    <t>Costos del periodo de costeo:</t>
  </si>
  <si>
    <t>CONCILIACION DE PRODUCCION EN UNIDADES</t>
  </si>
  <si>
    <t>COSTOS DEL PERIODO EN SOLES</t>
  </si>
  <si>
    <t>Unidades disponibles</t>
  </si>
  <si>
    <t>Unidades terminadas y trasnferidas</t>
  </si>
  <si>
    <t>Inventario final en proceso</t>
  </si>
  <si>
    <t>Unidades defectuosas</t>
  </si>
  <si>
    <t>Unidades procesadas</t>
  </si>
  <si>
    <t>Inventario inicial en proceso (*)</t>
  </si>
  <si>
    <t>Inventario final en proceso (**)</t>
  </si>
  <si>
    <t>Unidades que inician el proceso</t>
  </si>
  <si>
    <t>GA CC (*)</t>
  </si>
  <si>
    <t>GA CC  (**)</t>
  </si>
  <si>
    <t>GA MD</t>
  </si>
  <si>
    <t>CC</t>
  </si>
  <si>
    <t>CMD</t>
  </si>
  <si>
    <t>Unidades terminadas y transferidas</t>
  </si>
  <si>
    <t>Defectuosos</t>
  </si>
  <si>
    <t>Total unidades equivalentes</t>
  </si>
  <si>
    <t>CALCULO DE LAS UNIDADES EQUIVALENTES</t>
  </si>
  <si>
    <t>CC ENSAMBLE</t>
  </si>
  <si>
    <t>CC EMPAQUE</t>
  </si>
  <si>
    <t>COSTOS UNITARIOS DEL PERIODO EN SOLES</t>
  </si>
  <si>
    <t>Costos centro costo anterior</t>
  </si>
  <si>
    <t>Costo unitario del centro de costo</t>
  </si>
  <si>
    <t>Materiales directos</t>
  </si>
  <si>
    <t>Mano de obra directa</t>
  </si>
  <si>
    <t>Costos indirectos de fábrica</t>
  </si>
  <si>
    <t>Costo del inventario inicial</t>
  </si>
  <si>
    <t>Costos del periodo</t>
  </si>
  <si>
    <t>Total Costos para Costeo</t>
  </si>
  <si>
    <t xml:space="preserve">   Mano obra directa</t>
  </si>
  <si>
    <t xml:space="preserve">   Costos indirectos de fabrica</t>
  </si>
  <si>
    <t>Costo inventario final en proceso</t>
  </si>
  <si>
    <t>Costos totales</t>
  </si>
  <si>
    <t>Inventario final en proceso:</t>
  </si>
  <si>
    <t>Costo unitario centro costo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</si>
</sst>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" xfId="0" applyFill="1" applyBorder="1"/>
    <xf numFmtId="3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1" fillId="2" borderId="10" xfId="0" applyFont="1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2" xfId="0" applyFont="1" applyFill="1" applyBorder="1"/>
    <xf numFmtId="0" fontId="0" fillId="2" borderId="10" xfId="0" applyFont="1" applyFill="1" applyBorder="1"/>
    <xf numFmtId="0" fontId="0" fillId="2" borderId="10" xfId="0" applyFill="1" applyBorder="1"/>
    <xf numFmtId="0" fontId="1" fillId="2" borderId="0" xfId="0" applyFont="1" applyFill="1" applyBorder="1"/>
    <xf numFmtId="0" fontId="1" fillId="2" borderId="6" xfId="0" applyFont="1" applyFill="1" applyBorder="1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0" fillId="2" borderId="13" xfId="0" applyNumberFormat="1" applyFill="1" applyBorder="1" applyAlignment="1">
      <alignment horizontal="center"/>
    </xf>
    <xf numFmtId="0" fontId="1" fillId="2" borderId="11" xfId="0" applyFont="1" applyFill="1" applyBorder="1"/>
    <xf numFmtId="0" fontId="1" fillId="2" borderId="12" xfId="0" applyFont="1" applyFill="1" applyBorder="1"/>
    <xf numFmtId="9" fontId="0" fillId="2" borderId="1" xfId="0" applyNumberFormat="1" applyFill="1" applyBorder="1" applyAlignment="1">
      <alignment horizontal="center"/>
    </xf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1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164" fontId="0" fillId="2" borderId="1" xfId="0" applyNumberFormat="1" applyFill="1" applyBorder="1" applyAlignment="1">
      <alignment horizontal="center"/>
    </xf>
    <xf numFmtId="0" fontId="1" fillId="2" borderId="7" xfId="0" applyFont="1" applyFill="1" applyBorder="1"/>
    <xf numFmtId="164" fontId="1" fillId="2" borderId="1" xfId="0" applyNumberFormat="1" applyFont="1" applyFill="1" applyBorder="1" applyAlignment="1">
      <alignment horizontal="center"/>
    </xf>
    <xf numFmtId="4" fontId="0" fillId="2" borderId="0" xfId="0" applyNumberFormat="1" applyFill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313619</xdr:colOff>
      <xdr:row>19</xdr:row>
      <xdr:rowOff>104333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A6517F-A415-4CA0-B118-46E38CE53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647619" cy="35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448E-84C8-4E93-ABE5-2FC74874FAF3}">
  <dimension ref="A1:M52"/>
  <sheetViews>
    <sheetView tabSelected="1" workbookViewId="0">
      <selection activeCell="M12" sqref="M12"/>
    </sheetView>
  </sheetViews>
  <sheetFormatPr baseColWidth="10" defaultRowHeight="15" x14ac:dyDescent="0.25"/>
  <cols>
    <col min="1" max="11" width="11.42578125" style="1"/>
    <col min="12" max="12" width="12.28515625" style="1" bestFit="1" customWidth="1"/>
    <col min="13" max="16384" width="11.42578125" style="1"/>
  </cols>
  <sheetData>
    <row r="1" spans="1:13" x14ac:dyDescent="0.25">
      <c r="A1" s="2" t="s">
        <v>0</v>
      </c>
      <c r="I1" s="1" t="s">
        <v>1</v>
      </c>
    </row>
    <row r="2" spans="1:13" x14ac:dyDescent="0.25">
      <c r="I2" s="1" t="s">
        <v>2</v>
      </c>
    </row>
    <row r="3" spans="1:13" x14ac:dyDescent="0.25">
      <c r="I3" s="1" t="s">
        <v>3</v>
      </c>
    </row>
    <row r="4" spans="1:13" x14ac:dyDescent="0.25">
      <c r="I4" s="2" t="s">
        <v>15</v>
      </c>
    </row>
    <row r="5" spans="1:13" x14ac:dyDescent="0.25">
      <c r="I5" s="33" t="s">
        <v>4</v>
      </c>
      <c r="J5" s="34"/>
      <c r="K5" s="35"/>
      <c r="L5" s="36" t="s">
        <v>11</v>
      </c>
      <c r="M5" s="36" t="s">
        <v>12</v>
      </c>
    </row>
    <row r="6" spans="1:13" x14ac:dyDescent="0.25">
      <c r="I6" s="4" t="s">
        <v>5</v>
      </c>
      <c r="J6" s="17"/>
      <c r="K6" s="18"/>
      <c r="L6" s="14"/>
      <c r="M6" s="14"/>
    </row>
    <row r="7" spans="1:13" x14ac:dyDescent="0.25">
      <c r="I7" s="10" t="s">
        <v>6</v>
      </c>
      <c r="J7" s="8"/>
      <c r="K7" s="9"/>
      <c r="L7" s="15">
        <v>3600</v>
      </c>
      <c r="M7" s="44">
        <v>750</v>
      </c>
    </row>
    <row r="8" spans="1:13" x14ac:dyDescent="0.25">
      <c r="I8" s="10" t="s">
        <v>7</v>
      </c>
      <c r="J8" s="8"/>
      <c r="K8" s="9"/>
      <c r="L8" s="16">
        <v>480</v>
      </c>
      <c r="M8" s="44">
        <v>120</v>
      </c>
    </row>
    <row r="9" spans="1:13" x14ac:dyDescent="0.25">
      <c r="I9" s="11" t="s">
        <v>8</v>
      </c>
      <c r="J9" s="12"/>
      <c r="K9" s="13"/>
      <c r="L9" s="16">
        <v>525</v>
      </c>
      <c r="M9" s="44">
        <v>105</v>
      </c>
    </row>
    <row r="10" spans="1:13" x14ac:dyDescent="0.25">
      <c r="I10" s="19" t="s">
        <v>36</v>
      </c>
      <c r="J10" s="20"/>
      <c r="K10" s="21"/>
      <c r="L10" s="28">
        <v>0</v>
      </c>
      <c r="M10" s="27">
        <v>3810</v>
      </c>
    </row>
    <row r="11" spans="1:13" x14ac:dyDescent="0.25">
      <c r="I11" s="41" t="s">
        <v>41</v>
      </c>
      <c r="J11" s="12"/>
      <c r="K11" s="13"/>
      <c r="L11" s="27">
        <f>SUM(L7:L10)</f>
        <v>4605</v>
      </c>
      <c r="M11" s="27">
        <f>SUM(M7:M10)</f>
        <v>4785</v>
      </c>
    </row>
    <row r="12" spans="1:13" x14ac:dyDescent="0.25">
      <c r="I12" s="19" t="s">
        <v>36</v>
      </c>
      <c r="J12" s="20"/>
      <c r="K12" s="21"/>
      <c r="L12" s="28">
        <v>0</v>
      </c>
      <c r="M12" s="27">
        <f>L43</f>
        <v>41158.07834441981</v>
      </c>
    </row>
    <row r="13" spans="1:13" x14ac:dyDescent="0.25">
      <c r="I13" s="7" t="s">
        <v>13</v>
      </c>
      <c r="J13" s="8"/>
      <c r="K13" s="9"/>
      <c r="L13" s="16"/>
      <c r="M13" s="16"/>
    </row>
    <row r="14" spans="1:13" x14ac:dyDescent="0.25">
      <c r="I14" s="10" t="s">
        <v>9</v>
      </c>
      <c r="J14" s="8"/>
      <c r="K14" s="9"/>
      <c r="L14" s="15">
        <v>21875</v>
      </c>
      <c r="M14" s="15">
        <v>8080.4</v>
      </c>
    </row>
    <row r="15" spans="1:13" x14ac:dyDescent="0.25">
      <c r="I15" s="10" t="s">
        <v>10</v>
      </c>
      <c r="J15" s="8"/>
      <c r="K15" s="9"/>
      <c r="L15" s="15">
        <v>12111</v>
      </c>
      <c r="M15" s="15">
        <v>14007.4</v>
      </c>
    </row>
    <row r="16" spans="1:13" x14ac:dyDescent="0.25">
      <c r="I16" s="11" t="s">
        <v>8</v>
      </c>
      <c r="J16" s="12"/>
      <c r="K16" s="13"/>
      <c r="L16" s="15">
        <v>13212</v>
      </c>
      <c r="M16" s="15">
        <v>12144.4</v>
      </c>
    </row>
    <row r="17" spans="1:13" x14ac:dyDescent="0.25">
      <c r="I17" s="19" t="s">
        <v>42</v>
      </c>
      <c r="J17" s="20"/>
      <c r="K17" s="21"/>
      <c r="L17" s="27">
        <f>SUM(L12:L16)</f>
        <v>47198</v>
      </c>
      <c r="M17" s="27">
        <f>SUM(M12:M16)</f>
        <v>75390.278344419814</v>
      </c>
    </row>
    <row r="18" spans="1:13" x14ac:dyDescent="0.25">
      <c r="I18" s="19" t="s">
        <v>43</v>
      </c>
      <c r="J18" s="20"/>
      <c r="K18" s="21"/>
      <c r="L18" s="27">
        <f>L11+L17</f>
        <v>51803</v>
      </c>
      <c r="M18" s="27">
        <f>M11+M17</f>
        <v>80175.278344419814</v>
      </c>
    </row>
    <row r="20" spans="1:13" x14ac:dyDescent="0.25">
      <c r="I20" s="2" t="s">
        <v>14</v>
      </c>
    </row>
    <row r="21" spans="1:13" x14ac:dyDescent="0.25">
      <c r="I21" s="33" t="s">
        <v>4</v>
      </c>
      <c r="J21" s="34"/>
      <c r="K21" s="35"/>
      <c r="L21" s="36" t="s">
        <v>11</v>
      </c>
      <c r="M21" s="36" t="s">
        <v>12</v>
      </c>
    </row>
    <row r="22" spans="1:13" x14ac:dyDescent="0.25">
      <c r="I22" s="22" t="s">
        <v>23</v>
      </c>
      <c r="J22" s="17"/>
      <c r="K22" s="18"/>
      <c r="L22" s="15">
        <v>17500</v>
      </c>
      <c r="M22" s="15">
        <v>16000</v>
      </c>
    </row>
    <row r="23" spans="1:13" x14ac:dyDescent="0.25">
      <c r="I23" s="24" t="s">
        <v>21</v>
      </c>
      <c r="J23" s="20"/>
      <c r="K23" s="21"/>
      <c r="L23" s="29">
        <v>3000</v>
      </c>
      <c r="M23" s="29">
        <v>1500</v>
      </c>
    </row>
    <row r="24" spans="1:13" x14ac:dyDescent="0.25">
      <c r="I24" s="19" t="s">
        <v>16</v>
      </c>
      <c r="J24" s="30"/>
      <c r="K24" s="31"/>
      <c r="L24" s="27">
        <f>L22+L23</f>
        <v>20500</v>
      </c>
      <c r="M24" s="27">
        <f>M22+M23</f>
        <v>17500</v>
      </c>
    </row>
    <row r="25" spans="1:13" x14ac:dyDescent="0.25">
      <c r="I25" s="24" t="s">
        <v>17</v>
      </c>
      <c r="J25" s="20"/>
      <c r="K25" s="21"/>
      <c r="L25" s="15">
        <v>16000</v>
      </c>
      <c r="M25" s="15">
        <v>17000</v>
      </c>
    </row>
    <row r="26" spans="1:13" x14ac:dyDescent="0.25">
      <c r="A26" s="2" t="s">
        <v>32</v>
      </c>
      <c r="I26" s="23" t="s">
        <v>22</v>
      </c>
      <c r="J26" s="20"/>
      <c r="K26" s="21"/>
      <c r="L26" s="15">
        <v>3500</v>
      </c>
      <c r="M26" s="15">
        <v>500</v>
      </c>
    </row>
    <row r="27" spans="1:13" x14ac:dyDescent="0.25">
      <c r="D27" s="46" t="s">
        <v>33</v>
      </c>
      <c r="E27" s="46"/>
      <c r="F27" s="46" t="s">
        <v>34</v>
      </c>
      <c r="G27" s="46"/>
      <c r="I27" s="23" t="s">
        <v>19</v>
      </c>
      <c r="J27" s="20"/>
      <c r="K27" s="21"/>
      <c r="L27" s="15">
        <v>1000</v>
      </c>
      <c r="M27" s="16">
        <v>0</v>
      </c>
    </row>
    <row r="28" spans="1:13" x14ac:dyDescent="0.25">
      <c r="A28" s="37" t="s">
        <v>4</v>
      </c>
      <c r="B28" s="38"/>
      <c r="C28" s="39"/>
      <c r="D28" s="28" t="s">
        <v>28</v>
      </c>
      <c r="E28" s="28" t="s">
        <v>27</v>
      </c>
      <c r="F28" s="28" t="s">
        <v>28</v>
      </c>
      <c r="G28" s="28" t="s">
        <v>27</v>
      </c>
      <c r="I28" s="19" t="s">
        <v>20</v>
      </c>
      <c r="J28" s="30"/>
      <c r="K28" s="31"/>
      <c r="L28" s="27">
        <f>SUM(L25:L27)</f>
        <v>20500</v>
      </c>
      <c r="M28" s="27">
        <f>SUM(M25:M27)</f>
        <v>17500</v>
      </c>
    </row>
    <row r="29" spans="1:13" x14ac:dyDescent="0.25">
      <c r="A29" s="24" t="s">
        <v>29</v>
      </c>
      <c r="B29" s="20"/>
      <c r="C29" s="21"/>
      <c r="D29" s="15">
        <f>L25</f>
        <v>16000</v>
      </c>
      <c r="E29" s="15">
        <f>L25</f>
        <v>16000</v>
      </c>
      <c r="F29" s="15">
        <f>M25</f>
        <v>17000</v>
      </c>
      <c r="G29" s="15">
        <f>M25</f>
        <v>17000</v>
      </c>
    </row>
    <row r="30" spans="1:13" x14ac:dyDescent="0.25">
      <c r="A30" s="24" t="s">
        <v>18</v>
      </c>
      <c r="B30" s="20"/>
      <c r="C30" s="21"/>
      <c r="D30" s="15">
        <f>L26</f>
        <v>3500</v>
      </c>
      <c r="E30" s="15">
        <f>L26*L31</f>
        <v>2800</v>
      </c>
      <c r="F30" s="15">
        <f>M26</f>
        <v>500</v>
      </c>
      <c r="G30" s="15">
        <f>M26*M31</f>
        <v>300</v>
      </c>
      <c r="K30" s="14" t="s">
        <v>24</v>
      </c>
      <c r="L30" s="32">
        <v>0.25</v>
      </c>
      <c r="M30" s="32">
        <v>0.1</v>
      </c>
    </row>
    <row r="31" spans="1:13" x14ac:dyDescent="0.25">
      <c r="A31" s="24" t="s">
        <v>30</v>
      </c>
      <c r="B31" s="20"/>
      <c r="C31" s="21"/>
      <c r="D31" s="15">
        <f>L27</f>
        <v>1000</v>
      </c>
      <c r="E31" s="15">
        <f>L27</f>
        <v>1000</v>
      </c>
      <c r="F31" s="15">
        <f>M27</f>
        <v>0</v>
      </c>
      <c r="G31" s="15">
        <f>M27</f>
        <v>0</v>
      </c>
      <c r="K31" s="14" t="s">
        <v>25</v>
      </c>
      <c r="L31" s="32">
        <v>0.8</v>
      </c>
      <c r="M31" s="32">
        <v>0.6</v>
      </c>
    </row>
    <row r="32" spans="1:13" x14ac:dyDescent="0.25">
      <c r="A32" s="19" t="s">
        <v>31</v>
      </c>
      <c r="B32" s="30"/>
      <c r="C32" s="31"/>
      <c r="D32" s="27">
        <f>SUM(D29:D31)</f>
        <v>20500</v>
      </c>
      <c r="E32" s="27">
        <f>SUM(E29:E31)</f>
        <v>19800</v>
      </c>
      <c r="F32" s="27">
        <f>SUM(F29:F31)</f>
        <v>17500</v>
      </c>
      <c r="G32" s="27">
        <f>SUM(G29:G31)</f>
        <v>17300</v>
      </c>
      <c r="K32" s="14" t="s">
        <v>26</v>
      </c>
      <c r="L32" s="32">
        <v>1</v>
      </c>
      <c r="M32" s="32">
        <v>1</v>
      </c>
    </row>
    <row r="33" spans="4:13" x14ac:dyDescent="0.25">
      <c r="D33" s="3"/>
      <c r="E33" s="3"/>
    </row>
    <row r="34" spans="4:13" x14ac:dyDescent="0.25">
      <c r="I34" s="2" t="s">
        <v>35</v>
      </c>
    </row>
    <row r="35" spans="4:13" x14ac:dyDescent="0.25">
      <c r="I35" s="33" t="s">
        <v>4</v>
      </c>
      <c r="J35" s="34"/>
      <c r="K35" s="35"/>
      <c r="L35" s="36" t="s">
        <v>11</v>
      </c>
      <c r="M35" s="36" t="s">
        <v>12</v>
      </c>
    </row>
    <row r="36" spans="4:13" x14ac:dyDescent="0.25">
      <c r="I36" s="4" t="s">
        <v>49</v>
      </c>
      <c r="J36" s="5"/>
      <c r="K36" s="6"/>
      <c r="L36" s="42">
        <v>0</v>
      </c>
      <c r="M36" s="42">
        <f>(M10+L43)/M28</f>
        <v>2.5696044768239892</v>
      </c>
    </row>
    <row r="37" spans="4:13" x14ac:dyDescent="0.25">
      <c r="I37" s="4" t="s">
        <v>37</v>
      </c>
      <c r="J37" s="17"/>
      <c r="K37" s="18"/>
      <c r="L37" s="40"/>
      <c r="M37" s="40"/>
    </row>
    <row r="38" spans="4:13" x14ac:dyDescent="0.25">
      <c r="I38" s="10" t="s">
        <v>38</v>
      </c>
      <c r="J38" s="8"/>
      <c r="K38" s="9"/>
      <c r="L38" s="40">
        <f>(L7+L14)/D32</f>
        <v>1.2426829268292683</v>
      </c>
      <c r="M38" s="40">
        <f>(M7+M14)/F32</f>
        <v>0.50459428571428566</v>
      </c>
    </row>
    <row r="39" spans="4:13" x14ac:dyDescent="0.25">
      <c r="I39" s="10" t="s">
        <v>39</v>
      </c>
      <c r="J39" s="8"/>
      <c r="K39" s="9"/>
      <c r="L39" s="40">
        <f>(L8+L15)/E32</f>
        <v>0.63590909090909087</v>
      </c>
      <c r="M39" s="40">
        <f>(M8+M15)/G32</f>
        <v>0.81661271676300573</v>
      </c>
    </row>
    <row r="40" spans="4:13" x14ac:dyDescent="0.25">
      <c r="I40" s="11" t="s">
        <v>40</v>
      </c>
      <c r="J40" s="12"/>
      <c r="K40" s="13"/>
      <c r="L40" s="40">
        <f>(L9+L16)/E32</f>
        <v>0.69378787878787884</v>
      </c>
      <c r="M40" s="40">
        <f>(M9+M16)/G32</f>
        <v>0.70805780346820812</v>
      </c>
    </row>
    <row r="41" spans="4:13" x14ac:dyDescent="0.25">
      <c r="I41" s="19" t="s">
        <v>37</v>
      </c>
      <c r="J41" s="20"/>
      <c r="K41" s="21"/>
      <c r="L41" s="42">
        <f>L36+SUM(L38:L40)</f>
        <v>2.5723798965262379</v>
      </c>
      <c r="M41" s="45">
        <f>M36+SUM(M38:M40)</f>
        <v>4.5988692827694884</v>
      </c>
    </row>
    <row r="42" spans="4:13" x14ac:dyDescent="0.25">
      <c r="I42" s="7" t="s">
        <v>47</v>
      </c>
      <c r="J42" s="8"/>
      <c r="K42" s="9"/>
      <c r="L42" s="40"/>
      <c r="M42" s="40"/>
    </row>
    <row r="43" spans="4:13" x14ac:dyDescent="0.25">
      <c r="I43" s="10" t="s">
        <v>29</v>
      </c>
      <c r="J43" s="8"/>
      <c r="K43" s="9"/>
      <c r="L43" s="40">
        <f>L41*L25</f>
        <v>41158.07834441981</v>
      </c>
      <c r="M43" s="40">
        <f>M41*M25</f>
        <v>78180.777807081307</v>
      </c>
    </row>
    <row r="44" spans="4:13" x14ac:dyDescent="0.25">
      <c r="I44" s="10" t="s">
        <v>48</v>
      </c>
      <c r="J44" s="8"/>
      <c r="K44" s="9"/>
      <c r="L44" s="40"/>
      <c r="M44" s="40"/>
    </row>
    <row r="45" spans="4:13" x14ac:dyDescent="0.25">
      <c r="I45" s="10" t="s">
        <v>9</v>
      </c>
      <c r="J45" s="8"/>
      <c r="K45" s="9"/>
      <c r="L45" s="40">
        <f>L38*L26*L32</f>
        <v>4349.3902439024387</v>
      </c>
      <c r="M45" s="40">
        <f>M26*L38+M26*M38*M32</f>
        <v>873.63860627177701</v>
      </c>
    </row>
    <row r="46" spans="4:13" x14ac:dyDescent="0.25">
      <c r="I46" s="10" t="s">
        <v>44</v>
      </c>
      <c r="J46" s="8"/>
      <c r="K46" s="9"/>
      <c r="L46" s="40">
        <f>L39*L26*L31</f>
        <v>1780.5454545454545</v>
      </c>
      <c r="M46" s="40">
        <f>M26*L39+M39*M26*M31</f>
        <v>562.93836048344713</v>
      </c>
    </row>
    <row r="47" spans="4:13" x14ac:dyDescent="0.25">
      <c r="I47" s="10" t="s">
        <v>45</v>
      </c>
      <c r="J47" s="8"/>
      <c r="K47" s="9"/>
      <c r="L47" s="40">
        <f>L40*L26*L31</f>
        <v>1942.606060606061</v>
      </c>
      <c r="M47" s="40">
        <f>M26*L40+M40*M26*M31</f>
        <v>559.31128043440185</v>
      </c>
    </row>
    <row r="48" spans="4:13" x14ac:dyDescent="0.25">
      <c r="I48" s="7" t="s">
        <v>46</v>
      </c>
      <c r="J48" s="25"/>
      <c r="K48" s="26"/>
      <c r="L48" s="42">
        <f>SUM(L45:L47)</f>
        <v>8072.5417590539537</v>
      </c>
      <c r="M48" s="42">
        <f>SUM(M45:M47)</f>
        <v>1995.8882471896259</v>
      </c>
    </row>
    <row r="49" spans="9:13" x14ac:dyDescent="0.25">
      <c r="I49" s="11" t="s">
        <v>19</v>
      </c>
      <c r="J49" s="12"/>
      <c r="K49" s="13"/>
      <c r="L49" s="40">
        <f>L27*L41</f>
        <v>2572.3798965262381</v>
      </c>
      <c r="M49" s="40">
        <f>M27*M41</f>
        <v>0</v>
      </c>
    </row>
    <row r="50" spans="9:13" x14ac:dyDescent="0.25">
      <c r="I50" s="19" t="s">
        <v>47</v>
      </c>
      <c r="J50" s="20"/>
      <c r="K50" s="21"/>
      <c r="L50" s="42">
        <f>L43+L48+L49</f>
        <v>51803</v>
      </c>
      <c r="M50" s="42">
        <f>M43+M48+M49</f>
        <v>80176.666054270929</v>
      </c>
    </row>
    <row r="52" spans="9:13" x14ac:dyDescent="0.25">
      <c r="L52" s="43">
        <f>L18-L50</f>
        <v>0</v>
      </c>
      <c r="M52" s="43">
        <f>M18-M50</f>
        <v>-1.3877098511147778</v>
      </c>
    </row>
  </sheetData>
  <mergeCells count="2">
    <mergeCell ref="D27:E27"/>
    <mergeCell ref="F27:G27"/>
  </mergeCells>
  <pageMargins left="0.7" right="0.7" top="0.75" bottom="0.75" header="0.3" footer="0.3"/>
  <ignoredErrors>
    <ignoredError sqref="E30 G30 L49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</dc:creator>
  <cp:lastModifiedBy>William Oria</cp:lastModifiedBy>
  <dcterms:created xsi:type="dcterms:W3CDTF">2021-05-16T05:20:11Z</dcterms:created>
  <dcterms:modified xsi:type="dcterms:W3CDTF">2021-06-02T17:38:26Z</dcterms:modified>
</cp:coreProperties>
</file>