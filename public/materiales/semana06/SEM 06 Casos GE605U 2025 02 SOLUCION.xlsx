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-202\Downloads\"/>
    </mc:Choice>
  </mc:AlternateContent>
  <xr:revisionPtr revIDLastSave="0" documentId="13_ncr:1_{64052D2C-2F9C-4F75-B55B-99BA9A1051FE}" xr6:coauthVersionLast="47" xr6:coauthVersionMax="47" xr10:uidLastSave="{00000000-0000-0000-0000-000000000000}"/>
  <bookViews>
    <workbookView xWindow="-120" yWindow="-120" windowWidth="15600" windowHeight="11040" activeTab="15" xr2:uid="{00000000-000D-0000-FFFF-FFFF00000000}"/>
  </bookViews>
  <sheets>
    <sheet name="P01" sheetId="16" r:id="rId1"/>
    <sheet name="P02" sheetId="19" r:id="rId2"/>
    <sheet name="P03" sheetId="18" r:id="rId3"/>
    <sheet name="P04" sheetId="17" r:id="rId4"/>
    <sheet name="P05" sheetId="20" r:id="rId5"/>
    <sheet name="P06" sheetId="21" r:id="rId6"/>
    <sheet name="P07" sheetId="22" r:id="rId7"/>
    <sheet name="P08" sheetId="23" r:id="rId8"/>
    <sheet name="P09" sheetId="24" r:id="rId9"/>
    <sheet name="P10" sheetId="25" r:id="rId10"/>
    <sheet name="P11" sheetId="26" r:id="rId11"/>
    <sheet name="P12" sheetId="27" r:id="rId12"/>
    <sheet name="P13" sheetId="28" r:id="rId13"/>
    <sheet name="P14" sheetId="29" r:id="rId14"/>
    <sheet name="P15" sheetId="30" r:id="rId15"/>
    <sheet name="P16" sheetId="31" r:id="rId16"/>
    <sheet name="P17" sheetId="32" r:id="rId17"/>
    <sheet name="P18" sheetId="33" r:id="rId18"/>
    <sheet name="P19" sheetId="34" r:id="rId19"/>
    <sheet name="P20" sheetId="3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0" i="31" l="1"/>
  <c r="N29" i="31"/>
  <c r="N31" i="31"/>
  <c r="K30" i="31"/>
  <c r="K29" i="31"/>
  <c r="H31" i="31"/>
  <c r="H30" i="31"/>
  <c r="H29" i="31"/>
  <c r="N24" i="31"/>
  <c r="M24" i="31"/>
  <c r="L24" i="31"/>
  <c r="N23" i="31"/>
  <c r="M23" i="31"/>
  <c r="L23" i="31"/>
  <c r="N22" i="31"/>
  <c r="M22" i="31"/>
  <c r="L22" i="31"/>
  <c r="N25" i="31"/>
  <c r="J24" i="31"/>
  <c r="K24" i="31"/>
  <c r="I24" i="31"/>
  <c r="J22" i="31"/>
  <c r="K22" i="31"/>
  <c r="M13" i="31"/>
  <c r="N13" i="31"/>
  <c r="L13" i="31"/>
  <c r="N12" i="31"/>
  <c r="N11" i="31"/>
  <c r="L12" i="31"/>
  <c r="K23" i="31"/>
  <c r="H25" i="31"/>
  <c r="G24" i="31"/>
  <c r="F24" i="31"/>
  <c r="G23" i="31"/>
  <c r="F23" i="31"/>
  <c r="G22" i="31"/>
  <c r="F22" i="31"/>
  <c r="E25" i="31"/>
  <c r="H24" i="31"/>
  <c r="H23" i="31"/>
  <c r="H22" i="31"/>
  <c r="E24" i="31"/>
  <c r="E23" i="31"/>
  <c r="E22" i="31"/>
  <c r="AA14" i="30"/>
  <c r="Y14" i="30"/>
  <c r="U31" i="30"/>
  <c r="U30" i="30"/>
  <c r="U32" i="30"/>
  <c r="Y25" i="30"/>
  <c r="Y26" i="30" s="1"/>
  <c r="Y24" i="30"/>
  <c r="Y20" i="30"/>
  <c r="Y19" i="30"/>
  <c r="U25" i="30"/>
  <c r="U24" i="30"/>
  <c r="U21" i="30"/>
  <c r="U20" i="30"/>
  <c r="U19" i="30"/>
  <c r="Z14" i="30"/>
  <c r="S14" i="30"/>
  <c r="AA12" i="30"/>
  <c r="AA11" i="30"/>
  <c r="Z12" i="30"/>
  <c r="Z11" i="30"/>
  <c r="Y12" i="30"/>
  <c r="Y11" i="30"/>
  <c r="AA8" i="30"/>
  <c r="AA7" i="30"/>
  <c r="Z8" i="30"/>
  <c r="Z7" i="30"/>
  <c r="Y8" i="30"/>
  <c r="Y7" i="30"/>
  <c r="W7" i="30"/>
  <c r="X7" i="30"/>
  <c r="J20" i="30"/>
  <c r="V7" i="30"/>
  <c r="X14" i="30"/>
  <c r="X12" i="30"/>
  <c r="X11" i="30"/>
  <c r="X8" i="30"/>
  <c r="S12" i="30"/>
  <c r="S11" i="30"/>
  <c r="U11" i="30" s="1"/>
  <c r="S8" i="30"/>
  <c r="U8" i="30" s="1"/>
  <c r="S7" i="30"/>
  <c r="U14" i="30"/>
  <c r="U12" i="30"/>
  <c r="U7" i="30"/>
  <c r="R15" i="30"/>
  <c r="R14" i="30"/>
  <c r="P14" i="30"/>
  <c r="R13" i="30"/>
  <c r="R12" i="30"/>
  <c r="P12" i="30"/>
  <c r="R11" i="30"/>
  <c r="P11" i="30"/>
  <c r="R9" i="30"/>
  <c r="R8" i="30"/>
  <c r="P8" i="30"/>
  <c r="R7" i="30"/>
  <c r="P7" i="30"/>
  <c r="E24" i="17"/>
  <c r="J28" i="17"/>
  <c r="J26" i="17"/>
  <c r="J24" i="17"/>
  <c r="J23" i="17"/>
  <c r="J22" i="17"/>
  <c r="J21" i="17"/>
  <c r="J17" i="17"/>
  <c r="J15" i="17"/>
  <c r="J14" i="17"/>
  <c r="J13" i="17"/>
  <c r="J9" i="17"/>
  <c r="J8" i="17"/>
  <c r="G18" i="17"/>
  <c r="G17" i="17"/>
  <c r="G15" i="17"/>
  <c r="E18" i="17"/>
  <c r="E17" i="17"/>
  <c r="E16" i="17"/>
  <c r="E15" i="17"/>
  <c r="C19" i="17"/>
  <c r="C18" i="17"/>
  <c r="C17" i="17"/>
  <c r="C16" i="17"/>
  <c r="C15" i="17"/>
  <c r="E18" i="16"/>
  <c r="E19" i="16"/>
  <c r="E15" i="16"/>
  <c r="E14" i="16"/>
  <c r="B23" i="16"/>
  <c r="B22" i="16"/>
  <c r="B19" i="16"/>
  <c r="B18" i="16"/>
  <c r="B15" i="16"/>
  <c r="B14" i="16"/>
  <c r="D9" i="35"/>
  <c r="J77" i="22"/>
  <c r="J54" i="22" s="1"/>
  <c r="G77" i="22"/>
  <c r="J74" i="22"/>
  <c r="J55" i="22" s="1"/>
  <c r="G74" i="22"/>
  <c r="J68" i="22"/>
  <c r="G68" i="22"/>
  <c r="J67" i="22"/>
  <c r="G67" i="22"/>
  <c r="J66" i="22"/>
  <c r="K59" i="22"/>
  <c r="I56" i="22"/>
  <c r="F56" i="22"/>
  <c r="H56" i="22" s="1"/>
  <c r="H68" i="22" s="1"/>
  <c r="F68" i="22" s="1"/>
  <c r="I55" i="22"/>
  <c r="F55" i="22"/>
  <c r="H55" i="22" s="1"/>
  <c r="H67" i="22" s="1"/>
  <c r="F67" i="22" s="1"/>
  <c r="I54" i="22"/>
  <c r="F54" i="22"/>
  <c r="J51" i="22"/>
  <c r="J50" i="22"/>
  <c r="G40" i="22"/>
  <c r="F40" i="22"/>
  <c r="G36" i="22"/>
  <c r="F36" i="22"/>
  <c r="D23" i="19"/>
  <c r="E22" i="19" s="1"/>
  <c r="E23" i="19" s="1"/>
  <c r="F22" i="19" s="1"/>
  <c r="F25" i="19" s="1"/>
  <c r="B23" i="19"/>
  <c r="C22" i="19" s="1"/>
  <c r="C24" i="19" s="1"/>
  <c r="K31" i="31" l="1"/>
  <c r="K25" i="31"/>
  <c r="Y21" i="30"/>
  <c r="U26" i="30"/>
  <c r="AA13" i="30"/>
  <c r="AA9" i="30"/>
  <c r="X13" i="30"/>
  <c r="X9" i="30"/>
  <c r="U13" i="30"/>
  <c r="U9" i="30"/>
  <c r="U15" i="30" s="1"/>
  <c r="I57" i="22"/>
  <c r="F57" i="22"/>
  <c r="F60" i="22" s="1"/>
  <c r="H54" i="22"/>
  <c r="H66" i="22" s="1"/>
  <c r="F66" i="22" s="1"/>
  <c r="K54" i="22"/>
  <c r="K66" i="22" s="1"/>
  <c r="I66" i="22" s="1"/>
  <c r="K55" i="22"/>
  <c r="K67" i="22" s="1"/>
  <c r="J56" i="22"/>
  <c r="K56" i="22" s="1"/>
  <c r="K68" i="22" s="1"/>
  <c r="I68" i="22" s="1"/>
  <c r="I67" i="22"/>
  <c r="AA15" i="30" l="1"/>
  <c r="X15" i="30"/>
  <c r="G19" i="17"/>
  <c r="E19" i="17"/>
  <c r="K57" i="22"/>
  <c r="H57" i="22"/>
  <c r="H60" i="22" s="1"/>
  <c r="H61" i="22" s="1"/>
  <c r="F61" i="22" s="1"/>
  <c r="K50" i="22" l="1"/>
  <c r="F69" i="22"/>
  <c r="I50" i="22"/>
  <c r="I60" i="22" l="1"/>
  <c r="I51" i="22"/>
  <c r="K51" i="22" l="1"/>
  <c r="D74" i="22"/>
  <c r="D71" i="22"/>
  <c r="D77" i="22" l="1"/>
  <c r="K58" i="22" s="1"/>
  <c r="K60" i="22" s="1"/>
  <c r="K61" i="22" s="1"/>
  <c r="I61" i="22" s="1"/>
  <c r="K64" i="22"/>
  <c r="I64" i="22" s="1"/>
  <c r="I69" i="22" l="1"/>
</calcChain>
</file>

<file path=xl/sharedStrings.xml><?xml version="1.0" encoding="utf-8"?>
<sst xmlns="http://schemas.openxmlformats.org/spreadsheetml/2006/main" count="394" uniqueCount="257">
  <si>
    <t>PREGUNTA 08:</t>
  </si>
  <si>
    <t>PREGUNTA 09:</t>
  </si>
  <si>
    <t>PREGUNTA 10:</t>
  </si>
  <si>
    <t>PREGUNTA 11:</t>
  </si>
  <si>
    <t>PREGUNTA 12:</t>
  </si>
  <si>
    <t>SOLUCION:</t>
  </si>
  <si>
    <t>Cantidad</t>
  </si>
  <si>
    <t>Conceptos</t>
  </si>
  <si>
    <t>Dpto A</t>
  </si>
  <si>
    <t>Dpto B</t>
  </si>
  <si>
    <t>Dpto C</t>
  </si>
  <si>
    <t>Dpto D</t>
  </si>
  <si>
    <t>Dpto E</t>
  </si>
  <si>
    <t>Unidades comenzadas (iniciadas en el periodo t, se atenderán en el proceso i)</t>
  </si>
  <si>
    <t>Unidades traspasadas (recibidas del proceso i-1, se atenderán en el proceso i)</t>
  </si>
  <si>
    <t>Unidades terminadas (atendidas en el proceso, se traspasan al proceso i+1)</t>
  </si>
  <si>
    <t>Unidades del inventario final (se atenderan en el proceso i del periodo t+1)</t>
  </si>
  <si>
    <t>Unidades transferidas al inventario final productos terminados</t>
  </si>
  <si>
    <t>INFORME DE PRODUCCION EN CANTIDAD</t>
  </si>
  <si>
    <t>CC 1</t>
  </si>
  <si>
    <t>CC 2</t>
  </si>
  <si>
    <t>Unidades puesta en proceso de Fabricación</t>
  </si>
  <si>
    <t>Unidades procedentes del Dpto anterior</t>
  </si>
  <si>
    <t>Unidades añadidas en el Dpto</t>
  </si>
  <si>
    <t>Total a Distribuir</t>
  </si>
  <si>
    <t>Unidades terminadas y transferidas</t>
  </si>
  <si>
    <t>Unidades en Proceso de Fabricación</t>
  </si>
  <si>
    <t>Unidades perdidas en el proceso</t>
  </si>
  <si>
    <t>Total Distribuidas</t>
  </si>
  <si>
    <t>(1) 25% Mano de Obra y CIF y 100% Materias Primas</t>
  </si>
  <si>
    <t>(2) 60% Mano de Obra y CIF y 80% Materias Primas</t>
  </si>
  <si>
    <t>INFORME RESUMEN DEL COSTO DE PRODUCCION</t>
  </si>
  <si>
    <t>Centro Costo 1</t>
  </si>
  <si>
    <t>Centro Costo 2</t>
  </si>
  <si>
    <t>Costos</t>
  </si>
  <si>
    <t>Cant</t>
  </si>
  <si>
    <t>Costo</t>
  </si>
  <si>
    <t>Totales</t>
  </si>
  <si>
    <t>Unitario</t>
  </si>
  <si>
    <t>Costo Transferido Departamento Anterior</t>
  </si>
  <si>
    <t>Costo Ajustado con Unidades Añadidas</t>
  </si>
  <si>
    <t>Costos en el Departamento:</t>
  </si>
  <si>
    <t>Costo Materias Primas</t>
  </si>
  <si>
    <t>Costo Mano de Obra</t>
  </si>
  <si>
    <t>Costo CIF</t>
  </si>
  <si>
    <t>Costos Departamentales</t>
  </si>
  <si>
    <t>Costo Adicional Unidades Perdidas</t>
  </si>
  <si>
    <t>COSTOS ACUMULATIVOS</t>
  </si>
  <si>
    <t>Productos Terminados y transferidos</t>
  </si>
  <si>
    <t xml:space="preserve">  Productos en proceso:</t>
  </si>
  <si>
    <t xml:space="preserve">    Costos Dpto Anterior</t>
  </si>
  <si>
    <t xml:space="preserve">      Costos en el Departamento</t>
  </si>
  <si>
    <t>Costos CIF</t>
  </si>
  <si>
    <t>Unidades Procedentes Proceso Anterior</t>
  </si>
  <si>
    <t>Unidades puestas en proceso de Fabricación</t>
  </si>
  <si>
    <t>(1) 30,000</t>
  </si>
  <si>
    <t>(2) 24,000</t>
  </si>
  <si>
    <t>(1) 60% Costos de Conversión y 100% Materias Primas</t>
  </si>
  <si>
    <t>(2) 40% Costos de Conversión y 70% Materias Primas</t>
  </si>
  <si>
    <t>Costos Transferidos del proceso anterior</t>
  </si>
  <si>
    <t>Costos Transferido Departamento Anterior</t>
  </si>
  <si>
    <t>Costos Ajustado con Unidades Añadidas</t>
  </si>
  <si>
    <t>(1)</t>
  </si>
  <si>
    <t>Costos adicionales por envases</t>
  </si>
  <si>
    <t>Costo Producción Terminada y Transferida</t>
  </si>
  <si>
    <t xml:space="preserve">  Costos Producción en proceso:</t>
  </si>
  <si>
    <t xml:space="preserve">    Costos en Dpto Anterior</t>
  </si>
  <si>
    <t xml:space="preserve">(1) 4'321,198 / 194,000 = </t>
  </si>
  <si>
    <t>EN DEPARTAMETO I:</t>
  </si>
  <si>
    <t>EN DEPARTAMENTO II:</t>
  </si>
  <si>
    <t>Costo sin unidades perdidas</t>
  </si>
  <si>
    <t>PEQ = 60%30,000+160,000</t>
  </si>
  <si>
    <t>PEQ = 40%24,000+170,000</t>
  </si>
  <si>
    <t xml:space="preserve">    4'321,198 / 200,000 =</t>
  </si>
  <si>
    <t>PEQ =</t>
  </si>
  <si>
    <t>PARA MO Y GF</t>
  </si>
  <si>
    <t>Costo con unidades perdidas</t>
  </si>
  <si>
    <t>PEQ = 100%30,000+160,000</t>
  </si>
  <si>
    <t>PEQ = 70%24,000+170,000</t>
  </si>
  <si>
    <t xml:space="preserve">Costo por unidad perdida = </t>
  </si>
  <si>
    <t>PARA MP</t>
  </si>
  <si>
    <t>Una empresa fábrica un producto, el cual pasa por dos procesos continuos: manufacturado y envasado.</t>
  </si>
  <si>
    <t>El material directo ingresa al inicio del proceso de manufacturado y al final del envasado incurriendose</t>
  </si>
  <si>
    <t>uniformemente los costos de mano de obra directa y de costos indirectos de fabricación.</t>
  </si>
  <si>
    <t>Esta empresa esta muy interesada en controlar los costos por unidades defectuosas; por lo que considera</t>
  </si>
  <si>
    <t>en el calculo las unidades equivalentes perdidas, en ese sentido, en el mes de junio se perdieron 500</t>
  </si>
  <si>
    <t>unidades en el manufacturado y 300 unidades en el envasado, sin embargo en este último proceso no se</t>
  </si>
  <si>
    <t>perdió material.</t>
  </si>
  <si>
    <t>Se requiere 4 unidades manufacturadas para cada material envasada siendo los datos adicionales</t>
  </si>
  <si>
    <t>siguientes:</t>
  </si>
  <si>
    <t>Procesos</t>
  </si>
  <si>
    <t>Manufacturado</t>
  </si>
  <si>
    <t>Envasado</t>
  </si>
  <si>
    <t>Inventario inicial sub productos en proceso</t>
  </si>
  <si>
    <t>Unidades</t>
  </si>
  <si>
    <t>Avance</t>
  </si>
  <si>
    <t>Costo de material directo</t>
  </si>
  <si>
    <t>S/</t>
  </si>
  <si>
    <t>Costo de conversión</t>
  </si>
  <si>
    <t>Costo de transferencia</t>
  </si>
  <si>
    <t>Costos agregados:</t>
  </si>
  <si>
    <t xml:space="preserve">     Material directo</t>
  </si>
  <si>
    <t xml:space="preserve">     Conversión</t>
  </si>
  <si>
    <t>Unidades empezadas</t>
  </si>
  <si>
    <t>?</t>
  </si>
  <si>
    <t>Unidades terminadas</t>
  </si>
  <si>
    <t>Inventario final sub productos en proceso</t>
  </si>
  <si>
    <t>Equivalencia</t>
  </si>
  <si>
    <t>Unidades sub productos terminados en almacén</t>
  </si>
  <si>
    <t>Pérdidas</t>
  </si>
  <si>
    <t>(*) 2,500 unidades de sub producto terminado manufacturado quedaron en el almacén de productos</t>
  </si>
  <si>
    <t>terminados.</t>
  </si>
  <si>
    <t>Determinar el costo unitario del producto fabricado, el valor total del inventario final de los sub productosi</t>
  </si>
  <si>
    <t>en proceso, productos terminados y de las pérdidas. Usar el método de valorización promedio.</t>
  </si>
  <si>
    <t>Pregunta 15:</t>
  </si>
  <si>
    <t>Pregunta 17:</t>
  </si>
  <si>
    <t>Pregunta 18:</t>
  </si>
  <si>
    <t>Pregunta 19:</t>
  </si>
  <si>
    <t xml:space="preserve">Una empresa ensambla lapiceros de un modelo especial que se vende a S/ 90 cada uno y uso un Sistema </t>
  </si>
  <si>
    <t>de costos estándar</t>
  </si>
  <si>
    <t>El costo estándar por lapicero, basada en una producción de 6,000 lapiceros mensuales es:</t>
  </si>
  <si>
    <t>Componentes</t>
  </si>
  <si>
    <t>Mano de obra directa (1.5 hrs)</t>
  </si>
  <si>
    <t>Costo indirecto de fabricación fijo</t>
  </si>
  <si>
    <t>Costo indirecto de fabricación variable</t>
  </si>
  <si>
    <t>Costo estándar por lapicero</t>
  </si>
  <si>
    <t>Al 31 de diciembre del presente año y al 31 de enero del año siguiente respectivamente se muestra</t>
  </si>
  <si>
    <t>el inventario con las cantidades y los valores estándares siguientes en S/</t>
  </si>
  <si>
    <t>Concepto</t>
  </si>
  <si>
    <t>Diciembre</t>
  </si>
  <si>
    <t>Enero</t>
  </si>
  <si>
    <t>Componente (en unidades de lapiceros)</t>
  </si>
  <si>
    <t>Costo estándar</t>
  </si>
  <si>
    <t>Lapiceros terminados</t>
  </si>
  <si>
    <t>Durante el mes de enero del año proximo se realizaron las siguientes operaciones:</t>
  </si>
  <si>
    <t>Se compraron componentes para 8,000 lapiceros a un costo de S/ 102,800. Se enviaron a producción</t>
  </si>
  <si>
    <t>5,540 lapiceros.</t>
  </si>
  <si>
    <t>La mano de obra directa pagada por 9,140 horas ascendieron a S/ 191,940.</t>
  </si>
  <si>
    <t>Las horas trabajadas realmente fueron 8,720 horas. El tiempo no trabajado u ocioso fue de 420 horas.</t>
  </si>
  <si>
    <t>La producción fue de 5,500 lapiceros completos.</t>
  </si>
  <si>
    <t>Los costos indirectos de fabricación fijos ascendieron a S/ 62,000 y los costos indirectos de fabricación</t>
  </si>
  <si>
    <t>variables ascendieron a S/ 114,000.</t>
  </si>
  <si>
    <t>De los lapiceros producidos, 100 fueron de baja calidad y se vendieron durante el mes de S/ 4,800.</t>
  </si>
  <si>
    <t>No hubo productos en proceso al comienzo ni al fin de mes.</t>
  </si>
  <si>
    <t>Se pide: elaborar el estado de resultados en términos de costos estándar y el costo real mostrado la</t>
  </si>
  <si>
    <t>conciliación de la utilidad real con la utilidad estándar durante el mes de enero.</t>
  </si>
  <si>
    <t>Explicar las posibles causas de la diferencia.</t>
  </si>
  <si>
    <t>Pregunta 01:</t>
  </si>
  <si>
    <t>Pregunta 03:</t>
  </si>
  <si>
    <t>Pregunta 02:</t>
  </si>
  <si>
    <t>Pregunta 04.</t>
  </si>
  <si>
    <t>Pregunta 05:</t>
  </si>
  <si>
    <t>Pregunta 06:</t>
  </si>
  <si>
    <t>Pregunta 07:</t>
  </si>
  <si>
    <t>PREGUNTA 13:</t>
  </si>
  <si>
    <t>PREGUNTA 14:</t>
  </si>
  <si>
    <t>Pregunta 16:</t>
  </si>
  <si>
    <t>Pregunta 20:</t>
  </si>
  <si>
    <t>UEQ = UP * % AVANCE</t>
  </si>
  <si>
    <t>COSTO CONVERSIÓN = CPD + CIF</t>
  </si>
  <si>
    <t>a)</t>
  </si>
  <si>
    <t>UEQ MD</t>
  </si>
  <si>
    <t>UEQ CC</t>
  </si>
  <si>
    <t>b)</t>
  </si>
  <si>
    <t>EL % AVANCE REPRESENTA EL CONSUMO DE LOS RECURSOS</t>
  </si>
  <si>
    <t>c)</t>
  </si>
  <si>
    <t>d)</t>
  </si>
  <si>
    <t>e)</t>
  </si>
  <si>
    <t>Calculo del Cu en el P1</t>
  </si>
  <si>
    <t>UEQ</t>
  </si>
  <si>
    <t>CMD unit</t>
  </si>
  <si>
    <t>CPD unit</t>
  </si>
  <si>
    <t>CIF unit</t>
  </si>
  <si>
    <t>CU P1</t>
  </si>
  <si>
    <t>CU P2</t>
  </si>
  <si>
    <t>Calculo del Cu en el P2</t>
  </si>
  <si>
    <t>Calculo del Cu en el P3</t>
  </si>
  <si>
    <t>CU P3</t>
  </si>
  <si>
    <t>CU PT</t>
  </si>
  <si>
    <t>CPT</t>
  </si>
  <si>
    <t>Calculo prod proceso P2</t>
  </si>
  <si>
    <t>UP</t>
  </si>
  <si>
    <t>UEQ PROC</t>
  </si>
  <si>
    <t>PROD PROC 2</t>
  </si>
  <si>
    <t>PROD PROC 1</t>
  </si>
  <si>
    <t>PR PRO P2 TOT</t>
  </si>
  <si>
    <t>Calculo prod proceso P3</t>
  </si>
  <si>
    <t>PROD PROC 3</t>
  </si>
  <si>
    <t>PR PRO P3 TOT</t>
  </si>
  <si>
    <t>PROD PROC TOTAL</t>
  </si>
  <si>
    <t>Producción real</t>
  </si>
  <si>
    <t>Elemento</t>
  </si>
  <si>
    <t>UM</t>
  </si>
  <si>
    <t>Cto Unit</t>
  </si>
  <si>
    <t>Cto total</t>
  </si>
  <si>
    <t>MD:</t>
  </si>
  <si>
    <t>MD "B"</t>
  </si>
  <si>
    <t>Unid</t>
  </si>
  <si>
    <t>MD "C"</t>
  </si>
  <si>
    <t>Costo estandar unitario "A"</t>
  </si>
  <si>
    <t>CMD</t>
  </si>
  <si>
    <t>PD:</t>
  </si>
  <si>
    <t>Fabr I</t>
  </si>
  <si>
    <t>Fabr II</t>
  </si>
  <si>
    <t>Hrs</t>
  </si>
  <si>
    <t>CPD</t>
  </si>
  <si>
    <t>CIF</t>
  </si>
  <si>
    <t>CT</t>
  </si>
  <si>
    <t>Calculo costo Est prod real</t>
  </si>
  <si>
    <t>Calculo costo Real prod real</t>
  </si>
  <si>
    <t>Calculo de VARIACIONES</t>
  </si>
  <si>
    <t>SOBRE EL ESTANDAR</t>
  </si>
  <si>
    <t>BAJO EL ESTANDAR</t>
  </si>
  <si>
    <t>Calculo de variaciones en cantidad y en costo</t>
  </si>
  <si>
    <t>Material "B"</t>
  </si>
  <si>
    <t>Vq</t>
  </si>
  <si>
    <t>Vc</t>
  </si>
  <si>
    <t>Total</t>
  </si>
  <si>
    <t>Es la cantidad de material</t>
  </si>
  <si>
    <t>Material "C"</t>
  </si>
  <si>
    <t>Es la eficiencia en horas</t>
  </si>
  <si>
    <t>Fabrica "I"</t>
  </si>
  <si>
    <t>Fabrica "II"</t>
  </si>
  <si>
    <t>Costo indirecto</t>
  </si>
  <si>
    <t>PROYECTOS DE MEJORAR</t>
  </si>
  <si>
    <t>Controlar mejor la eficiencia en el consumo de materiales</t>
  </si>
  <si>
    <t>Controlar mejor la eficiencia en el consumo de horas</t>
  </si>
  <si>
    <t>HOJA DE COSTO ESTANDAR</t>
  </si>
  <si>
    <t>Cto Unit S/</t>
  </si>
  <si>
    <t>Cto total S/</t>
  </si>
  <si>
    <t>Kg</t>
  </si>
  <si>
    <t>Hr</t>
  </si>
  <si>
    <t>CALCULO COSTO EST DE PROD REAL</t>
  </si>
  <si>
    <t>Prod real</t>
  </si>
  <si>
    <t>CALCULO COSTO REAL PROD REAL</t>
  </si>
  <si>
    <t>Cantiadad</t>
  </si>
  <si>
    <t>CALCULO DE LAS VARIACIONES</t>
  </si>
  <si>
    <t>BAJO EL ESTA DAR</t>
  </si>
  <si>
    <t>VARIACION POR ELEMENTO</t>
  </si>
  <si>
    <t>VARIACION DE CMD</t>
  </si>
  <si>
    <t>Vq CMD</t>
  </si>
  <si>
    <t>Vc CMD</t>
  </si>
  <si>
    <t>Vt CMD</t>
  </si>
  <si>
    <t>VARIACION DE CPD</t>
  </si>
  <si>
    <t>Vq CPD</t>
  </si>
  <si>
    <t>Vc CPD</t>
  </si>
  <si>
    <t>Vt CPD</t>
  </si>
  <si>
    <t>VARIACION DE CIF</t>
  </si>
  <si>
    <t>Vq CIF</t>
  </si>
  <si>
    <t>Vc CIF</t>
  </si>
  <si>
    <t>Vt CIF</t>
  </si>
  <si>
    <t>CONCLUSION:</t>
  </si>
  <si>
    <t>EXISTE MUCHA VARIACN EN LA CANTIDAD, 2 ALTERNATIVAS A EVALUAR 1) SE HA DEFINIDO ERRONEAMENTE</t>
  </si>
  <si>
    <t>LOS ESTANDARES O 2) SE HA TOMADO LA DATA REAL ERRONEMENTE</t>
  </si>
  <si>
    <t>LA VARIACION DEL COSTO DE PERSONAL AFECTA AL RESULTADO  EVALUAR COMO SER LO MAS</t>
  </si>
  <si>
    <t>CERCANO AL ESTANDAR</t>
  </si>
  <si>
    <t>LA APROXIMACION DEBE SER UN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</si>
</sst>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S/&quot;\ #,##0;[Red]&quot;S/&quot;\ \-#,##0"/>
    <numFmt numFmtId="165" formatCode="#,##0_ ;[Red]\-#,##0\ "/>
    <numFmt numFmtId="166" formatCode="#,##0.00_ ;[Red]\-#,##0.00\ "/>
    <numFmt numFmtId="167" formatCode="#,##0.00000_);\(#,##0.00000\)"/>
    <numFmt numFmtId="168" formatCode="#,##0.0000_ ;[Red]\-#,##0.000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4" fillId="0" borderId="0"/>
    <xf numFmtId="0" fontId="3" fillId="0" borderId="0"/>
  </cellStyleXfs>
  <cellXfs count="89">
    <xf numFmtId="0" fontId="0" fillId="0" borderId="0" xfId="0"/>
    <xf numFmtId="0" fontId="5" fillId="2" borderId="0" xfId="3" applyFont="1" applyFill="1"/>
    <xf numFmtId="0" fontId="4" fillId="2" borderId="0" xfId="3" applyFill="1"/>
    <xf numFmtId="166" fontId="5" fillId="2" borderId="1" xfId="3" applyNumberFormat="1" applyFont="1" applyFill="1" applyBorder="1" applyAlignment="1">
      <alignment horizontal="center"/>
    </xf>
    <xf numFmtId="0" fontId="4" fillId="2" borderId="1" xfId="3" applyFill="1" applyBorder="1" applyAlignment="1">
      <alignment vertical="center" wrapText="1"/>
    </xf>
    <xf numFmtId="165" fontId="4" fillId="2" borderId="1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left"/>
    </xf>
    <xf numFmtId="0" fontId="4" fillId="2" borderId="2" xfId="3" applyFill="1" applyBorder="1"/>
    <xf numFmtId="0" fontId="4" fillId="2" borderId="3" xfId="3" applyFill="1" applyBorder="1"/>
    <xf numFmtId="0" fontId="4" fillId="2" borderId="2" xfId="3" applyFill="1" applyBorder="1" applyAlignment="1">
      <alignment horizontal="center"/>
    </xf>
    <xf numFmtId="0" fontId="4" fillId="2" borderId="1" xfId="3" applyFill="1" applyBorder="1" applyAlignment="1">
      <alignment horizontal="center"/>
    </xf>
    <xf numFmtId="0" fontId="4" fillId="2" borderId="4" xfId="3" applyFill="1" applyBorder="1" applyAlignment="1">
      <alignment horizontal="left"/>
    </xf>
    <xf numFmtId="0" fontId="4" fillId="2" borderId="5" xfId="3" applyFill="1" applyBorder="1"/>
    <xf numFmtId="37" fontId="4" fillId="2" borderId="4" xfId="3" applyNumberFormat="1" applyFill="1" applyBorder="1" applyAlignment="1">
      <alignment horizontal="center"/>
    </xf>
    <xf numFmtId="37" fontId="4" fillId="2" borderId="6" xfId="3" applyNumberFormat="1" applyFill="1" applyBorder="1" applyAlignment="1">
      <alignment horizontal="center"/>
    </xf>
    <xf numFmtId="37" fontId="4" fillId="2" borderId="0" xfId="3" applyNumberFormat="1" applyFill="1"/>
    <xf numFmtId="0" fontId="4" fillId="2" borderId="7" xfId="3" applyFill="1" applyBorder="1" applyAlignment="1">
      <alignment horizontal="left"/>
    </xf>
    <xf numFmtId="37" fontId="4" fillId="2" borderId="7" xfId="3" applyNumberFormat="1" applyFill="1" applyBorder="1" applyAlignment="1">
      <alignment horizontal="center"/>
    </xf>
    <xf numFmtId="37" fontId="4" fillId="2" borderId="8" xfId="3" applyNumberFormat="1" applyFill="1" applyBorder="1" applyAlignment="1">
      <alignment horizontal="center"/>
    </xf>
    <xf numFmtId="0" fontId="4" fillId="2" borderId="9" xfId="3" applyFill="1" applyBorder="1" applyAlignment="1">
      <alignment horizontal="left"/>
    </xf>
    <xf numFmtId="0" fontId="4" fillId="2" borderId="10" xfId="3" applyFill="1" applyBorder="1"/>
    <xf numFmtId="0" fontId="4" fillId="2" borderId="9" xfId="3" applyFill="1" applyBorder="1" applyAlignment="1">
      <alignment horizontal="center"/>
    </xf>
    <xf numFmtId="37" fontId="4" fillId="2" borderId="11" xfId="3" applyNumberFormat="1" applyFill="1" applyBorder="1" applyAlignment="1">
      <alignment horizontal="center"/>
    </xf>
    <xf numFmtId="0" fontId="4" fillId="2" borderId="3" xfId="3" applyFill="1" applyBorder="1" applyAlignment="1">
      <alignment horizontal="left"/>
    </xf>
    <xf numFmtId="37" fontId="4" fillId="2" borderId="2" xfId="3" applyNumberFormat="1" applyFill="1" applyBorder="1" applyAlignment="1">
      <alignment horizontal="center"/>
    </xf>
    <xf numFmtId="37" fontId="4" fillId="2" borderId="1" xfId="3" applyNumberFormat="1" applyFill="1" applyBorder="1" applyAlignment="1">
      <alignment horizontal="center"/>
    </xf>
    <xf numFmtId="37" fontId="4" fillId="2" borderId="9" xfId="3" applyNumberFormat="1" applyFill="1" applyBorder="1" applyAlignment="1">
      <alignment horizontal="center"/>
    </xf>
    <xf numFmtId="0" fontId="4" fillId="2" borderId="0" xfId="3" applyFill="1" applyAlignment="1">
      <alignment horizontal="left"/>
    </xf>
    <xf numFmtId="0" fontId="4" fillId="2" borderId="4" xfId="3" applyFill="1" applyBorder="1"/>
    <xf numFmtId="0" fontId="4" fillId="2" borderId="7" xfId="3" applyFill="1" applyBorder="1"/>
    <xf numFmtId="0" fontId="4" fillId="2" borderId="4" xfId="3" applyFill="1" applyBorder="1" applyAlignment="1">
      <alignment horizontal="center"/>
    </xf>
    <xf numFmtId="0" fontId="4" fillId="2" borderId="5" xfId="3" applyFill="1" applyBorder="1" applyAlignment="1">
      <alignment horizontal="center"/>
    </xf>
    <xf numFmtId="0" fontId="4" fillId="2" borderId="12" xfId="3" applyFill="1" applyBorder="1" applyAlignment="1">
      <alignment horizontal="center"/>
    </xf>
    <xf numFmtId="0" fontId="4" fillId="2" borderId="9" xfId="3" applyFill="1" applyBorder="1"/>
    <xf numFmtId="0" fontId="4" fillId="2" borderId="10" xfId="3" applyFill="1" applyBorder="1" applyAlignment="1">
      <alignment horizontal="center"/>
    </xf>
    <xf numFmtId="0" fontId="4" fillId="2" borderId="13" xfId="3" applyFill="1" applyBorder="1" applyAlignment="1">
      <alignment horizontal="center"/>
    </xf>
    <xf numFmtId="0" fontId="4" fillId="2" borderId="12" xfId="3" applyFill="1" applyBorder="1"/>
    <xf numFmtId="37" fontId="4" fillId="2" borderId="5" xfId="3" applyNumberFormat="1" applyFill="1" applyBorder="1"/>
    <xf numFmtId="167" fontId="4" fillId="2" borderId="12" xfId="3" applyNumberFormat="1" applyFill="1" applyBorder="1"/>
    <xf numFmtId="0" fontId="4" fillId="2" borderId="14" xfId="3" applyFill="1" applyBorder="1"/>
    <xf numFmtId="167" fontId="4" fillId="2" borderId="14" xfId="3" applyNumberFormat="1" applyFill="1" applyBorder="1"/>
    <xf numFmtId="37" fontId="4" fillId="2" borderId="7" xfId="3" applyNumberFormat="1" applyFill="1" applyBorder="1"/>
    <xf numFmtId="0" fontId="4" fillId="2" borderId="13" xfId="3" applyFill="1" applyBorder="1"/>
    <xf numFmtId="0" fontId="4" fillId="2" borderId="10" xfId="3" applyFill="1" applyBorder="1" applyAlignment="1">
      <alignment horizontal="right"/>
    </xf>
    <xf numFmtId="167" fontId="4" fillId="2" borderId="13" xfId="3" applyNumberFormat="1" applyFill="1" applyBorder="1"/>
    <xf numFmtId="37" fontId="4" fillId="2" borderId="2" xfId="3" applyNumberFormat="1" applyFill="1" applyBorder="1"/>
    <xf numFmtId="37" fontId="4" fillId="2" borderId="3" xfId="3" applyNumberFormat="1" applyFill="1" applyBorder="1"/>
    <xf numFmtId="167" fontId="4" fillId="2" borderId="15" xfId="3" applyNumberFormat="1" applyFill="1" applyBorder="1"/>
    <xf numFmtId="37" fontId="4" fillId="2" borderId="4" xfId="3" applyNumberFormat="1" applyFill="1" applyBorder="1"/>
    <xf numFmtId="167" fontId="4" fillId="2" borderId="0" xfId="3" applyNumberFormat="1" applyFill="1"/>
    <xf numFmtId="37" fontId="4" fillId="2" borderId="0" xfId="3" applyNumberFormat="1" applyFill="1" applyAlignment="1">
      <alignment horizontal="left"/>
    </xf>
    <xf numFmtId="167" fontId="4" fillId="2" borderId="0" xfId="3" applyNumberFormat="1" applyFill="1" applyAlignment="1">
      <alignment horizontal="left"/>
    </xf>
    <xf numFmtId="0" fontId="6" fillId="2" borderId="0" xfId="3" applyFont="1" applyFill="1" applyAlignment="1">
      <alignment horizontal="left"/>
    </xf>
    <xf numFmtId="0" fontId="4" fillId="2" borderId="15" xfId="3" applyFill="1" applyBorder="1" applyAlignment="1">
      <alignment horizontal="center"/>
    </xf>
    <xf numFmtId="37" fontId="4" fillId="2" borderId="14" xfId="3" applyNumberFormat="1" applyFill="1" applyBorder="1" applyAlignment="1">
      <alignment horizontal="center"/>
    </xf>
    <xf numFmtId="0" fontId="4" fillId="2" borderId="8" xfId="3" applyFill="1" applyBorder="1" applyAlignment="1">
      <alignment horizontal="center"/>
    </xf>
    <xf numFmtId="37" fontId="4" fillId="2" borderId="15" xfId="3" applyNumberFormat="1" applyFill="1" applyBorder="1" applyAlignment="1">
      <alignment horizontal="center"/>
    </xf>
    <xf numFmtId="0" fontId="4" fillId="2" borderId="4" xfId="3" applyFill="1" applyBorder="1" applyAlignment="1">
      <alignment horizontal="right"/>
    </xf>
    <xf numFmtId="0" fontId="4" fillId="2" borderId="5" xfId="3" applyFill="1" applyBorder="1" applyAlignment="1">
      <alignment horizontal="right"/>
    </xf>
    <xf numFmtId="0" fontId="4" fillId="2" borderId="12" xfId="3" applyFill="1" applyBorder="1" applyAlignment="1">
      <alignment horizontal="right"/>
    </xf>
    <xf numFmtId="0" fontId="4" fillId="2" borderId="9" xfId="3" applyFill="1" applyBorder="1" applyAlignment="1">
      <alignment horizontal="right"/>
    </xf>
    <xf numFmtId="0" fontId="4" fillId="2" borderId="13" xfId="3" applyFill="1" applyBorder="1" applyAlignment="1">
      <alignment horizontal="right"/>
    </xf>
    <xf numFmtId="0" fontId="4" fillId="2" borderId="0" xfId="3" applyFill="1" applyAlignment="1">
      <alignment horizontal="right"/>
    </xf>
    <xf numFmtId="0" fontId="1" fillId="2" borderId="0" xfId="4" applyFont="1" applyFill="1"/>
    <xf numFmtId="0" fontId="3" fillId="2" borderId="0" xfId="4" applyFill="1"/>
    <xf numFmtId="2" fontId="3" fillId="2" borderId="0" xfId="4" applyNumberFormat="1" applyFill="1"/>
    <xf numFmtId="9" fontId="3" fillId="2" borderId="0" xfId="4" applyNumberFormat="1" applyFill="1" applyAlignment="1">
      <alignment horizontal="center"/>
    </xf>
    <xf numFmtId="3" fontId="3" fillId="2" borderId="0" xfId="4" applyNumberFormat="1" applyFill="1" applyAlignment="1">
      <alignment horizontal="center"/>
    </xf>
    <xf numFmtId="0" fontId="3" fillId="2" borderId="0" xfId="4" applyFill="1" applyAlignment="1">
      <alignment horizontal="center"/>
    </xf>
    <xf numFmtId="2" fontId="3" fillId="2" borderId="0" xfId="4" applyNumberFormat="1" applyFill="1" applyAlignment="1">
      <alignment horizontal="center"/>
    </xf>
    <xf numFmtId="4" fontId="3" fillId="2" borderId="0" xfId="4" applyNumberFormat="1" applyFill="1" applyAlignment="1">
      <alignment horizontal="center"/>
    </xf>
    <xf numFmtId="0" fontId="1" fillId="2" borderId="0" xfId="4" applyFont="1" applyFill="1" applyAlignment="1">
      <alignment horizontal="center"/>
    </xf>
    <xf numFmtId="0" fontId="7" fillId="2" borderId="0" xfId="3" applyFont="1" applyFill="1"/>
    <xf numFmtId="164" fontId="4" fillId="2" borderId="0" xfId="3" applyNumberFormat="1" applyFill="1"/>
    <xf numFmtId="3" fontId="4" fillId="2" borderId="0" xfId="3" applyNumberFormat="1" applyFill="1" applyAlignment="1">
      <alignment horizontal="right"/>
    </xf>
    <xf numFmtId="164" fontId="4" fillId="2" borderId="0" xfId="3" applyNumberFormat="1" applyFill="1" applyAlignment="1">
      <alignment horizontal="right"/>
    </xf>
    <xf numFmtId="165" fontId="4" fillId="2" borderId="0" xfId="3" applyNumberFormat="1" applyFill="1"/>
    <xf numFmtId="166" fontId="4" fillId="2" borderId="0" xfId="3" applyNumberFormat="1" applyFill="1"/>
    <xf numFmtId="0" fontId="4" fillId="2" borderId="0" xfId="3" applyFill="1" applyAlignment="1">
      <alignment horizontal="center"/>
    </xf>
    <xf numFmtId="166" fontId="4" fillId="2" borderId="0" xfId="3" applyNumberFormat="1" applyFill="1" applyAlignment="1">
      <alignment horizontal="center"/>
    </xf>
    <xf numFmtId="0" fontId="4" fillId="2" borderId="4" xfId="3" applyFill="1" applyBorder="1" applyAlignment="1">
      <alignment horizontal="center"/>
    </xf>
    <xf numFmtId="0" fontId="4" fillId="2" borderId="5" xfId="3" applyFill="1" applyBorder="1" applyAlignment="1">
      <alignment horizontal="center"/>
    </xf>
    <xf numFmtId="0" fontId="4" fillId="2" borderId="12" xfId="3" applyFill="1" applyBorder="1" applyAlignment="1">
      <alignment horizontal="center"/>
    </xf>
    <xf numFmtId="0" fontId="4" fillId="2" borderId="2" xfId="3" applyFill="1" applyBorder="1" applyAlignment="1">
      <alignment horizontal="center"/>
    </xf>
    <xf numFmtId="0" fontId="4" fillId="2" borderId="3" xfId="3" applyFill="1" applyBorder="1" applyAlignment="1">
      <alignment horizontal="center"/>
    </xf>
    <xf numFmtId="0" fontId="4" fillId="2" borderId="15" xfId="3" applyFill="1" applyBorder="1" applyAlignment="1">
      <alignment horizontal="center"/>
    </xf>
    <xf numFmtId="3" fontId="4" fillId="2" borderId="0" xfId="3" applyNumberFormat="1" applyFill="1"/>
    <xf numFmtId="165" fontId="4" fillId="2" borderId="0" xfId="3" applyNumberFormat="1" applyFill="1" applyAlignment="1">
      <alignment horizontal="center"/>
    </xf>
    <xf numFmtId="168" fontId="4" fillId="2" borderId="0" xfId="3" applyNumberFormat="1" applyFill="1" applyAlignment="1">
      <alignment horizontal="center"/>
    </xf>
  </cellXfs>
  <cellStyles count="5">
    <cellStyle name="Normal" xfId="0" builtinId="0"/>
    <cellStyle name="Normal 2" xfId="3" xr:uid="{842635F7-499E-48FD-9CB7-E1D7E34D26AF}"/>
    <cellStyle name="Normal 2 2" xfId="4" xr:uid="{DDFDCE6B-B205-46AF-B268-9295618CD80A}"/>
    <cellStyle name="Normal 3" xfId="2" xr:uid="{00000000-0005-0000-0000-000001000000}"/>
    <cellStyle name="Normal 4 2" xfId="1" xr:uid="{00000000-0005-0000-0000-000002000000}"/>
  </cellStyles>
  <dxfs count="0"/>
  <tableStyles count="1" defaultTableStyle="TableStyleMedium2" defaultPivotStyle="PivotStyleLight16">
    <tableStyle name="Invisible" pivot="0" table="0" count="0" xr9:uid="{522EFBD8-AB0C-4834-9ABF-BCD976B201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304800</xdr:colOff>
      <xdr:row>9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C33C1D-FD3D-4F88-B508-49CDF33B3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1628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342900</xdr:colOff>
      <xdr:row>5</xdr:row>
      <xdr:rowOff>83820</xdr:rowOff>
    </xdr:from>
    <xdr:to>
      <xdr:col>14</xdr:col>
      <xdr:colOff>434340</xdr:colOff>
      <xdr:row>7</xdr:row>
      <xdr:rowOff>7620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E47DDD8-9A5C-4119-925A-EED31608C7CF}"/>
            </a:ext>
          </a:extLst>
        </xdr:cNvPr>
        <xdr:cNvSpPr/>
      </xdr:nvSpPr>
      <xdr:spPr>
        <a:xfrm>
          <a:off x="6621780" y="922020"/>
          <a:ext cx="4800600" cy="259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335280</xdr:colOff>
      <xdr:row>4</xdr:row>
      <xdr:rowOff>121920</xdr:rowOff>
    </xdr:from>
    <xdr:to>
      <xdr:col>8</xdr:col>
      <xdr:colOff>335280</xdr:colOff>
      <xdr:row>8</xdr:row>
      <xdr:rowOff>129540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97728A12-B40F-493C-AD48-1BA114902614}"/>
            </a:ext>
          </a:extLst>
        </xdr:cNvPr>
        <xdr:cNvCxnSpPr/>
      </xdr:nvCxnSpPr>
      <xdr:spPr>
        <a:xfrm>
          <a:off x="6614160" y="792480"/>
          <a:ext cx="0" cy="678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160020</xdr:colOff>
      <xdr:row>8</xdr:row>
      <xdr:rowOff>160020</xdr:rowOff>
    </xdr:from>
    <xdr:ext cx="35702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6771A98-1FC2-4A41-AC70-1385A999A140}"/>
            </a:ext>
          </a:extLst>
        </xdr:cNvPr>
        <xdr:cNvSpPr txBox="1"/>
      </xdr:nvSpPr>
      <xdr:spPr>
        <a:xfrm>
          <a:off x="6438900" y="150114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0%</a:t>
          </a:r>
        </a:p>
      </xdr:txBody>
    </xdr:sp>
    <xdr:clientData/>
  </xdr:oneCellAnchor>
  <xdr:oneCellAnchor>
    <xdr:from>
      <xdr:col>14</xdr:col>
      <xdr:colOff>213360</xdr:colOff>
      <xdr:row>8</xdr:row>
      <xdr:rowOff>91440</xdr:rowOff>
    </xdr:from>
    <xdr:ext cx="500009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1A6FAB8-21FA-49A5-AF9A-889A440A8C7A}"/>
            </a:ext>
          </a:extLst>
        </xdr:cNvPr>
        <xdr:cNvSpPr txBox="1"/>
      </xdr:nvSpPr>
      <xdr:spPr>
        <a:xfrm>
          <a:off x="11201400" y="1432560"/>
          <a:ext cx="5000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100%</a:t>
          </a:r>
        </a:p>
      </xdr:txBody>
    </xdr:sp>
    <xdr:clientData/>
  </xdr:oneCellAnchor>
  <xdr:twoCellAnchor>
    <xdr:from>
      <xdr:col>14</xdr:col>
      <xdr:colOff>426720</xdr:colOff>
      <xdr:row>4</xdr:row>
      <xdr:rowOff>38100</xdr:rowOff>
    </xdr:from>
    <xdr:to>
      <xdr:col>14</xdr:col>
      <xdr:colOff>426720</xdr:colOff>
      <xdr:row>8</xdr:row>
      <xdr:rowOff>45720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ED465FC1-26CE-4ECA-851E-7928049B340F}"/>
            </a:ext>
          </a:extLst>
        </xdr:cNvPr>
        <xdr:cNvCxnSpPr/>
      </xdr:nvCxnSpPr>
      <xdr:spPr>
        <a:xfrm>
          <a:off x="11414760" y="708660"/>
          <a:ext cx="0" cy="678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777240</xdr:colOff>
      <xdr:row>4</xdr:row>
      <xdr:rowOff>106680</xdr:rowOff>
    </xdr:from>
    <xdr:to>
      <xdr:col>9</xdr:col>
      <xdr:colOff>777240</xdr:colOff>
      <xdr:row>8</xdr:row>
      <xdr:rowOff>114300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BC50EACE-6EEB-405C-9060-E9AC0F20EC5E}"/>
            </a:ext>
          </a:extLst>
        </xdr:cNvPr>
        <xdr:cNvCxnSpPr/>
      </xdr:nvCxnSpPr>
      <xdr:spPr>
        <a:xfrm>
          <a:off x="7840980" y="777240"/>
          <a:ext cx="0" cy="678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594360</xdr:colOff>
      <xdr:row>8</xdr:row>
      <xdr:rowOff>160020</xdr:rowOff>
    </xdr:from>
    <xdr:ext cx="428515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3B353DF-93D0-4215-921A-61C765F6E785}"/>
            </a:ext>
          </a:extLst>
        </xdr:cNvPr>
        <xdr:cNvSpPr txBox="1"/>
      </xdr:nvSpPr>
      <xdr:spPr>
        <a:xfrm>
          <a:off x="7658100" y="150114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25%</a:t>
          </a:r>
        </a:p>
      </xdr:txBody>
    </xdr:sp>
    <xdr:clientData/>
  </xdr:oneCellAnchor>
  <xdr:twoCellAnchor>
    <xdr:from>
      <xdr:col>8</xdr:col>
      <xdr:colOff>327660</xdr:colOff>
      <xdr:row>4</xdr:row>
      <xdr:rowOff>83820</xdr:rowOff>
    </xdr:from>
    <xdr:to>
      <xdr:col>9</xdr:col>
      <xdr:colOff>769620</xdr:colOff>
      <xdr:row>4</xdr:row>
      <xdr:rowOff>91440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D03E1D95-403A-4A2B-8A6D-BB4E5C2084AE}"/>
            </a:ext>
          </a:extLst>
        </xdr:cNvPr>
        <xdr:cNvCxnSpPr/>
      </xdr:nvCxnSpPr>
      <xdr:spPr>
        <a:xfrm>
          <a:off x="6606540" y="754380"/>
          <a:ext cx="1226820" cy="762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733425</xdr:colOff>
      <xdr:row>16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959B5A-C71F-48E9-8858-DE8BCD35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161925</xdr:colOff>
      <xdr:row>11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D459D4-9B94-4F73-9EB1-2D1AC2B5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732692</xdr:colOff>
      <xdr:row>12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F7597E-AA93-4070-949D-127F68C3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161925</xdr:colOff>
      <xdr:row>23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908C0E-A6DC-4D4B-AADE-F55A76599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714375</xdr:colOff>
      <xdr:row>16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82CD6F-9485-4027-93C2-A15EF48C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258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95250</xdr:colOff>
      <xdr:row>26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A156E3-AB04-4D16-81BA-0A74B5052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7019925" cy="416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619125</xdr:colOff>
      <xdr:row>16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BE0E99-53FF-4FBB-AC16-F3AC5ED6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85725</xdr:colOff>
      <xdr:row>14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C979B8-6B23-4E9D-869D-0B0F61C7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733425</xdr:colOff>
      <xdr:row>22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9ABE6B-C8BC-45DD-A12A-7AC0D54B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402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104775</xdr:colOff>
      <xdr:row>20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5B6726-4542-4219-BE6A-379C7BF6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15050" cy="368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628650</xdr:colOff>
      <xdr:row>17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73819E-3A4F-4052-9B01-A8157C464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5610225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333375</xdr:colOff>
      <xdr:row>12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06F579-FD3A-4A86-B961-787CD4C6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2457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12</xdr:col>
      <xdr:colOff>342900</xdr:colOff>
      <xdr:row>18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C46226-FA12-4B6A-9C0C-4AF06F4A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61925"/>
          <a:ext cx="6486525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483113</xdr:colOff>
      <xdr:row>20</xdr:row>
      <xdr:rowOff>76200</xdr:rowOff>
    </xdr:from>
    <xdr:to>
      <xdr:col>18</xdr:col>
      <xdr:colOff>171450</xdr:colOff>
      <xdr:row>25</xdr:row>
      <xdr:rowOff>50919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68A94BF3-A096-6548-88C7-054A9BBC2952}"/>
            </a:ext>
          </a:extLst>
        </xdr:cNvPr>
        <xdr:cNvSpPr txBox="1">
          <a:spLocks noChangeArrowheads="1"/>
        </xdr:cNvSpPr>
      </xdr:nvSpPr>
      <xdr:spPr bwMode="auto">
        <a:xfrm>
          <a:off x="8001513" y="3378200"/>
          <a:ext cx="2247387" cy="800219"/>
        </a:xfrm>
        <a:prstGeom prst="rect">
          <a:avLst/>
        </a:prstGeom>
        <a:solidFill>
          <a:srgbClr val="FFFF00"/>
        </a:solidFill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>
          <a:spAutoFit/>
        </a:bodyPr>
        <a:lstStyle>
          <a:defPPr>
            <a:defRPr lang="es-PE"/>
          </a:defPPr>
          <a:lvl1pPr marL="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Wingdings" panose="05000000000000000000" pitchFamily="2" charset="2"/>
            <a:buChar char="§"/>
            <a:defRPr sz="21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742950" indent="-28575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11430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6002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20574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5146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9718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4290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8862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Variación MOD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Vq = (Hr – He) * Te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Vc = (Tr – Te) * Hr</a:t>
          </a:r>
          <a:endParaRPr lang="es-ES" altLang="es-PE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</xdr:colOff>
      <xdr:row>16</xdr:row>
      <xdr:rowOff>101875</xdr:rowOff>
    </xdr:from>
    <xdr:to>
      <xdr:col>18</xdr:col>
      <xdr:colOff>196850</xdr:colOff>
      <xdr:row>20</xdr:row>
      <xdr:rowOff>64723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E0BC37AD-0A9E-F43E-1CCF-B07F2A3038D9}"/>
            </a:ext>
          </a:extLst>
        </xdr:cNvPr>
        <xdr:cNvSpPr txBox="1">
          <a:spLocks noChangeArrowheads="1"/>
        </xdr:cNvSpPr>
      </xdr:nvSpPr>
      <xdr:spPr bwMode="auto">
        <a:xfrm>
          <a:off x="8064501" y="2743475"/>
          <a:ext cx="2209799" cy="62324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>
          <a:spAutoFit/>
        </a:bodyPr>
        <a:lstStyle>
          <a:defPPr>
            <a:defRPr lang="es-PE"/>
          </a:defPPr>
          <a:lvl1pPr marL="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Wingdings" panose="05000000000000000000" pitchFamily="2" charset="2"/>
            <a:buChar char="§"/>
            <a:defRPr sz="21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1pPr>
          <a:lvl2pPr marL="742950" indent="-28575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2pPr>
          <a:lvl3pPr marL="11430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8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3pPr>
          <a:lvl4pPr marL="16002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4pPr>
          <a:lvl5pPr marL="2057400" indent="-228600" algn="l" defTabSz="914400" rtl="0" eaLnBrk="1" latinLnBrk="0" hangingPunct="1"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5pPr>
          <a:lvl6pPr marL="25146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6pPr>
          <a:lvl7pPr marL="29718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7pPr>
          <a:lvl8pPr marL="34290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8pPr>
          <a:lvl9pPr marL="3886200" indent="-228600" algn="l" defTabSz="914400" rtl="0" eaLnBrk="0" fontAlgn="base" latinLnBrk="0" hangingPunct="0">
            <a:spcBef>
              <a:spcPct val="0"/>
            </a:spcBef>
            <a:spcAft>
              <a:spcPct val="50000"/>
            </a:spcAft>
            <a:buClr>
              <a:schemeClr val="accent2"/>
            </a:buClr>
            <a:buFont typeface="Arial" panose="020B0604020202020204" pitchFamily="34" charset="0"/>
            <a:defRPr sz="1700" kern="120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lvl9pPr>
        </a:lstStyle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Variación Materiales Directos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Vq = (Qr – Qe) * Ce</a:t>
          </a:r>
        </a:p>
        <a:p>
          <a:pPr eaLnBrk="1" hangingPunct="1">
            <a:spcAft>
              <a:spcPct val="0"/>
            </a:spcAft>
            <a:buFont typeface="Wingdings" panose="05000000000000000000" pitchFamily="2" charset="2"/>
            <a:buNone/>
          </a:pPr>
          <a:r>
            <a:rPr lang="es-PE" altLang="es-PE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Vc = (Cr – Ce) * Qr</a:t>
          </a:r>
          <a:endParaRPr lang="es-ES" altLang="es-PE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9</xdr:col>
      <xdr:colOff>304800</xdr:colOff>
      <xdr:row>17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5296DDD-02CD-4966-B2ED-98138C44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486525" cy="320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542925</xdr:colOff>
      <xdr:row>13</xdr:row>
      <xdr:rowOff>102260</xdr:rowOff>
    </xdr:from>
    <xdr:to>
      <xdr:col>12</xdr:col>
      <xdr:colOff>247226</xdr:colOff>
      <xdr:row>18</xdr:row>
      <xdr:rowOff>66538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78C59-7EF8-44CB-8219-3C6924FBE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2578760"/>
          <a:ext cx="2838026" cy="916778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12</xdr:row>
      <xdr:rowOff>171302</xdr:rowOff>
    </xdr:from>
    <xdr:to>
      <xdr:col>15</xdr:col>
      <xdr:colOff>352119</xdr:colOff>
      <xdr:row>17</xdr:row>
      <xdr:rowOff>171321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70CEA4-3DDE-495F-94F6-172E154F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82075" y="2457302"/>
          <a:ext cx="2266644" cy="9525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9</xdr:col>
      <xdr:colOff>542925</xdr:colOff>
      <xdr:row>36</xdr:row>
      <xdr:rowOff>66675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B5F121E5-EC4B-4A97-9403-D20C2D96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61925"/>
          <a:ext cx="6486525" cy="573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8</xdr:col>
      <xdr:colOff>428625</xdr:colOff>
      <xdr:row>26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A962AD-C7F1-4D7A-B1FA-84278CD8D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61925"/>
          <a:ext cx="6486525" cy="411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9</xdr:col>
      <xdr:colOff>542925</xdr:colOff>
      <xdr:row>46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754083-FD5D-447B-BAC0-430F46A0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61925"/>
          <a:ext cx="6486525" cy="742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2748-E7DD-4F57-A600-AF42FB645BD1}">
  <dimension ref="A1:L27"/>
  <sheetViews>
    <sheetView topLeftCell="A4" zoomScale="120" zoomScaleNormal="120" workbookViewId="0">
      <selection activeCell="H20" sqref="H20"/>
    </sheetView>
  </sheetViews>
  <sheetFormatPr baseColWidth="10" defaultColWidth="11.42578125" defaultRowHeight="12.75" x14ac:dyDescent="0.2"/>
  <cols>
    <col min="1" max="16384" width="11.42578125" style="2"/>
  </cols>
  <sheetData>
    <row r="1" spans="1:12" x14ac:dyDescent="0.2">
      <c r="A1" s="1" t="s">
        <v>147</v>
      </c>
      <c r="L1" s="2" t="s">
        <v>159</v>
      </c>
    </row>
    <row r="2" spans="1:12" x14ac:dyDescent="0.2">
      <c r="L2" s="2" t="s">
        <v>158</v>
      </c>
    </row>
    <row r="3" spans="1:12" x14ac:dyDescent="0.2">
      <c r="L3" s="2" t="s">
        <v>164</v>
      </c>
    </row>
    <row r="12" spans="1:12" x14ac:dyDescent="0.2">
      <c r="A12" s="1" t="s">
        <v>5</v>
      </c>
    </row>
    <row r="13" spans="1:12" x14ac:dyDescent="0.2">
      <c r="A13" s="2" t="s">
        <v>160</v>
      </c>
      <c r="D13" s="2" t="s">
        <v>166</v>
      </c>
    </row>
    <row r="14" spans="1:12" x14ac:dyDescent="0.2">
      <c r="A14" s="2" t="s">
        <v>161</v>
      </c>
      <c r="B14" s="76">
        <f>10000*100%</f>
        <v>10000</v>
      </c>
      <c r="D14" s="2" t="s">
        <v>161</v>
      </c>
      <c r="E14" s="76">
        <f>10000*0%</f>
        <v>0</v>
      </c>
    </row>
    <row r="15" spans="1:12" x14ac:dyDescent="0.2">
      <c r="A15" s="2" t="s">
        <v>162</v>
      </c>
      <c r="B15" s="76">
        <f>10000*25%</f>
        <v>2500</v>
      </c>
      <c r="D15" s="2" t="s">
        <v>162</v>
      </c>
      <c r="E15" s="76">
        <f>10000*25%</f>
        <v>2500</v>
      </c>
    </row>
    <row r="16" spans="1:12" x14ac:dyDescent="0.2">
      <c r="B16" s="76"/>
    </row>
    <row r="17" spans="1:5" x14ac:dyDescent="0.2">
      <c r="A17" s="2" t="s">
        <v>163</v>
      </c>
      <c r="B17" s="76"/>
      <c r="D17" s="2" t="s">
        <v>167</v>
      </c>
    </row>
    <row r="18" spans="1:5" x14ac:dyDescent="0.2">
      <c r="A18" s="2" t="s">
        <v>161</v>
      </c>
      <c r="B18" s="76">
        <f>10000*25%</f>
        <v>2500</v>
      </c>
      <c r="D18" s="2" t="s">
        <v>161</v>
      </c>
      <c r="E18" s="76">
        <f>10000*100%</f>
        <v>10000</v>
      </c>
    </row>
    <row r="19" spans="1:5" x14ac:dyDescent="0.2">
      <c r="A19" s="2" t="s">
        <v>162</v>
      </c>
      <c r="B19" s="76">
        <f>10000*25%</f>
        <v>2500</v>
      </c>
      <c r="D19" s="2" t="s">
        <v>162</v>
      </c>
      <c r="E19" s="76">
        <f>10000*25%</f>
        <v>2500</v>
      </c>
    </row>
    <row r="20" spans="1:5" x14ac:dyDescent="0.2">
      <c r="B20" s="76"/>
    </row>
    <row r="21" spans="1:5" x14ac:dyDescent="0.2">
      <c r="A21" s="2" t="s">
        <v>165</v>
      </c>
      <c r="B21" s="76"/>
    </row>
    <row r="22" spans="1:5" x14ac:dyDescent="0.2">
      <c r="A22" s="2" t="s">
        <v>161</v>
      </c>
      <c r="B22" s="76">
        <f>10000*0%</f>
        <v>0</v>
      </c>
    </row>
    <row r="23" spans="1:5" x14ac:dyDescent="0.2">
      <c r="A23" s="2" t="s">
        <v>162</v>
      </c>
      <c r="B23" s="76">
        <f>10000*25%</f>
        <v>2500</v>
      </c>
    </row>
    <row r="24" spans="1:5" x14ac:dyDescent="0.2">
      <c r="B24" s="76"/>
    </row>
    <row r="25" spans="1:5" x14ac:dyDescent="0.2">
      <c r="B25" s="76"/>
    </row>
    <row r="26" spans="1:5" x14ac:dyDescent="0.2">
      <c r="B26" s="76"/>
    </row>
    <row r="27" spans="1:5" x14ac:dyDescent="0.2">
      <c r="B27" s="7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2EED-B81F-4D61-9FC2-AB07AE3C1D54}">
  <dimension ref="A1:F25"/>
  <sheetViews>
    <sheetView zoomScale="120" zoomScaleNormal="120" workbookViewId="0">
      <selection activeCell="A2" sqref="A2"/>
    </sheetView>
  </sheetViews>
  <sheetFormatPr baseColWidth="10" defaultColWidth="11.42578125" defaultRowHeight="12.75" x14ac:dyDescent="0.2"/>
  <cols>
    <col min="1" max="1" width="37.140625" style="2" customWidth="1"/>
    <col min="2" max="16384" width="11.42578125" style="2"/>
  </cols>
  <sheetData>
    <row r="1" spans="1:1" x14ac:dyDescent="0.2">
      <c r="A1" s="1" t="s">
        <v>149</v>
      </c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6" x14ac:dyDescent="0.2">
      <c r="A17" s="1"/>
    </row>
    <row r="18" spans="1:6" x14ac:dyDescent="0.2">
      <c r="A18" s="1" t="s">
        <v>5</v>
      </c>
    </row>
    <row r="19" spans="1:6" x14ac:dyDescent="0.2">
      <c r="A19" s="1"/>
    </row>
    <row r="20" spans="1:6" x14ac:dyDescent="0.2"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</row>
    <row r="21" spans="1:6" ht="25.5" x14ac:dyDescent="0.2">
      <c r="A21" s="4" t="s">
        <v>13</v>
      </c>
      <c r="B21" s="5">
        <v>15000</v>
      </c>
      <c r="C21" s="5"/>
      <c r="D21" s="5"/>
      <c r="E21" s="5"/>
      <c r="F21" s="5"/>
    </row>
    <row r="22" spans="1:6" ht="25.5" x14ac:dyDescent="0.2">
      <c r="A22" s="4" t="s">
        <v>14</v>
      </c>
      <c r="B22" s="5"/>
      <c r="C22" s="5">
        <f>B23</f>
        <v>8000</v>
      </c>
      <c r="D22" s="5">
        <v>4000</v>
      </c>
      <c r="E22" s="5">
        <f>D23</f>
        <v>3000</v>
      </c>
      <c r="F22" s="5">
        <f>E23</f>
        <v>2700</v>
      </c>
    </row>
    <row r="23" spans="1:6" ht="25.5" x14ac:dyDescent="0.2">
      <c r="A23" s="4" t="s">
        <v>15</v>
      </c>
      <c r="B23" s="5">
        <f>B21-B24</f>
        <v>8000</v>
      </c>
      <c r="C23" s="5">
        <v>4000</v>
      </c>
      <c r="D23" s="5">
        <f>D22-D24</f>
        <v>3000</v>
      </c>
      <c r="E23" s="5">
        <f>E22-E24</f>
        <v>2700</v>
      </c>
      <c r="F23" s="5"/>
    </row>
    <row r="24" spans="1:6" ht="25.5" x14ac:dyDescent="0.2">
      <c r="A24" s="4" t="s">
        <v>16</v>
      </c>
      <c r="B24" s="5">
        <v>7000</v>
      </c>
      <c r="C24" s="5">
        <f>C22-C23</f>
        <v>4000</v>
      </c>
      <c r="D24" s="5">
        <v>1000</v>
      </c>
      <c r="E24" s="5">
        <v>300</v>
      </c>
      <c r="F24" s="5">
        <v>500</v>
      </c>
    </row>
    <row r="25" spans="1:6" ht="25.5" x14ac:dyDescent="0.2">
      <c r="A25" s="4" t="s">
        <v>17</v>
      </c>
      <c r="B25" s="5"/>
      <c r="C25" s="5"/>
      <c r="D25" s="5"/>
      <c r="E25" s="5"/>
      <c r="F25" s="5">
        <f>F22-F24</f>
        <v>2200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CC4B-AA39-44AD-88EA-76B768E2614A}">
  <dimension ref="A1"/>
  <sheetViews>
    <sheetView workbookViewId="0">
      <selection activeCell="A2" sqref="A2"/>
    </sheetView>
  </sheetViews>
  <sheetFormatPr baseColWidth="10" defaultColWidth="11.42578125" defaultRowHeight="12.75" x14ac:dyDescent="0.2"/>
  <cols>
    <col min="1" max="16384" width="11.42578125" style="2"/>
  </cols>
  <sheetData>
    <row r="1" spans="1:1" x14ac:dyDescent="0.2">
      <c r="A1" s="1" t="s">
        <v>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EBE8-F75D-42CD-ABA0-68EB83C75D8E}">
  <dimension ref="A1:J28"/>
  <sheetViews>
    <sheetView topLeftCell="A13" zoomScale="130" zoomScaleNormal="130" workbookViewId="0">
      <selection activeCell="E24" sqref="E24"/>
    </sheetView>
  </sheetViews>
  <sheetFormatPr baseColWidth="10" defaultColWidth="11.42578125" defaultRowHeight="12.75" x14ac:dyDescent="0.2"/>
  <cols>
    <col min="1" max="1" width="14.42578125" style="2" customWidth="1"/>
    <col min="2" max="2" width="9.42578125" style="2" customWidth="1"/>
    <col min="3" max="3" width="16.42578125" style="2" customWidth="1"/>
    <col min="4" max="4" width="9.5703125" style="2" customWidth="1"/>
    <col min="5" max="5" width="15.140625" style="2" customWidth="1"/>
    <col min="6" max="6" width="11.42578125" style="2"/>
    <col min="7" max="7" width="8.7109375" style="2" customWidth="1"/>
    <col min="8" max="8" width="9.42578125" style="2" customWidth="1"/>
    <col min="9" max="9" width="18.7109375" style="2" customWidth="1"/>
    <col min="10" max="16384" width="11.42578125" style="2"/>
  </cols>
  <sheetData>
    <row r="1" spans="1:10" x14ac:dyDescent="0.2">
      <c r="A1" s="1" t="s">
        <v>150</v>
      </c>
    </row>
    <row r="8" spans="1:10" x14ac:dyDescent="0.2">
      <c r="I8" s="2" t="s">
        <v>178</v>
      </c>
      <c r="J8" s="77">
        <f>C19+E19+G19</f>
        <v>14.976844919786096</v>
      </c>
    </row>
    <row r="9" spans="1:10" x14ac:dyDescent="0.2">
      <c r="I9" s="2" t="s">
        <v>179</v>
      </c>
      <c r="J9" s="77">
        <f>2500*J8</f>
        <v>37442.11229946524</v>
      </c>
    </row>
    <row r="10" spans="1:10" x14ac:dyDescent="0.2">
      <c r="J10" s="77"/>
    </row>
    <row r="11" spans="1:10" x14ac:dyDescent="0.2">
      <c r="I11" s="2" t="s">
        <v>180</v>
      </c>
      <c r="J11" s="77"/>
    </row>
    <row r="12" spans="1:10" x14ac:dyDescent="0.2">
      <c r="I12" s="2" t="s">
        <v>181</v>
      </c>
      <c r="J12" s="77">
        <v>1000</v>
      </c>
    </row>
    <row r="13" spans="1:10" x14ac:dyDescent="0.2">
      <c r="I13" s="2" t="s">
        <v>182</v>
      </c>
      <c r="J13" s="77">
        <f>J12*40%</f>
        <v>400</v>
      </c>
    </row>
    <row r="14" spans="1:10" x14ac:dyDescent="0.2">
      <c r="B14" s="2" t="s">
        <v>168</v>
      </c>
      <c r="D14" s="2" t="s">
        <v>175</v>
      </c>
      <c r="F14" s="2" t="s">
        <v>176</v>
      </c>
      <c r="I14" s="2" t="s">
        <v>183</v>
      </c>
      <c r="J14" s="77">
        <f>J13*E19</f>
        <v>2009.090909090909</v>
      </c>
    </row>
    <row r="15" spans="1:10" x14ac:dyDescent="0.2">
      <c r="B15" s="2" t="s">
        <v>169</v>
      </c>
      <c r="C15" s="76">
        <f>5000+0</f>
        <v>5000</v>
      </c>
      <c r="D15" s="2" t="s">
        <v>169</v>
      </c>
      <c r="E15" s="76">
        <f>4000+1000*40%</f>
        <v>4400</v>
      </c>
      <c r="F15" s="2" t="s">
        <v>169</v>
      </c>
      <c r="G15" s="76">
        <f>2500+1500*60%</f>
        <v>3400</v>
      </c>
      <c r="I15" s="2" t="s">
        <v>184</v>
      </c>
      <c r="J15" s="77">
        <f>C19*J12</f>
        <v>7160</v>
      </c>
    </row>
    <row r="16" spans="1:10" x14ac:dyDescent="0.2">
      <c r="B16" s="2" t="s">
        <v>170</v>
      </c>
      <c r="C16" s="77">
        <f>20000/C15</f>
        <v>4</v>
      </c>
      <c r="D16" s="2" t="s">
        <v>170</v>
      </c>
      <c r="E16" s="77">
        <f>10000/E15</f>
        <v>2.2727272727272729</v>
      </c>
      <c r="F16" s="2" t="s">
        <v>170</v>
      </c>
      <c r="G16" s="77">
        <v>0</v>
      </c>
      <c r="J16" s="77"/>
    </row>
    <row r="17" spans="2:10" x14ac:dyDescent="0.2">
      <c r="B17" s="2" t="s">
        <v>171</v>
      </c>
      <c r="C17" s="77">
        <f>10000/C15</f>
        <v>2</v>
      </c>
      <c r="D17" s="2" t="s">
        <v>171</v>
      </c>
      <c r="E17" s="77">
        <f>8000/E15</f>
        <v>1.8181818181818181</v>
      </c>
      <c r="F17" s="2" t="s">
        <v>171</v>
      </c>
      <c r="G17" s="77">
        <f>6000/G15</f>
        <v>1.7647058823529411</v>
      </c>
      <c r="I17" s="2" t="s">
        <v>185</v>
      </c>
      <c r="J17" s="77">
        <f>J14+J15</f>
        <v>9169.0909090909081</v>
      </c>
    </row>
    <row r="18" spans="2:10" x14ac:dyDescent="0.2">
      <c r="B18" s="2" t="s">
        <v>172</v>
      </c>
      <c r="C18" s="77">
        <f>5800/C15</f>
        <v>1.1599999999999999</v>
      </c>
      <c r="D18" s="2" t="s">
        <v>172</v>
      </c>
      <c r="E18" s="77">
        <f>4100/E15</f>
        <v>0.93181818181818177</v>
      </c>
      <c r="F18" s="2" t="s">
        <v>172</v>
      </c>
      <c r="G18" s="77">
        <f>3500/G15</f>
        <v>1.0294117647058822</v>
      </c>
      <c r="J18" s="77"/>
    </row>
    <row r="19" spans="2:10" x14ac:dyDescent="0.2">
      <c r="B19" s="2" t="s">
        <v>173</v>
      </c>
      <c r="C19" s="77">
        <f>SUM(C16:C18)</f>
        <v>7.16</v>
      </c>
      <c r="D19" s="2" t="s">
        <v>174</v>
      </c>
      <c r="E19" s="77">
        <f>SUM(E16:E18)</f>
        <v>5.0227272727272725</v>
      </c>
      <c r="F19" s="2" t="s">
        <v>177</v>
      </c>
      <c r="G19" s="77">
        <f>SUM(G16:G18)</f>
        <v>2.7941176470588234</v>
      </c>
      <c r="I19" s="2" t="s">
        <v>186</v>
      </c>
      <c r="J19" s="77"/>
    </row>
    <row r="20" spans="2:10" x14ac:dyDescent="0.2">
      <c r="I20" s="2" t="s">
        <v>181</v>
      </c>
      <c r="J20" s="77">
        <v>1500</v>
      </c>
    </row>
    <row r="21" spans="2:10" x14ac:dyDescent="0.2">
      <c r="I21" s="2" t="s">
        <v>182</v>
      </c>
      <c r="J21" s="77">
        <f>J20*60%</f>
        <v>900</v>
      </c>
    </row>
    <row r="22" spans="2:10" x14ac:dyDescent="0.2">
      <c r="I22" s="2" t="s">
        <v>187</v>
      </c>
      <c r="J22" s="77">
        <f>J21*G19</f>
        <v>2514.705882352941</v>
      </c>
    </row>
    <row r="23" spans="2:10" x14ac:dyDescent="0.2">
      <c r="I23" s="2" t="s">
        <v>183</v>
      </c>
      <c r="J23" s="77">
        <f>E19*J20</f>
        <v>7534.090909090909</v>
      </c>
    </row>
    <row r="24" spans="2:10" x14ac:dyDescent="0.2">
      <c r="E24" s="2">
        <f>3000+17500-3500</f>
        <v>17000</v>
      </c>
      <c r="I24" s="2" t="s">
        <v>184</v>
      </c>
      <c r="J24" s="77">
        <f>C19*J20</f>
        <v>10740</v>
      </c>
    </row>
    <row r="26" spans="2:10" x14ac:dyDescent="0.2">
      <c r="I26" s="2" t="s">
        <v>188</v>
      </c>
      <c r="J26" s="77">
        <f>SUM(J22:J24)</f>
        <v>20788.796791443849</v>
      </c>
    </row>
    <row r="28" spans="2:10" x14ac:dyDescent="0.2">
      <c r="I28" s="2" t="s">
        <v>189</v>
      </c>
      <c r="J28" s="77">
        <f>J17+J26</f>
        <v>29957.887700534757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2DA5-0AA5-4874-80BC-5D8DA2276FBA}">
  <dimension ref="A1"/>
  <sheetViews>
    <sheetView workbookViewId="0">
      <selection activeCell="A2" sqref="A2"/>
    </sheetView>
  </sheetViews>
  <sheetFormatPr baseColWidth="10" defaultColWidth="11.42578125" defaultRowHeight="12.75" x14ac:dyDescent="0.2"/>
  <cols>
    <col min="1" max="16384" width="11.42578125" style="2"/>
  </cols>
  <sheetData>
    <row r="1" spans="1:1" x14ac:dyDescent="0.2">
      <c r="A1" s="1" t="s">
        <v>151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4E7B-3798-4869-897E-4288A56F162C}">
  <dimension ref="A1:N70"/>
  <sheetViews>
    <sheetView zoomScaleNormal="100" workbookViewId="0">
      <selection activeCell="A2" sqref="A2"/>
    </sheetView>
  </sheetViews>
  <sheetFormatPr baseColWidth="10" defaultColWidth="11.42578125" defaultRowHeight="12.75" x14ac:dyDescent="0.2"/>
  <cols>
    <col min="1" max="4" width="11.42578125" style="2"/>
    <col min="5" max="5" width="3.140625" style="2" customWidth="1"/>
    <col min="6" max="16384" width="11.42578125" style="2"/>
  </cols>
  <sheetData>
    <row r="1" spans="1:1" x14ac:dyDescent="0.2">
      <c r="A1" s="1" t="s">
        <v>152</v>
      </c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18" spans="1:8" x14ac:dyDescent="0.2">
      <c r="A18" s="1" t="s">
        <v>5</v>
      </c>
    </row>
    <row r="19" spans="1:8" x14ac:dyDescent="0.2">
      <c r="D19" s="6" t="s">
        <v>18</v>
      </c>
    </row>
    <row r="20" spans="1:8" x14ac:dyDescent="0.2">
      <c r="A20" s="7"/>
      <c r="B20" s="8"/>
      <c r="C20" s="8"/>
      <c r="D20" s="8"/>
      <c r="E20" s="8"/>
      <c r="F20" s="9" t="s">
        <v>19</v>
      </c>
      <c r="G20" s="10" t="s">
        <v>20</v>
      </c>
    </row>
    <row r="21" spans="1:8" x14ac:dyDescent="0.2">
      <c r="A21" s="11" t="s">
        <v>21</v>
      </c>
      <c r="B21" s="12"/>
      <c r="C21" s="12"/>
      <c r="D21" s="12"/>
      <c r="E21" s="12"/>
      <c r="F21" s="13"/>
      <c r="G21" s="14"/>
      <c r="H21" s="15"/>
    </row>
    <row r="22" spans="1:8" x14ac:dyDescent="0.2">
      <c r="A22" s="16" t="s">
        <v>22</v>
      </c>
      <c r="F22" s="17"/>
      <c r="G22" s="18"/>
      <c r="H22" s="15"/>
    </row>
    <row r="23" spans="1:8" x14ac:dyDescent="0.2">
      <c r="A23" s="19" t="s">
        <v>23</v>
      </c>
      <c r="B23" s="20"/>
      <c r="C23" s="20"/>
      <c r="D23" s="20"/>
      <c r="E23" s="20"/>
      <c r="F23" s="21"/>
      <c r="G23" s="22"/>
    </row>
    <row r="24" spans="1:8" x14ac:dyDescent="0.2">
      <c r="A24" s="7"/>
      <c r="B24" s="23" t="s">
        <v>24</v>
      </c>
      <c r="C24" s="8"/>
      <c r="D24" s="8"/>
      <c r="E24" s="8"/>
      <c r="F24" s="24"/>
      <c r="G24" s="25"/>
      <c r="H24" s="15"/>
    </row>
    <row r="25" spans="1:8" x14ac:dyDescent="0.2">
      <c r="A25" s="11" t="s">
        <v>25</v>
      </c>
      <c r="B25" s="12"/>
      <c r="C25" s="12"/>
      <c r="D25" s="12"/>
      <c r="E25" s="12"/>
      <c r="F25" s="13"/>
      <c r="G25" s="14"/>
      <c r="H25" s="15"/>
    </row>
    <row r="26" spans="1:8" x14ac:dyDescent="0.2">
      <c r="A26" s="16" t="s">
        <v>26</v>
      </c>
      <c r="F26" s="17"/>
      <c r="G26" s="18"/>
      <c r="H26" s="15"/>
    </row>
    <row r="27" spans="1:8" x14ac:dyDescent="0.2">
      <c r="A27" s="19" t="s">
        <v>27</v>
      </c>
      <c r="B27" s="20"/>
      <c r="C27" s="20"/>
      <c r="D27" s="20"/>
      <c r="E27" s="20"/>
      <c r="F27" s="26"/>
      <c r="G27" s="22"/>
    </row>
    <row r="28" spans="1:8" x14ac:dyDescent="0.2">
      <c r="A28" s="7"/>
      <c r="B28" s="23" t="s">
        <v>28</v>
      </c>
      <c r="C28" s="8"/>
      <c r="D28" s="8"/>
      <c r="E28" s="8"/>
      <c r="F28" s="24"/>
      <c r="G28" s="25"/>
      <c r="H28" s="15"/>
    </row>
    <row r="30" spans="1:8" x14ac:dyDescent="0.2">
      <c r="A30" s="27" t="s">
        <v>29</v>
      </c>
    </row>
    <row r="31" spans="1:8" x14ac:dyDescent="0.2">
      <c r="A31" s="27" t="s">
        <v>30</v>
      </c>
    </row>
    <row r="33" spans="1:12" x14ac:dyDescent="0.2">
      <c r="D33" s="6" t="s">
        <v>31</v>
      </c>
    </row>
    <row r="34" spans="1:12" x14ac:dyDescent="0.2">
      <c r="A34" s="28"/>
      <c r="B34" s="12"/>
      <c r="C34" s="12"/>
      <c r="D34" s="12"/>
      <c r="E34" s="12"/>
      <c r="F34" s="80" t="s">
        <v>32</v>
      </c>
      <c r="G34" s="81"/>
      <c r="H34" s="82"/>
      <c r="I34" s="80" t="s">
        <v>33</v>
      </c>
      <c r="J34" s="81"/>
      <c r="K34" s="82"/>
    </row>
    <row r="35" spans="1:12" x14ac:dyDescent="0.2">
      <c r="A35" s="29"/>
      <c r="F35" s="30" t="s">
        <v>34</v>
      </c>
      <c r="G35" s="31" t="s">
        <v>35</v>
      </c>
      <c r="H35" s="32" t="s">
        <v>36</v>
      </c>
      <c r="I35" s="31" t="s">
        <v>34</v>
      </c>
      <c r="J35" s="31" t="s">
        <v>35</v>
      </c>
      <c r="K35" s="32" t="s">
        <v>36</v>
      </c>
    </row>
    <row r="36" spans="1:12" x14ac:dyDescent="0.2">
      <c r="A36" s="33"/>
      <c r="B36" s="20"/>
      <c r="C36" s="20"/>
      <c r="D36" s="20"/>
      <c r="E36" s="20"/>
      <c r="F36" s="21" t="s">
        <v>37</v>
      </c>
      <c r="G36" s="34"/>
      <c r="H36" s="35" t="s">
        <v>38</v>
      </c>
      <c r="I36" s="34" t="s">
        <v>37</v>
      </c>
      <c r="J36" s="34"/>
      <c r="K36" s="35" t="s">
        <v>38</v>
      </c>
    </row>
    <row r="37" spans="1:12" x14ac:dyDescent="0.2">
      <c r="A37" s="11" t="s">
        <v>39</v>
      </c>
      <c r="B37" s="12"/>
      <c r="C37" s="12"/>
      <c r="D37" s="12"/>
      <c r="E37" s="12"/>
      <c r="F37" s="28"/>
      <c r="G37" s="12"/>
      <c r="H37" s="36"/>
      <c r="I37" s="37"/>
      <c r="J37" s="37"/>
      <c r="K37" s="38"/>
      <c r="L37" s="15"/>
    </row>
    <row r="38" spans="1:12" x14ac:dyDescent="0.2">
      <c r="A38" s="16" t="s">
        <v>40</v>
      </c>
      <c r="F38" s="29"/>
      <c r="H38" s="39"/>
      <c r="I38" s="15"/>
      <c r="J38" s="15"/>
      <c r="K38" s="40"/>
    </row>
    <row r="39" spans="1:12" x14ac:dyDescent="0.2">
      <c r="A39" s="29"/>
      <c r="F39" s="29"/>
      <c r="H39" s="39"/>
      <c r="K39" s="39"/>
    </row>
    <row r="40" spans="1:12" x14ac:dyDescent="0.2">
      <c r="A40" s="29"/>
      <c r="B40" s="27" t="s">
        <v>41</v>
      </c>
      <c r="F40" s="29"/>
      <c r="H40" s="39"/>
      <c r="I40" s="15"/>
      <c r="J40" s="15"/>
      <c r="K40" s="40"/>
    </row>
    <row r="41" spans="1:12" x14ac:dyDescent="0.2">
      <c r="A41" s="29"/>
      <c r="C41" s="27" t="s">
        <v>42</v>
      </c>
      <c r="F41" s="41"/>
      <c r="G41" s="15"/>
      <c r="H41" s="40"/>
      <c r="I41" s="15"/>
      <c r="J41" s="15"/>
      <c r="K41" s="40"/>
      <c r="L41" s="15"/>
    </row>
    <row r="42" spans="1:12" x14ac:dyDescent="0.2">
      <c r="A42" s="29"/>
      <c r="C42" s="27" t="s">
        <v>43</v>
      </c>
      <c r="F42" s="41"/>
      <c r="G42" s="15"/>
      <c r="H42" s="40"/>
      <c r="I42" s="15"/>
      <c r="J42" s="15"/>
      <c r="K42" s="40"/>
      <c r="L42" s="15"/>
    </row>
    <row r="43" spans="1:12" x14ac:dyDescent="0.2">
      <c r="A43" s="29"/>
      <c r="C43" s="27" t="s">
        <v>44</v>
      </c>
      <c r="F43" s="41"/>
      <c r="G43" s="15"/>
      <c r="H43" s="40"/>
      <c r="I43" s="15"/>
      <c r="J43" s="15"/>
      <c r="K43" s="40"/>
      <c r="L43" s="15"/>
    </row>
    <row r="44" spans="1:12" x14ac:dyDescent="0.2">
      <c r="A44" s="29"/>
      <c r="B44" s="27" t="s">
        <v>45</v>
      </c>
      <c r="F44" s="41"/>
      <c r="G44" s="15"/>
      <c r="H44" s="40"/>
      <c r="I44" s="15"/>
      <c r="J44" s="15"/>
      <c r="K44" s="40"/>
      <c r="L44" s="15"/>
    </row>
    <row r="45" spans="1:12" x14ac:dyDescent="0.2">
      <c r="A45" s="19" t="s">
        <v>46</v>
      </c>
      <c r="B45" s="20"/>
      <c r="C45" s="20"/>
      <c r="D45" s="20"/>
      <c r="E45" s="20"/>
      <c r="F45" s="33"/>
      <c r="G45" s="20"/>
      <c r="H45" s="42"/>
      <c r="I45" s="20"/>
      <c r="J45" s="43"/>
      <c r="K45" s="44"/>
    </row>
    <row r="46" spans="1:12" x14ac:dyDescent="0.2">
      <c r="A46" s="7"/>
      <c r="B46" s="23" t="s">
        <v>47</v>
      </c>
      <c r="C46" s="8"/>
      <c r="D46" s="8"/>
      <c r="E46" s="8"/>
      <c r="F46" s="45"/>
      <c r="G46" s="46"/>
      <c r="H46" s="47"/>
      <c r="I46" s="46"/>
      <c r="J46" s="46"/>
      <c r="K46" s="47"/>
      <c r="L46" s="15"/>
    </row>
    <row r="47" spans="1:12" x14ac:dyDescent="0.2">
      <c r="A47" s="11" t="s">
        <v>48</v>
      </c>
      <c r="B47" s="12"/>
      <c r="C47" s="12"/>
      <c r="D47" s="12"/>
      <c r="E47" s="12"/>
      <c r="F47" s="48"/>
      <c r="G47" s="37"/>
      <c r="H47" s="38"/>
      <c r="I47" s="37"/>
      <c r="J47" s="37"/>
      <c r="K47" s="38"/>
      <c r="L47" s="15"/>
    </row>
    <row r="48" spans="1:12" x14ac:dyDescent="0.2">
      <c r="A48" s="29"/>
      <c r="F48" s="29"/>
      <c r="H48" s="39"/>
      <c r="K48" s="39"/>
    </row>
    <row r="49" spans="1:14" x14ac:dyDescent="0.2">
      <c r="A49" s="16" t="s">
        <v>49</v>
      </c>
      <c r="F49" s="41"/>
      <c r="G49" s="15"/>
      <c r="H49" s="40"/>
      <c r="I49" s="15"/>
      <c r="J49" s="15"/>
      <c r="K49" s="40"/>
      <c r="L49" s="15"/>
    </row>
    <row r="50" spans="1:14" x14ac:dyDescent="0.2">
      <c r="A50" s="16" t="s">
        <v>50</v>
      </c>
      <c r="F50" s="41"/>
      <c r="G50" s="15"/>
      <c r="H50" s="40"/>
      <c r="I50" s="15"/>
      <c r="J50" s="15"/>
      <c r="K50" s="40"/>
      <c r="L50" s="15"/>
    </row>
    <row r="51" spans="1:14" x14ac:dyDescent="0.2">
      <c r="A51" s="16" t="s">
        <v>51</v>
      </c>
      <c r="F51" s="41"/>
      <c r="G51" s="15"/>
      <c r="H51" s="40"/>
      <c r="I51" s="15"/>
      <c r="J51" s="15"/>
      <c r="K51" s="40"/>
      <c r="L51" s="15"/>
    </row>
    <row r="52" spans="1:14" x14ac:dyDescent="0.2">
      <c r="A52" s="29"/>
      <c r="B52" s="27" t="s">
        <v>42</v>
      </c>
      <c r="F52" s="41"/>
      <c r="G52" s="15"/>
      <c r="H52" s="40"/>
      <c r="I52" s="15"/>
      <c r="J52" s="15"/>
      <c r="K52" s="40"/>
      <c r="L52" s="15"/>
    </row>
    <row r="53" spans="1:14" x14ac:dyDescent="0.2">
      <c r="A53" s="29"/>
      <c r="B53" s="27" t="s">
        <v>43</v>
      </c>
      <c r="F53" s="41"/>
      <c r="G53" s="15"/>
      <c r="H53" s="40"/>
      <c r="I53" s="15"/>
      <c r="J53" s="15"/>
      <c r="K53" s="40"/>
      <c r="L53" s="15"/>
    </row>
    <row r="54" spans="1:14" x14ac:dyDescent="0.2">
      <c r="A54" s="29"/>
      <c r="B54" s="27" t="s">
        <v>52</v>
      </c>
      <c r="F54" s="41"/>
      <c r="G54" s="15"/>
      <c r="H54" s="40"/>
      <c r="I54" s="15"/>
      <c r="J54" s="15"/>
      <c r="K54" s="40"/>
      <c r="L54" s="15"/>
    </row>
    <row r="55" spans="1:14" x14ac:dyDescent="0.2">
      <c r="A55" s="7"/>
      <c r="B55" s="23" t="s">
        <v>47</v>
      </c>
      <c r="C55" s="8"/>
      <c r="D55" s="8"/>
      <c r="E55" s="8"/>
      <c r="F55" s="45"/>
      <c r="G55" s="8"/>
      <c r="H55" s="47"/>
      <c r="I55" s="46"/>
      <c r="J55" s="46"/>
      <c r="K55" s="47"/>
      <c r="L55" s="15"/>
    </row>
    <row r="56" spans="1:14" x14ac:dyDescent="0.2">
      <c r="H56" s="49"/>
      <c r="I56" s="15"/>
      <c r="J56" s="15"/>
      <c r="K56" s="49"/>
      <c r="N56" s="15"/>
    </row>
    <row r="57" spans="1:14" x14ac:dyDescent="0.2">
      <c r="A57" s="27"/>
      <c r="F57" s="50"/>
      <c r="G57" s="15"/>
      <c r="H57" s="49"/>
      <c r="I57" s="50"/>
      <c r="J57" s="15"/>
      <c r="K57" s="49"/>
    </row>
    <row r="58" spans="1:14" x14ac:dyDescent="0.2">
      <c r="A58" s="27"/>
      <c r="F58" s="15"/>
      <c r="G58" s="15"/>
      <c r="H58" s="49"/>
      <c r="I58" s="15"/>
      <c r="J58" s="15"/>
      <c r="K58" s="49"/>
    </row>
    <row r="59" spans="1:14" x14ac:dyDescent="0.2">
      <c r="F59" s="50"/>
      <c r="G59" s="15"/>
      <c r="H59" s="49"/>
      <c r="I59" s="50"/>
      <c r="J59" s="15"/>
      <c r="K59" s="49"/>
    </row>
    <row r="60" spans="1:14" x14ac:dyDescent="0.2">
      <c r="A60" s="27"/>
      <c r="F60" s="50"/>
      <c r="G60" s="15"/>
      <c r="H60" s="49"/>
      <c r="I60" s="50"/>
      <c r="J60" s="15"/>
      <c r="K60" s="51"/>
    </row>
    <row r="61" spans="1:14" x14ac:dyDescent="0.2">
      <c r="A61" s="27"/>
      <c r="I61" s="15"/>
      <c r="J61" s="15"/>
      <c r="K61" s="49"/>
    </row>
    <row r="62" spans="1:14" x14ac:dyDescent="0.2">
      <c r="I62" s="50"/>
      <c r="J62" s="15"/>
      <c r="K62" s="49"/>
    </row>
    <row r="63" spans="1:14" x14ac:dyDescent="0.2">
      <c r="A63" s="27"/>
      <c r="I63" s="50"/>
      <c r="J63" s="15"/>
      <c r="K63" s="51"/>
    </row>
    <row r="68" spans="9:11" x14ac:dyDescent="0.2">
      <c r="I68" s="15"/>
      <c r="J68" s="15"/>
      <c r="K68" s="49"/>
    </row>
    <row r="69" spans="9:11" x14ac:dyDescent="0.2">
      <c r="I69" s="15"/>
      <c r="J69" s="15"/>
      <c r="K69" s="49"/>
    </row>
    <row r="70" spans="9:11" x14ac:dyDescent="0.2">
      <c r="I70" s="15"/>
      <c r="J70" s="15"/>
      <c r="K70" s="49"/>
    </row>
  </sheetData>
  <mergeCells count="2">
    <mergeCell ref="F34:H34"/>
    <mergeCell ref="I34:K34"/>
  </mergeCells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F530-E2C0-45B4-AD87-4C056BC7C394}">
  <dimension ref="A1:L83"/>
  <sheetViews>
    <sheetView workbookViewId="0">
      <selection activeCell="A2" sqref="A2"/>
    </sheetView>
  </sheetViews>
  <sheetFormatPr baseColWidth="10" defaultColWidth="11.42578125" defaultRowHeight="12.75" x14ac:dyDescent="0.2"/>
  <cols>
    <col min="1" max="4" width="11.42578125" style="2"/>
    <col min="5" max="5" width="1" style="2" customWidth="1"/>
    <col min="6" max="11" width="11.42578125" style="2"/>
    <col min="12" max="12" width="2" style="2" customWidth="1"/>
    <col min="13" max="16384" width="11.42578125" style="2"/>
  </cols>
  <sheetData>
    <row r="1" spans="1:1" x14ac:dyDescent="0.2">
      <c r="A1" s="1" t="s">
        <v>153</v>
      </c>
    </row>
    <row r="28" spans="1:7" x14ac:dyDescent="0.2">
      <c r="A28" s="1" t="s">
        <v>5</v>
      </c>
    </row>
    <row r="30" spans="1:7" x14ac:dyDescent="0.2">
      <c r="D30" s="52" t="s">
        <v>18</v>
      </c>
    </row>
    <row r="31" spans="1:7" x14ac:dyDescent="0.2">
      <c r="A31" s="7"/>
      <c r="B31" s="8"/>
      <c r="C31" s="8"/>
      <c r="D31" s="8"/>
      <c r="E31" s="8"/>
      <c r="F31" s="10" t="s">
        <v>19</v>
      </c>
      <c r="G31" s="53" t="s">
        <v>20</v>
      </c>
    </row>
    <row r="32" spans="1:7" x14ac:dyDescent="0.2">
      <c r="A32" s="16" t="s">
        <v>53</v>
      </c>
      <c r="F32" s="18">
        <v>20000</v>
      </c>
      <c r="G32" s="54">
        <v>30000</v>
      </c>
    </row>
    <row r="33" spans="1:11" x14ac:dyDescent="0.2">
      <c r="A33" s="16" t="s">
        <v>54</v>
      </c>
      <c r="F33" s="18">
        <v>200000</v>
      </c>
      <c r="G33" s="54">
        <v>0</v>
      </c>
      <c r="H33" s="15"/>
    </row>
    <row r="34" spans="1:11" x14ac:dyDescent="0.2">
      <c r="A34" s="16" t="s">
        <v>22</v>
      </c>
      <c r="F34" s="18">
        <v>0</v>
      </c>
      <c r="G34" s="54">
        <v>160000</v>
      </c>
      <c r="H34" s="15"/>
    </row>
    <row r="35" spans="1:11" x14ac:dyDescent="0.2">
      <c r="A35" s="16" t="s">
        <v>23</v>
      </c>
      <c r="F35" s="55">
        <v>0</v>
      </c>
      <c r="G35" s="54">
        <v>10000</v>
      </c>
    </row>
    <row r="36" spans="1:11" x14ac:dyDescent="0.2">
      <c r="A36" s="7"/>
      <c r="B36" s="23" t="s">
        <v>24</v>
      </c>
      <c r="C36" s="8"/>
      <c r="D36" s="8"/>
      <c r="E36" s="8"/>
      <c r="F36" s="25">
        <f>SUM(F32:F35)</f>
        <v>220000</v>
      </c>
      <c r="G36" s="56">
        <f>SUM(G32:G35)</f>
        <v>200000</v>
      </c>
      <c r="H36" s="15"/>
    </row>
    <row r="37" spans="1:11" x14ac:dyDescent="0.2">
      <c r="A37" s="16" t="s">
        <v>25</v>
      </c>
      <c r="F37" s="18">
        <v>160000</v>
      </c>
      <c r="G37" s="54">
        <v>170000</v>
      </c>
      <c r="H37" s="15"/>
    </row>
    <row r="38" spans="1:11" x14ac:dyDescent="0.2">
      <c r="A38" s="16" t="s">
        <v>26</v>
      </c>
      <c r="F38" s="18" t="s">
        <v>55</v>
      </c>
      <c r="G38" s="54" t="s">
        <v>56</v>
      </c>
      <c r="H38" s="15"/>
    </row>
    <row r="39" spans="1:11" x14ac:dyDescent="0.2">
      <c r="A39" s="16" t="s">
        <v>27</v>
      </c>
      <c r="F39" s="18">
        <v>30000</v>
      </c>
      <c r="G39" s="54">
        <v>6000</v>
      </c>
    </row>
    <row r="40" spans="1:11" x14ac:dyDescent="0.2">
      <c r="A40" s="7"/>
      <c r="B40" s="23" t="s">
        <v>28</v>
      </c>
      <c r="C40" s="8"/>
      <c r="D40" s="8"/>
      <c r="E40" s="8"/>
      <c r="F40" s="25">
        <f>160000+30000+30000</f>
        <v>220000</v>
      </c>
      <c r="G40" s="56">
        <f>170000+24000+6000</f>
        <v>200000</v>
      </c>
      <c r="H40" s="15"/>
    </row>
    <row r="42" spans="1:11" x14ac:dyDescent="0.2">
      <c r="A42" s="27" t="s">
        <v>57</v>
      </c>
    </row>
    <row r="43" spans="1:11" x14ac:dyDescent="0.2">
      <c r="A43" s="27" t="s">
        <v>58</v>
      </c>
    </row>
    <row r="45" spans="1:11" x14ac:dyDescent="0.2">
      <c r="D45" s="52" t="s">
        <v>31</v>
      </c>
    </row>
    <row r="46" spans="1:11" x14ac:dyDescent="0.2">
      <c r="A46" s="7"/>
      <c r="B46" s="8"/>
      <c r="C46" s="8"/>
      <c r="D46" s="8"/>
      <c r="E46" s="8"/>
      <c r="F46" s="83" t="s">
        <v>32</v>
      </c>
      <c r="G46" s="84"/>
      <c r="H46" s="85"/>
      <c r="I46" s="83" t="s">
        <v>33</v>
      </c>
      <c r="J46" s="84"/>
      <c r="K46" s="85"/>
    </row>
    <row r="47" spans="1:11" x14ac:dyDescent="0.2">
      <c r="A47" s="28"/>
      <c r="B47" s="12"/>
      <c r="C47" s="12"/>
      <c r="D47" s="12"/>
      <c r="E47" s="36"/>
      <c r="F47" s="57" t="s">
        <v>34</v>
      </c>
      <c r="G47" s="58" t="s">
        <v>35</v>
      </c>
      <c r="H47" s="59" t="s">
        <v>36</v>
      </c>
      <c r="I47" s="58" t="s">
        <v>34</v>
      </c>
      <c r="J47" s="58" t="s">
        <v>35</v>
      </c>
      <c r="K47" s="59" t="s">
        <v>36</v>
      </c>
    </row>
    <row r="48" spans="1:11" x14ac:dyDescent="0.2">
      <c r="A48" s="33"/>
      <c r="B48" s="20"/>
      <c r="C48" s="20"/>
      <c r="D48" s="20"/>
      <c r="E48" s="42"/>
      <c r="F48" s="60" t="s">
        <v>37</v>
      </c>
      <c r="G48" s="20"/>
      <c r="H48" s="61" t="s">
        <v>38</v>
      </c>
      <c r="I48" s="43" t="s">
        <v>37</v>
      </c>
      <c r="J48" s="20"/>
      <c r="K48" s="61" t="s">
        <v>38</v>
      </c>
    </row>
    <row r="49" spans="1:12" x14ac:dyDescent="0.2">
      <c r="A49" s="16" t="s">
        <v>59</v>
      </c>
      <c r="F49" s="29"/>
      <c r="H49" s="39"/>
      <c r="I49" s="15">
        <v>875000</v>
      </c>
      <c r="K49" s="39"/>
    </row>
    <row r="50" spans="1:12" x14ac:dyDescent="0.2">
      <c r="A50" s="16" t="s">
        <v>60</v>
      </c>
      <c r="F50" s="29"/>
      <c r="H50" s="39"/>
      <c r="I50" s="15">
        <f>F61</f>
        <v>3446197.5162625667</v>
      </c>
      <c r="J50" s="15">
        <f>G61</f>
        <v>160000</v>
      </c>
      <c r="K50" s="40">
        <f>H61</f>
        <v>21.538734476641043</v>
      </c>
      <c r="L50" s="15"/>
    </row>
    <row r="51" spans="1:12" x14ac:dyDescent="0.2">
      <c r="A51" s="16" t="s">
        <v>61</v>
      </c>
      <c r="F51" s="29"/>
      <c r="H51" s="39"/>
      <c r="I51" s="15">
        <f>I49+I50</f>
        <v>4321197.5162625667</v>
      </c>
      <c r="J51" s="15">
        <f>160000+10000+30000</f>
        <v>200000</v>
      </c>
      <c r="K51" s="40">
        <f>I51/J51</f>
        <v>21.605987581312835</v>
      </c>
    </row>
    <row r="52" spans="1:12" x14ac:dyDescent="0.2">
      <c r="A52" s="29"/>
      <c r="F52" s="29"/>
      <c r="H52" s="39"/>
      <c r="K52" s="39"/>
    </row>
    <row r="53" spans="1:12" x14ac:dyDescent="0.2">
      <c r="A53" s="29"/>
      <c r="B53" s="27" t="s">
        <v>41</v>
      </c>
      <c r="F53" s="29"/>
      <c r="H53" s="39"/>
      <c r="I53" s="15"/>
      <c r="J53" s="15"/>
      <c r="K53" s="40"/>
    </row>
    <row r="54" spans="1:12" x14ac:dyDescent="0.2">
      <c r="A54" s="29"/>
      <c r="C54" s="27" t="s">
        <v>42</v>
      </c>
      <c r="F54" s="41">
        <f>480000+1200000</f>
        <v>1680000</v>
      </c>
      <c r="G54" s="15">
        <v>190000</v>
      </c>
      <c r="H54" s="40">
        <f>F54/G54</f>
        <v>8.8421052631578956</v>
      </c>
      <c r="I54" s="15">
        <f>360000+900000</f>
        <v>1260000</v>
      </c>
      <c r="J54" s="15">
        <f>J77</f>
        <v>186800</v>
      </c>
      <c r="K54" s="40">
        <f>I54/J54</f>
        <v>6.745182012847966</v>
      </c>
      <c r="L54" s="15"/>
    </row>
    <row r="55" spans="1:12" x14ac:dyDescent="0.2">
      <c r="A55" s="29"/>
      <c r="C55" s="27" t="s">
        <v>43</v>
      </c>
      <c r="F55" s="41">
        <f>260000+1000000</f>
        <v>1260000</v>
      </c>
      <c r="G55" s="15">
        <v>178000</v>
      </c>
      <c r="H55" s="40">
        <f>F55/G55</f>
        <v>7.0786516853932584</v>
      </c>
      <c r="I55" s="15">
        <f>280000+760000</f>
        <v>1040000</v>
      </c>
      <c r="J55" s="15">
        <f>J74</f>
        <v>179600</v>
      </c>
      <c r="K55" s="40">
        <f>I55/J55</f>
        <v>5.7906458797327396</v>
      </c>
      <c r="L55" s="15"/>
    </row>
    <row r="56" spans="1:12" x14ac:dyDescent="0.2">
      <c r="A56" s="29"/>
      <c r="C56" s="27" t="s">
        <v>44</v>
      </c>
      <c r="F56" s="41">
        <f>200000+800000</f>
        <v>1000000</v>
      </c>
      <c r="G56" s="15">
        <v>178000</v>
      </c>
      <c r="H56" s="40">
        <f>F56/G56</f>
        <v>5.617977528089888</v>
      </c>
      <c r="I56" s="15">
        <f>220000+600000</f>
        <v>820000</v>
      </c>
      <c r="J56" s="15">
        <f>J74</f>
        <v>179600</v>
      </c>
      <c r="K56" s="40">
        <f>I56/J56</f>
        <v>4.5657015590200443</v>
      </c>
      <c r="L56" s="15"/>
    </row>
    <row r="57" spans="1:12" x14ac:dyDescent="0.2">
      <c r="A57" s="29"/>
      <c r="B57" s="27" t="s">
        <v>45</v>
      </c>
      <c r="F57" s="41">
        <f>SUM(F54:F56)</f>
        <v>3940000</v>
      </c>
      <c r="G57" s="15"/>
      <c r="H57" s="40">
        <f>SUM(H54:H56)</f>
        <v>21.538734476641043</v>
      </c>
      <c r="I57" s="15">
        <f>SUM(I54:I56)</f>
        <v>3120000</v>
      </c>
      <c r="J57" s="15"/>
      <c r="K57" s="40">
        <f>SUM(K54:K56)</f>
        <v>17.101529451600751</v>
      </c>
      <c r="L57" s="15"/>
    </row>
    <row r="58" spans="1:12" x14ac:dyDescent="0.2">
      <c r="A58" s="16" t="s">
        <v>46</v>
      </c>
      <c r="F58" s="29"/>
      <c r="H58" s="39"/>
      <c r="J58" s="62" t="s">
        <v>62</v>
      </c>
      <c r="K58" s="40">
        <f>D77</f>
        <v>0.66822642004060029</v>
      </c>
    </row>
    <row r="59" spans="1:12" x14ac:dyDescent="0.2">
      <c r="A59" s="16" t="s">
        <v>63</v>
      </c>
      <c r="F59" s="29"/>
      <c r="H59" s="39"/>
      <c r="I59" s="15">
        <v>12000</v>
      </c>
      <c r="J59" s="15">
        <v>170000</v>
      </c>
      <c r="K59" s="40">
        <f>I59/J59</f>
        <v>7.0588235294117646E-2</v>
      </c>
    </row>
    <row r="60" spans="1:12" x14ac:dyDescent="0.2">
      <c r="A60" s="7"/>
      <c r="B60" s="23" t="s">
        <v>47</v>
      </c>
      <c r="C60" s="8"/>
      <c r="D60" s="8"/>
      <c r="E60" s="8"/>
      <c r="F60" s="45">
        <f>F57</f>
        <v>3940000</v>
      </c>
      <c r="G60" s="46"/>
      <c r="H60" s="47">
        <f>H57</f>
        <v>21.538734476641043</v>
      </c>
      <c r="I60" s="46">
        <f>I50+I57+I59+I49</f>
        <v>7453197.5162625667</v>
      </c>
      <c r="J60" s="46"/>
      <c r="K60" s="47">
        <f>K58+K57+K51+K59</f>
        <v>39.4463316882483</v>
      </c>
      <c r="L60" s="15"/>
    </row>
    <row r="61" spans="1:12" x14ac:dyDescent="0.2">
      <c r="A61" s="16" t="s">
        <v>64</v>
      </c>
      <c r="F61" s="41">
        <f>G61*H61</f>
        <v>3446197.5162625667</v>
      </c>
      <c r="G61" s="15">
        <v>160000</v>
      </c>
      <c r="H61" s="40">
        <f>H60</f>
        <v>21.538734476641043</v>
      </c>
      <c r="I61" s="15">
        <f>J61*K61</f>
        <v>6705876.3870022111</v>
      </c>
      <c r="J61" s="15">
        <v>170000</v>
      </c>
      <c r="K61" s="40">
        <f>K60</f>
        <v>39.4463316882483</v>
      </c>
      <c r="L61" s="15"/>
    </row>
    <row r="62" spans="1:12" x14ac:dyDescent="0.2">
      <c r="A62" s="29"/>
      <c r="F62" s="29"/>
      <c r="H62" s="39"/>
      <c r="K62" s="39"/>
    </row>
    <row r="63" spans="1:12" x14ac:dyDescent="0.2">
      <c r="A63" s="16" t="s">
        <v>65</v>
      </c>
      <c r="F63" s="41"/>
      <c r="G63" s="15"/>
      <c r="H63" s="40"/>
      <c r="I63" s="15"/>
      <c r="J63" s="15"/>
      <c r="K63" s="40"/>
      <c r="L63" s="15"/>
    </row>
    <row r="64" spans="1:12" x14ac:dyDescent="0.2">
      <c r="A64" s="16" t="s">
        <v>66</v>
      </c>
      <c r="F64" s="41"/>
      <c r="G64" s="15"/>
      <c r="H64" s="40"/>
      <c r="I64" s="15">
        <f>J64*K64</f>
        <v>534581.13603248249</v>
      </c>
      <c r="J64" s="15">
        <v>24000</v>
      </c>
      <c r="K64" s="40">
        <f>D71</f>
        <v>22.274214001353435</v>
      </c>
      <c r="L64" s="15"/>
    </row>
    <row r="65" spans="1:12" x14ac:dyDescent="0.2">
      <c r="A65" s="16" t="s">
        <v>51</v>
      </c>
      <c r="F65" s="41"/>
      <c r="G65" s="15"/>
      <c r="H65" s="40"/>
      <c r="I65" s="15"/>
      <c r="J65" s="15"/>
      <c r="K65" s="40"/>
      <c r="L65" s="15"/>
    </row>
    <row r="66" spans="1:12" x14ac:dyDescent="0.2">
      <c r="A66" s="29"/>
      <c r="B66" s="27" t="s">
        <v>42</v>
      </c>
      <c r="F66" s="41">
        <f>G66*H66</f>
        <v>265263.15789473685</v>
      </c>
      <c r="G66" s="15">
        <v>30000</v>
      </c>
      <c r="H66" s="40">
        <f>H54</f>
        <v>8.8421052631578956</v>
      </c>
      <c r="I66" s="15">
        <f>K66*J66</f>
        <v>113319.05781584582</v>
      </c>
      <c r="J66" s="15">
        <f>0.7*J64</f>
        <v>16800</v>
      </c>
      <c r="K66" s="40">
        <f>K54</f>
        <v>6.745182012847966</v>
      </c>
      <c r="L66" s="15"/>
    </row>
    <row r="67" spans="1:12" x14ac:dyDescent="0.2">
      <c r="A67" s="29"/>
      <c r="B67" s="27" t="s">
        <v>43</v>
      </c>
      <c r="F67" s="41">
        <f>G67*H67</f>
        <v>127415.73033707865</v>
      </c>
      <c r="G67" s="15">
        <f>60/100*30000</f>
        <v>18000</v>
      </c>
      <c r="H67" s="40">
        <f>H55</f>
        <v>7.0786516853932584</v>
      </c>
      <c r="I67" s="15">
        <f>J67*K67</f>
        <v>55590.200445434297</v>
      </c>
      <c r="J67" s="15">
        <f>0.4*J64</f>
        <v>9600</v>
      </c>
      <c r="K67" s="40">
        <f>K55</f>
        <v>5.7906458797327396</v>
      </c>
      <c r="L67" s="15"/>
    </row>
    <row r="68" spans="1:12" x14ac:dyDescent="0.2">
      <c r="A68" s="29"/>
      <c r="B68" s="27" t="s">
        <v>52</v>
      </c>
      <c r="F68" s="41">
        <f>G68*H68</f>
        <v>101123.59550561798</v>
      </c>
      <c r="G68" s="15">
        <f>60/100*30000</f>
        <v>18000</v>
      </c>
      <c r="H68" s="40">
        <f>H56</f>
        <v>5.617977528089888</v>
      </c>
      <c r="I68" s="15">
        <f>J68*K68</f>
        <v>43830.734966592427</v>
      </c>
      <c r="J68" s="15">
        <f>0.4*J64</f>
        <v>9600</v>
      </c>
      <c r="K68" s="40">
        <f>K56</f>
        <v>4.5657015590200443</v>
      </c>
      <c r="L68" s="15"/>
    </row>
    <row r="69" spans="1:12" x14ac:dyDescent="0.2">
      <c r="A69" s="7"/>
      <c r="B69" s="23" t="s">
        <v>47</v>
      </c>
      <c r="C69" s="8"/>
      <c r="D69" s="8"/>
      <c r="E69" s="8"/>
      <c r="F69" s="45">
        <f>SUM(F61:F68)</f>
        <v>3940000.0000000005</v>
      </c>
      <c r="G69" s="8"/>
      <c r="H69" s="47"/>
      <c r="I69" s="46">
        <f>SUM(I61:I68)</f>
        <v>7453197.5162625667</v>
      </c>
      <c r="J69" s="46"/>
      <c r="K69" s="47"/>
      <c r="L69" s="15"/>
    </row>
    <row r="70" spans="1:12" x14ac:dyDescent="0.2">
      <c r="H70" s="49"/>
      <c r="I70" s="15"/>
      <c r="J70" s="15"/>
      <c r="K70" s="49"/>
    </row>
    <row r="71" spans="1:12" x14ac:dyDescent="0.2">
      <c r="A71" s="27" t="s">
        <v>67</v>
      </c>
      <c r="D71" s="49">
        <f>I51/194000</f>
        <v>22.274214001353435</v>
      </c>
      <c r="F71" s="50" t="s">
        <v>68</v>
      </c>
      <c r="G71" s="15"/>
      <c r="H71" s="49"/>
      <c r="I71" s="50" t="s">
        <v>69</v>
      </c>
      <c r="J71" s="15"/>
      <c r="K71" s="49"/>
    </row>
    <row r="72" spans="1:12" x14ac:dyDescent="0.2">
      <c r="A72" s="27" t="s">
        <v>70</v>
      </c>
      <c r="D72" s="49"/>
      <c r="F72" s="15"/>
      <c r="G72" s="15"/>
      <c r="H72" s="49"/>
      <c r="I72" s="15"/>
      <c r="J72" s="15"/>
      <c r="K72" s="49"/>
    </row>
    <row r="73" spans="1:12" x14ac:dyDescent="0.2">
      <c r="D73" s="49"/>
      <c r="F73" s="50" t="s">
        <v>71</v>
      </c>
      <c r="G73" s="15"/>
      <c r="H73" s="49"/>
      <c r="I73" s="50" t="s">
        <v>72</v>
      </c>
      <c r="J73" s="15"/>
      <c r="K73" s="49"/>
    </row>
    <row r="74" spans="1:12" x14ac:dyDescent="0.2">
      <c r="A74" s="27" t="s">
        <v>73</v>
      </c>
      <c r="D74" s="49">
        <f>I51/200000</f>
        <v>21.605987581312835</v>
      </c>
      <c r="F74" s="50" t="s">
        <v>74</v>
      </c>
      <c r="G74" s="15">
        <f>60/100*30000+160000</f>
        <v>178000</v>
      </c>
      <c r="H74" s="49"/>
      <c r="I74" s="50" t="s">
        <v>74</v>
      </c>
      <c r="J74" s="15">
        <f>40/100*24000+170000</f>
        <v>179600</v>
      </c>
      <c r="K74" s="51" t="s">
        <v>75</v>
      </c>
    </row>
    <row r="75" spans="1:12" x14ac:dyDescent="0.2">
      <c r="A75" s="27" t="s">
        <v>76</v>
      </c>
      <c r="D75" s="49"/>
      <c r="I75" s="15"/>
      <c r="J75" s="15"/>
      <c r="K75" s="49"/>
    </row>
    <row r="76" spans="1:12" x14ac:dyDescent="0.2">
      <c r="D76" s="49"/>
      <c r="F76" s="50" t="s">
        <v>77</v>
      </c>
      <c r="G76" s="15"/>
      <c r="I76" s="50" t="s">
        <v>78</v>
      </c>
      <c r="J76" s="15"/>
      <c r="K76" s="49"/>
    </row>
    <row r="77" spans="1:12" x14ac:dyDescent="0.2">
      <c r="A77" s="27" t="s">
        <v>79</v>
      </c>
      <c r="D77" s="49">
        <f>D71-D74</f>
        <v>0.66822642004060029</v>
      </c>
      <c r="F77" s="50" t="s">
        <v>74</v>
      </c>
      <c r="G77" s="15">
        <f>100/100*30000+160000</f>
        <v>190000</v>
      </c>
      <c r="I77" s="50" t="s">
        <v>74</v>
      </c>
      <c r="J77" s="15">
        <f>70/100*24000+170000</f>
        <v>186800</v>
      </c>
      <c r="K77" s="51" t="s">
        <v>80</v>
      </c>
    </row>
    <row r="78" spans="1:12" x14ac:dyDescent="0.2">
      <c r="D78" s="49"/>
    </row>
    <row r="79" spans="1:12" x14ac:dyDescent="0.2">
      <c r="D79" s="49"/>
    </row>
    <row r="80" spans="1:12" x14ac:dyDescent="0.2">
      <c r="D80" s="49"/>
    </row>
    <row r="81" spans="4:11" x14ac:dyDescent="0.2">
      <c r="D81" s="49"/>
    </row>
    <row r="82" spans="4:11" x14ac:dyDescent="0.2">
      <c r="D82" s="49"/>
      <c r="I82" s="15"/>
      <c r="J82" s="15"/>
      <c r="K82" s="49"/>
    </row>
    <row r="83" spans="4:11" x14ac:dyDescent="0.2">
      <c r="D83" s="49"/>
      <c r="I83" s="15"/>
      <c r="J83" s="15"/>
      <c r="K83" s="49"/>
    </row>
  </sheetData>
  <mergeCells count="2">
    <mergeCell ref="F46:H46"/>
    <mergeCell ref="I46:K46"/>
  </mergeCells>
  <pageMargins left="0.75" right="0.75" top="1" bottom="1" header="0" footer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83B2-6693-46A4-BB7C-1601AFDE19EF}">
  <dimension ref="A1:D18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25.42578125" style="64" customWidth="1"/>
    <col min="2" max="16384" width="11.42578125" style="64"/>
  </cols>
  <sheetData>
    <row r="1" spans="1:4" x14ac:dyDescent="0.25">
      <c r="A1" s="63" t="s">
        <v>0</v>
      </c>
    </row>
    <row r="6" spans="1:4" x14ac:dyDescent="0.25">
      <c r="D6" s="65"/>
    </row>
    <row r="7" spans="1:4" x14ac:dyDescent="0.25">
      <c r="D7" s="65"/>
    </row>
    <row r="9" spans="1:4" x14ac:dyDescent="0.25">
      <c r="D9" s="65"/>
    </row>
    <row r="12" spans="1:4" x14ac:dyDescent="0.25">
      <c r="D12" s="65"/>
    </row>
    <row r="18" spans="1:1" x14ac:dyDescent="0.25">
      <c r="A18" s="6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DC49-BFDA-4EED-83F1-D6AA58F7BCC8}">
  <dimension ref="A1:E1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9.140625" style="64"/>
    <col min="2" max="2" width="17.42578125" style="64" customWidth="1"/>
    <col min="3" max="16384" width="9.140625" style="64"/>
  </cols>
  <sheetData>
    <row r="1" spans="1:5" x14ac:dyDescent="0.25">
      <c r="A1" s="63" t="s">
        <v>1</v>
      </c>
    </row>
    <row r="4" spans="1:5" x14ac:dyDescent="0.25">
      <c r="C4" s="66"/>
      <c r="D4" s="66"/>
      <c r="E4" s="66"/>
    </row>
    <row r="5" spans="1:5" x14ac:dyDescent="0.25">
      <c r="C5" s="67"/>
      <c r="D5" s="67"/>
      <c r="E5" s="67"/>
    </row>
    <row r="6" spans="1:5" x14ac:dyDescent="0.25">
      <c r="C6" s="67"/>
      <c r="D6" s="67"/>
      <c r="E6" s="67"/>
    </row>
    <row r="7" spans="1:5" x14ac:dyDescent="0.25">
      <c r="C7" s="68"/>
      <c r="D7" s="68"/>
      <c r="E7" s="68"/>
    </row>
    <row r="8" spans="1:5" x14ac:dyDescent="0.25">
      <c r="C8" s="67"/>
      <c r="D8" s="67"/>
      <c r="E8" s="67"/>
    </row>
    <row r="9" spans="1:5" x14ac:dyDescent="0.25">
      <c r="C9" s="67"/>
      <c r="D9" s="67"/>
      <c r="E9" s="67"/>
    </row>
    <row r="10" spans="1:5" x14ac:dyDescent="0.25">
      <c r="C10" s="67"/>
      <c r="D10" s="67"/>
      <c r="E10" s="67"/>
    </row>
    <row r="11" spans="1:5" x14ac:dyDescent="0.25">
      <c r="C11" s="67"/>
      <c r="D11" s="67"/>
      <c r="E11" s="6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3354-0422-4691-9ED6-C49DFC973672}">
  <dimension ref="A1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2.28515625" style="64" customWidth="1"/>
    <col min="2" max="16384" width="11.42578125" style="64"/>
  </cols>
  <sheetData>
    <row r="1" spans="1:1" x14ac:dyDescent="0.25">
      <c r="A1" s="63" t="s">
        <v>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C557-DE41-4D18-9A13-957AF083B99D}">
  <dimension ref="A1:E9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0.140625" style="64" customWidth="1"/>
    <col min="2" max="16384" width="11.42578125" style="64"/>
  </cols>
  <sheetData>
    <row r="1" spans="1:5" x14ac:dyDescent="0.25">
      <c r="A1" s="63" t="s">
        <v>3</v>
      </c>
    </row>
    <row r="4" spans="1:5" x14ac:dyDescent="0.25">
      <c r="D4" s="68"/>
      <c r="E4" s="68"/>
    </row>
    <row r="5" spans="1:5" x14ac:dyDescent="0.25">
      <c r="D5" s="67"/>
      <c r="E5" s="69"/>
    </row>
    <row r="6" spans="1:5" x14ac:dyDescent="0.25">
      <c r="D6" s="67"/>
      <c r="E6" s="69"/>
    </row>
    <row r="7" spans="1:5" x14ac:dyDescent="0.25">
      <c r="D7" s="67"/>
      <c r="E7" s="70"/>
    </row>
    <row r="8" spans="1:5" x14ac:dyDescent="0.25">
      <c r="D8" s="67"/>
      <c r="E8" s="69"/>
    </row>
    <row r="9" spans="1:5" x14ac:dyDescent="0.25">
      <c r="D9" s="67"/>
      <c r="E9" s="7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86AF-6ADF-46D6-91A5-B9241EA6EA8C}">
  <dimension ref="A1:G33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5.5703125" style="64" customWidth="1"/>
    <col min="2" max="4" width="11.42578125" style="64"/>
    <col min="5" max="5" width="15.5703125" style="64" customWidth="1"/>
    <col min="6" max="16384" width="11.42578125" style="64"/>
  </cols>
  <sheetData>
    <row r="1" spans="1:7" x14ac:dyDescent="0.25">
      <c r="A1" s="63" t="s">
        <v>4</v>
      </c>
    </row>
    <row r="2" spans="1:7" x14ac:dyDescent="0.25">
      <c r="A2" s="64" t="s">
        <v>81</v>
      </c>
    </row>
    <row r="3" spans="1:7" x14ac:dyDescent="0.25">
      <c r="A3" s="64" t="s">
        <v>82</v>
      </c>
    </row>
    <row r="4" spans="1:7" x14ac:dyDescent="0.25">
      <c r="A4" s="64" t="s">
        <v>83</v>
      </c>
    </row>
    <row r="5" spans="1:7" x14ac:dyDescent="0.25">
      <c r="A5" s="64" t="s">
        <v>84</v>
      </c>
    </row>
    <row r="6" spans="1:7" x14ac:dyDescent="0.25">
      <c r="A6" s="64" t="s">
        <v>85</v>
      </c>
    </row>
    <row r="7" spans="1:7" x14ac:dyDescent="0.25">
      <c r="A7" s="64" t="s">
        <v>86</v>
      </c>
    </row>
    <row r="8" spans="1:7" x14ac:dyDescent="0.25">
      <c r="A8" s="64" t="s">
        <v>87</v>
      </c>
    </row>
    <row r="9" spans="1:7" x14ac:dyDescent="0.25">
      <c r="A9" s="64" t="s">
        <v>88</v>
      </c>
    </row>
    <row r="10" spans="1:7" x14ac:dyDescent="0.25">
      <c r="A10" s="64" t="s">
        <v>89</v>
      </c>
    </row>
    <row r="12" spans="1:7" x14ac:dyDescent="0.25">
      <c r="A12" s="64" t="s">
        <v>90</v>
      </c>
      <c r="E12" s="68" t="s">
        <v>91</v>
      </c>
      <c r="F12" s="68" t="s">
        <v>92</v>
      </c>
    </row>
    <row r="13" spans="1:7" x14ac:dyDescent="0.25">
      <c r="A13" s="64" t="s">
        <v>7</v>
      </c>
      <c r="E13" s="68"/>
      <c r="F13" s="68"/>
    </row>
    <row r="14" spans="1:7" x14ac:dyDescent="0.25">
      <c r="A14" s="64" t="s">
        <v>93</v>
      </c>
      <c r="E14" s="67">
        <v>1000</v>
      </c>
      <c r="F14" s="68">
        <v>500</v>
      </c>
      <c r="G14" s="64" t="s">
        <v>94</v>
      </c>
    </row>
    <row r="15" spans="1:7" x14ac:dyDescent="0.25">
      <c r="A15" s="64" t="s">
        <v>95</v>
      </c>
      <c r="E15" s="66">
        <v>0.3</v>
      </c>
      <c r="F15" s="66">
        <v>0.4</v>
      </c>
    </row>
    <row r="16" spans="1:7" x14ac:dyDescent="0.25">
      <c r="A16" s="64" t="s">
        <v>96</v>
      </c>
      <c r="E16" s="67">
        <v>10000</v>
      </c>
      <c r="F16" s="68">
        <v>0</v>
      </c>
      <c r="G16" s="64" t="s">
        <v>97</v>
      </c>
    </row>
    <row r="17" spans="1:7" x14ac:dyDescent="0.25">
      <c r="A17" s="64" t="s">
        <v>98</v>
      </c>
      <c r="E17" s="67">
        <v>6000</v>
      </c>
      <c r="F17" s="67">
        <v>6000</v>
      </c>
      <c r="G17" s="64" t="s">
        <v>97</v>
      </c>
    </row>
    <row r="18" spans="1:7" x14ac:dyDescent="0.25">
      <c r="A18" s="64" t="s">
        <v>99</v>
      </c>
      <c r="E18" s="68">
        <v>0</v>
      </c>
      <c r="F18" s="67">
        <v>25000</v>
      </c>
      <c r="G18" s="64" t="s">
        <v>97</v>
      </c>
    </row>
    <row r="19" spans="1:7" x14ac:dyDescent="0.25">
      <c r="A19" s="64" t="s">
        <v>100</v>
      </c>
      <c r="E19" s="68"/>
      <c r="F19" s="68"/>
    </row>
    <row r="20" spans="1:7" x14ac:dyDescent="0.25">
      <c r="A20" s="64" t="s">
        <v>101</v>
      </c>
      <c r="E20" s="67">
        <v>180000</v>
      </c>
      <c r="F20" s="67">
        <v>30000</v>
      </c>
      <c r="G20" s="64" t="s">
        <v>97</v>
      </c>
    </row>
    <row r="21" spans="1:7" x14ac:dyDescent="0.25">
      <c r="A21" s="64" t="s">
        <v>102</v>
      </c>
      <c r="E21" s="67">
        <v>333000</v>
      </c>
      <c r="F21" s="67">
        <v>58450</v>
      </c>
      <c r="G21" s="64" t="s">
        <v>97</v>
      </c>
    </row>
    <row r="22" spans="1:7" x14ac:dyDescent="0.25">
      <c r="A22" s="64" t="s">
        <v>103</v>
      </c>
      <c r="E22" s="67">
        <v>12000</v>
      </c>
      <c r="F22" s="68" t="s">
        <v>104</v>
      </c>
      <c r="G22" s="64" t="s">
        <v>94</v>
      </c>
    </row>
    <row r="23" spans="1:7" x14ac:dyDescent="0.25">
      <c r="A23" s="64" t="s">
        <v>105</v>
      </c>
      <c r="E23" s="68" t="s">
        <v>104</v>
      </c>
      <c r="F23" s="68" t="s">
        <v>104</v>
      </c>
      <c r="G23" s="64" t="s">
        <v>94</v>
      </c>
    </row>
    <row r="24" spans="1:7" x14ac:dyDescent="0.25">
      <c r="A24" s="64" t="s">
        <v>106</v>
      </c>
      <c r="E24" s="67">
        <v>2000</v>
      </c>
      <c r="F24" s="68">
        <v>700</v>
      </c>
      <c r="G24" s="64" t="s">
        <v>94</v>
      </c>
    </row>
    <row r="25" spans="1:7" x14ac:dyDescent="0.25">
      <c r="A25" s="64" t="s">
        <v>95</v>
      </c>
      <c r="E25" s="66">
        <v>0.2</v>
      </c>
      <c r="F25" s="66">
        <v>0.1</v>
      </c>
    </row>
    <row r="26" spans="1:7" x14ac:dyDescent="0.25">
      <c r="A26" s="64" t="s">
        <v>107</v>
      </c>
      <c r="E26" s="68">
        <v>4</v>
      </c>
      <c r="F26" s="68">
        <v>1</v>
      </c>
      <c r="G26" s="64" t="s">
        <v>94</v>
      </c>
    </row>
    <row r="27" spans="1:7" x14ac:dyDescent="0.25">
      <c r="A27" s="64" t="s">
        <v>108</v>
      </c>
      <c r="E27" s="67">
        <v>2500</v>
      </c>
      <c r="F27" s="68">
        <v>0</v>
      </c>
      <c r="G27" s="64" t="s">
        <v>94</v>
      </c>
    </row>
    <row r="28" spans="1:7" x14ac:dyDescent="0.25">
      <c r="A28" s="64" t="s">
        <v>109</v>
      </c>
      <c r="E28" s="68">
        <v>500</v>
      </c>
      <c r="F28" s="68">
        <v>300</v>
      </c>
      <c r="G28" s="64" t="s">
        <v>94</v>
      </c>
    </row>
    <row r="30" spans="1:7" x14ac:dyDescent="0.25">
      <c r="A30" s="64" t="s">
        <v>110</v>
      </c>
    </row>
    <row r="31" spans="1:7" x14ac:dyDescent="0.25">
      <c r="A31" s="64" t="s">
        <v>111</v>
      </c>
    </row>
    <row r="32" spans="1:7" x14ac:dyDescent="0.25">
      <c r="A32" s="64" t="s">
        <v>112</v>
      </c>
    </row>
    <row r="33" spans="1:1" x14ac:dyDescent="0.25">
      <c r="A33" s="64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16D7-6D9E-4563-831C-74728CE40353}">
  <dimension ref="A1:E1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7.5703125" style="64" customWidth="1"/>
    <col min="2" max="16384" width="11.42578125" style="64"/>
  </cols>
  <sheetData>
    <row r="1" spans="1:5" x14ac:dyDescent="0.25">
      <c r="A1" s="63" t="s">
        <v>154</v>
      </c>
    </row>
    <row r="4" spans="1:5" x14ac:dyDescent="0.25">
      <c r="B4" s="71"/>
      <c r="C4" s="63"/>
      <c r="E4" s="71"/>
    </row>
    <row r="5" spans="1:5" x14ac:dyDescent="0.25">
      <c r="B5" s="67"/>
      <c r="C5" s="68"/>
      <c r="D5" s="68"/>
      <c r="E5" s="68"/>
    </row>
    <row r="6" spans="1:5" x14ac:dyDescent="0.25">
      <c r="B6" s="67"/>
      <c r="C6" s="67"/>
      <c r="D6" s="67"/>
      <c r="E6" s="67"/>
    </row>
    <row r="7" spans="1:5" x14ac:dyDescent="0.25">
      <c r="B7" s="67"/>
      <c r="C7" s="67"/>
      <c r="D7" s="67"/>
      <c r="E7" s="67"/>
    </row>
    <row r="8" spans="1:5" x14ac:dyDescent="0.25">
      <c r="B8" s="67"/>
      <c r="C8" s="68"/>
      <c r="D8" s="68"/>
      <c r="E8" s="68"/>
    </row>
    <row r="9" spans="1:5" x14ac:dyDescent="0.25">
      <c r="B9" s="67"/>
      <c r="C9" s="68"/>
      <c r="D9" s="68"/>
      <c r="E9" s="68"/>
    </row>
    <row r="10" spans="1:5" x14ac:dyDescent="0.25">
      <c r="B10" s="67"/>
      <c r="E10" s="68"/>
    </row>
    <row r="11" spans="1:5" x14ac:dyDescent="0.25">
      <c r="B11" s="67"/>
      <c r="E11" s="68"/>
    </row>
    <row r="12" spans="1:5" x14ac:dyDescent="0.25">
      <c r="B12" s="67"/>
      <c r="E12" s="6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647-54A7-4471-90CE-3F98EBA9641A}">
  <dimension ref="A1:E19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3" style="64" customWidth="1"/>
    <col min="2" max="3" width="11.42578125" style="64"/>
    <col min="4" max="4" width="13.7109375" style="64" bestFit="1" customWidth="1"/>
    <col min="5" max="5" width="14.42578125" style="64" bestFit="1" customWidth="1"/>
    <col min="6" max="16384" width="11.42578125" style="64"/>
  </cols>
  <sheetData>
    <row r="1" spans="1:5" x14ac:dyDescent="0.25">
      <c r="A1" s="63" t="s">
        <v>155</v>
      </c>
    </row>
    <row r="6" spans="1:5" x14ac:dyDescent="0.25">
      <c r="D6" s="67"/>
      <c r="E6" s="67"/>
    </row>
    <row r="7" spans="1:5" x14ac:dyDescent="0.25">
      <c r="D7" s="68"/>
      <c r="E7" s="68"/>
    </row>
    <row r="8" spans="1:5" x14ac:dyDescent="0.25">
      <c r="D8" s="67"/>
      <c r="E8" s="67"/>
    </row>
    <row r="9" spans="1:5" x14ac:dyDescent="0.25">
      <c r="D9" s="67"/>
      <c r="E9" s="67"/>
    </row>
    <row r="10" spans="1:5" x14ac:dyDescent="0.25">
      <c r="D10" s="68"/>
      <c r="E10" s="68"/>
    </row>
    <row r="11" spans="1:5" x14ac:dyDescent="0.25">
      <c r="D11" s="67"/>
      <c r="E11" s="67"/>
    </row>
    <row r="12" spans="1:5" x14ac:dyDescent="0.25">
      <c r="D12" s="67"/>
      <c r="E12" s="67"/>
    </row>
    <row r="13" spans="1:5" x14ac:dyDescent="0.25">
      <c r="D13" s="67"/>
      <c r="E13" s="67"/>
    </row>
    <row r="14" spans="1:5" x14ac:dyDescent="0.25">
      <c r="D14" s="68"/>
      <c r="E14" s="68"/>
    </row>
    <row r="15" spans="1:5" x14ac:dyDescent="0.25">
      <c r="D15" s="67"/>
      <c r="E15" s="67"/>
    </row>
    <row r="16" spans="1:5" x14ac:dyDescent="0.25">
      <c r="D16" s="67"/>
      <c r="E16" s="67"/>
    </row>
    <row r="17" spans="4:5" x14ac:dyDescent="0.25">
      <c r="D17" s="67"/>
      <c r="E17" s="67"/>
    </row>
    <row r="18" spans="4:5" x14ac:dyDescent="0.25">
      <c r="D18" s="67"/>
      <c r="E18" s="67"/>
    </row>
    <row r="19" spans="4:5" x14ac:dyDescent="0.25">
      <c r="D19" s="67"/>
      <c r="E19" s="67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8944-E40A-49F3-9DB4-196CFFDEDD62}">
  <dimension ref="A1:AB36"/>
  <sheetViews>
    <sheetView topLeftCell="M1" zoomScale="120" zoomScaleNormal="120" workbookViewId="0">
      <selection activeCell="Z20" sqref="Z20"/>
    </sheetView>
  </sheetViews>
  <sheetFormatPr baseColWidth="10" defaultRowHeight="12.75" x14ac:dyDescent="0.2"/>
  <cols>
    <col min="1" max="1" width="14.42578125" style="2" customWidth="1"/>
    <col min="2" max="2" width="8" style="2" customWidth="1"/>
    <col min="3" max="3" width="4.7109375" style="2" customWidth="1"/>
    <col min="4" max="4" width="9.140625" style="2" customWidth="1"/>
    <col min="5" max="5" width="1.5703125" style="2" customWidth="1"/>
    <col min="6" max="6" width="5.42578125" style="2" customWidth="1"/>
    <col min="7" max="7" width="7.28515625" style="2" customWidth="1"/>
    <col min="8" max="8" width="8.28515625" style="2" customWidth="1"/>
    <col min="9" max="9" width="9.28515625" style="2" customWidth="1"/>
    <col min="10" max="10" width="7" style="2" customWidth="1"/>
    <col min="11" max="12" width="8.7109375" style="2" customWidth="1"/>
    <col min="13" max="13" width="7.5703125" style="2" customWidth="1"/>
    <col min="14" max="14" width="9.42578125" style="2" customWidth="1"/>
    <col min="15" max="15" width="8" style="2" customWidth="1"/>
    <col min="16" max="16" width="9" style="2" customWidth="1"/>
    <col min="17" max="17" width="8.85546875" style="2" customWidth="1"/>
    <col min="18" max="256" width="11.42578125" style="2"/>
    <col min="257" max="257" width="14.42578125" style="2" customWidth="1"/>
    <col min="258" max="258" width="8" style="2" customWidth="1"/>
    <col min="259" max="259" width="4.7109375" style="2" customWidth="1"/>
    <col min="260" max="260" width="9.140625" style="2" customWidth="1"/>
    <col min="261" max="261" width="1.5703125" style="2" customWidth="1"/>
    <col min="262" max="262" width="5.42578125" style="2" customWidth="1"/>
    <col min="263" max="263" width="7.28515625" style="2" customWidth="1"/>
    <col min="264" max="264" width="8.28515625" style="2" customWidth="1"/>
    <col min="265" max="265" width="9.28515625" style="2" customWidth="1"/>
    <col min="266" max="266" width="7" style="2" customWidth="1"/>
    <col min="267" max="268" width="8.7109375" style="2" customWidth="1"/>
    <col min="269" max="269" width="7.5703125" style="2" customWidth="1"/>
    <col min="270" max="270" width="9.42578125" style="2" customWidth="1"/>
    <col min="271" max="271" width="8" style="2" customWidth="1"/>
    <col min="272" max="272" width="9" style="2" customWidth="1"/>
    <col min="273" max="273" width="8.85546875" style="2" customWidth="1"/>
    <col min="274" max="512" width="11.42578125" style="2"/>
    <col min="513" max="513" width="14.42578125" style="2" customWidth="1"/>
    <col min="514" max="514" width="8" style="2" customWidth="1"/>
    <col min="515" max="515" width="4.7109375" style="2" customWidth="1"/>
    <col min="516" max="516" width="9.140625" style="2" customWidth="1"/>
    <col min="517" max="517" width="1.5703125" style="2" customWidth="1"/>
    <col min="518" max="518" width="5.42578125" style="2" customWidth="1"/>
    <col min="519" max="519" width="7.28515625" style="2" customWidth="1"/>
    <col min="520" max="520" width="8.28515625" style="2" customWidth="1"/>
    <col min="521" max="521" width="9.28515625" style="2" customWidth="1"/>
    <col min="522" max="522" width="7" style="2" customWidth="1"/>
    <col min="523" max="524" width="8.7109375" style="2" customWidth="1"/>
    <col min="525" max="525" width="7.5703125" style="2" customWidth="1"/>
    <col min="526" max="526" width="9.42578125" style="2" customWidth="1"/>
    <col min="527" max="527" width="8" style="2" customWidth="1"/>
    <col min="528" max="528" width="9" style="2" customWidth="1"/>
    <col min="529" max="529" width="8.85546875" style="2" customWidth="1"/>
    <col min="530" max="768" width="11.42578125" style="2"/>
    <col min="769" max="769" width="14.42578125" style="2" customWidth="1"/>
    <col min="770" max="770" width="8" style="2" customWidth="1"/>
    <col min="771" max="771" width="4.7109375" style="2" customWidth="1"/>
    <col min="772" max="772" width="9.140625" style="2" customWidth="1"/>
    <col min="773" max="773" width="1.5703125" style="2" customWidth="1"/>
    <col min="774" max="774" width="5.42578125" style="2" customWidth="1"/>
    <col min="775" max="775" width="7.28515625" style="2" customWidth="1"/>
    <col min="776" max="776" width="8.28515625" style="2" customWidth="1"/>
    <col min="777" max="777" width="9.28515625" style="2" customWidth="1"/>
    <col min="778" max="778" width="7" style="2" customWidth="1"/>
    <col min="779" max="780" width="8.7109375" style="2" customWidth="1"/>
    <col min="781" max="781" width="7.5703125" style="2" customWidth="1"/>
    <col min="782" max="782" width="9.42578125" style="2" customWidth="1"/>
    <col min="783" max="783" width="8" style="2" customWidth="1"/>
    <col min="784" max="784" width="9" style="2" customWidth="1"/>
    <col min="785" max="785" width="8.85546875" style="2" customWidth="1"/>
    <col min="786" max="1024" width="11.42578125" style="2"/>
    <col min="1025" max="1025" width="14.42578125" style="2" customWidth="1"/>
    <col min="1026" max="1026" width="8" style="2" customWidth="1"/>
    <col min="1027" max="1027" width="4.7109375" style="2" customWidth="1"/>
    <col min="1028" max="1028" width="9.140625" style="2" customWidth="1"/>
    <col min="1029" max="1029" width="1.5703125" style="2" customWidth="1"/>
    <col min="1030" max="1030" width="5.42578125" style="2" customWidth="1"/>
    <col min="1031" max="1031" width="7.28515625" style="2" customWidth="1"/>
    <col min="1032" max="1032" width="8.28515625" style="2" customWidth="1"/>
    <col min="1033" max="1033" width="9.28515625" style="2" customWidth="1"/>
    <col min="1034" max="1034" width="7" style="2" customWidth="1"/>
    <col min="1035" max="1036" width="8.7109375" style="2" customWidth="1"/>
    <col min="1037" max="1037" width="7.5703125" style="2" customWidth="1"/>
    <col min="1038" max="1038" width="9.42578125" style="2" customWidth="1"/>
    <col min="1039" max="1039" width="8" style="2" customWidth="1"/>
    <col min="1040" max="1040" width="9" style="2" customWidth="1"/>
    <col min="1041" max="1041" width="8.85546875" style="2" customWidth="1"/>
    <col min="1042" max="1280" width="11.42578125" style="2"/>
    <col min="1281" max="1281" width="14.42578125" style="2" customWidth="1"/>
    <col min="1282" max="1282" width="8" style="2" customWidth="1"/>
    <col min="1283" max="1283" width="4.7109375" style="2" customWidth="1"/>
    <col min="1284" max="1284" width="9.140625" style="2" customWidth="1"/>
    <col min="1285" max="1285" width="1.5703125" style="2" customWidth="1"/>
    <col min="1286" max="1286" width="5.42578125" style="2" customWidth="1"/>
    <col min="1287" max="1287" width="7.28515625" style="2" customWidth="1"/>
    <col min="1288" max="1288" width="8.28515625" style="2" customWidth="1"/>
    <col min="1289" max="1289" width="9.28515625" style="2" customWidth="1"/>
    <col min="1290" max="1290" width="7" style="2" customWidth="1"/>
    <col min="1291" max="1292" width="8.7109375" style="2" customWidth="1"/>
    <col min="1293" max="1293" width="7.5703125" style="2" customWidth="1"/>
    <col min="1294" max="1294" width="9.42578125" style="2" customWidth="1"/>
    <col min="1295" max="1295" width="8" style="2" customWidth="1"/>
    <col min="1296" max="1296" width="9" style="2" customWidth="1"/>
    <col min="1297" max="1297" width="8.85546875" style="2" customWidth="1"/>
    <col min="1298" max="1536" width="11.42578125" style="2"/>
    <col min="1537" max="1537" width="14.42578125" style="2" customWidth="1"/>
    <col min="1538" max="1538" width="8" style="2" customWidth="1"/>
    <col min="1539" max="1539" width="4.7109375" style="2" customWidth="1"/>
    <col min="1540" max="1540" width="9.140625" style="2" customWidth="1"/>
    <col min="1541" max="1541" width="1.5703125" style="2" customWidth="1"/>
    <col min="1542" max="1542" width="5.42578125" style="2" customWidth="1"/>
    <col min="1543" max="1543" width="7.28515625" style="2" customWidth="1"/>
    <col min="1544" max="1544" width="8.28515625" style="2" customWidth="1"/>
    <col min="1545" max="1545" width="9.28515625" style="2" customWidth="1"/>
    <col min="1546" max="1546" width="7" style="2" customWidth="1"/>
    <col min="1547" max="1548" width="8.7109375" style="2" customWidth="1"/>
    <col min="1549" max="1549" width="7.5703125" style="2" customWidth="1"/>
    <col min="1550" max="1550" width="9.42578125" style="2" customWidth="1"/>
    <col min="1551" max="1551" width="8" style="2" customWidth="1"/>
    <col min="1552" max="1552" width="9" style="2" customWidth="1"/>
    <col min="1553" max="1553" width="8.85546875" style="2" customWidth="1"/>
    <col min="1554" max="1792" width="11.42578125" style="2"/>
    <col min="1793" max="1793" width="14.42578125" style="2" customWidth="1"/>
    <col min="1794" max="1794" width="8" style="2" customWidth="1"/>
    <col min="1795" max="1795" width="4.7109375" style="2" customWidth="1"/>
    <col min="1796" max="1796" width="9.140625" style="2" customWidth="1"/>
    <col min="1797" max="1797" width="1.5703125" style="2" customWidth="1"/>
    <col min="1798" max="1798" width="5.42578125" style="2" customWidth="1"/>
    <col min="1799" max="1799" width="7.28515625" style="2" customWidth="1"/>
    <col min="1800" max="1800" width="8.28515625" style="2" customWidth="1"/>
    <col min="1801" max="1801" width="9.28515625" style="2" customWidth="1"/>
    <col min="1802" max="1802" width="7" style="2" customWidth="1"/>
    <col min="1803" max="1804" width="8.7109375" style="2" customWidth="1"/>
    <col min="1805" max="1805" width="7.5703125" style="2" customWidth="1"/>
    <col min="1806" max="1806" width="9.42578125" style="2" customWidth="1"/>
    <col min="1807" max="1807" width="8" style="2" customWidth="1"/>
    <col min="1808" max="1808" width="9" style="2" customWidth="1"/>
    <col min="1809" max="1809" width="8.85546875" style="2" customWidth="1"/>
    <col min="1810" max="2048" width="11.42578125" style="2"/>
    <col min="2049" max="2049" width="14.42578125" style="2" customWidth="1"/>
    <col min="2050" max="2050" width="8" style="2" customWidth="1"/>
    <col min="2051" max="2051" width="4.7109375" style="2" customWidth="1"/>
    <col min="2052" max="2052" width="9.140625" style="2" customWidth="1"/>
    <col min="2053" max="2053" width="1.5703125" style="2" customWidth="1"/>
    <col min="2054" max="2054" width="5.42578125" style="2" customWidth="1"/>
    <col min="2055" max="2055" width="7.28515625" style="2" customWidth="1"/>
    <col min="2056" max="2056" width="8.28515625" style="2" customWidth="1"/>
    <col min="2057" max="2057" width="9.28515625" style="2" customWidth="1"/>
    <col min="2058" max="2058" width="7" style="2" customWidth="1"/>
    <col min="2059" max="2060" width="8.7109375" style="2" customWidth="1"/>
    <col min="2061" max="2061" width="7.5703125" style="2" customWidth="1"/>
    <col min="2062" max="2062" width="9.42578125" style="2" customWidth="1"/>
    <col min="2063" max="2063" width="8" style="2" customWidth="1"/>
    <col min="2064" max="2064" width="9" style="2" customWidth="1"/>
    <col min="2065" max="2065" width="8.85546875" style="2" customWidth="1"/>
    <col min="2066" max="2304" width="11.42578125" style="2"/>
    <col min="2305" max="2305" width="14.42578125" style="2" customWidth="1"/>
    <col min="2306" max="2306" width="8" style="2" customWidth="1"/>
    <col min="2307" max="2307" width="4.7109375" style="2" customWidth="1"/>
    <col min="2308" max="2308" width="9.140625" style="2" customWidth="1"/>
    <col min="2309" max="2309" width="1.5703125" style="2" customWidth="1"/>
    <col min="2310" max="2310" width="5.42578125" style="2" customWidth="1"/>
    <col min="2311" max="2311" width="7.28515625" style="2" customWidth="1"/>
    <col min="2312" max="2312" width="8.28515625" style="2" customWidth="1"/>
    <col min="2313" max="2313" width="9.28515625" style="2" customWidth="1"/>
    <col min="2314" max="2314" width="7" style="2" customWidth="1"/>
    <col min="2315" max="2316" width="8.7109375" style="2" customWidth="1"/>
    <col min="2317" max="2317" width="7.5703125" style="2" customWidth="1"/>
    <col min="2318" max="2318" width="9.42578125" style="2" customWidth="1"/>
    <col min="2319" max="2319" width="8" style="2" customWidth="1"/>
    <col min="2320" max="2320" width="9" style="2" customWidth="1"/>
    <col min="2321" max="2321" width="8.85546875" style="2" customWidth="1"/>
    <col min="2322" max="2560" width="11.42578125" style="2"/>
    <col min="2561" max="2561" width="14.42578125" style="2" customWidth="1"/>
    <col min="2562" max="2562" width="8" style="2" customWidth="1"/>
    <col min="2563" max="2563" width="4.7109375" style="2" customWidth="1"/>
    <col min="2564" max="2564" width="9.140625" style="2" customWidth="1"/>
    <col min="2565" max="2565" width="1.5703125" style="2" customWidth="1"/>
    <col min="2566" max="2566" width="5.42578125" style="2" customWidth="1"/>
    <col min="2567" max="2567" width="7.28515625" style="2" customWidth="1"/>
    <col min="2568" max="2568" width="8.28515625" style="2" customWidth="1"/>
    <col min="2569" max="2569" width="9.28515625" style="2" customWidth="1"/>
    <col min="2570" max="2570" width="7" style="2" customWidth="1"/>
    <col min="2571" max="2572" width="8.7109375" style="2" customWidth="1"/>
    <col min="2573" max="2573" width="7.5703125" style="2" customWidth="1"/>
    <col min="2574" max="2574" width="9.42578125" style="2" customWidth="1"/>
    <col min="2575" max="2575" width="8" style="2" customWidth="1"/>
    <col min="2576" max="2576" width="9" style="2" customWidth="1"/>
    <col min="2577" max="2577" width="8.85546875" style="2" customWidth="1"/>
    <col min="2578" max="2816" width="11.42578125" style="2"/>
    <col min="2817" max="2817" width="14.42578125" style="2" customWidth="1"/>
    <col min="2818" max="2818" width="8" style="2" customWidth="1"/>
    <col min="2819" max="2819" width="4.7109375" style="2" customWidth="1"/>
    <col min="2820" max="2820" width="9.140625" style="2" customWidth="1"/>
    <col min="2821" max="2821" width="1.5703125" style="2" customWidth="1"/>
    <col min="2822" max="2822" width="5.42578125" style="2" customWidth="1"/>
    <col min="2823" max="2823" width="7.28515625" style="2" customWidth="1"/>
    <col min="2824" max="2824" width="8.28515625" style="2" customWidth="1"/>
    <col min="2825" max="2825" width="9.28515625" style="2" customWidth="1"/>
    <col min="2826" max="2826" width="7" style="2" customWidth="1"/>
    <col min="2827" max="2828" width="8.7109375" style="2" customWidth="1"/>
    <col min="2829" max="2829" width="7.5703125" style="2" customWidth="1"/>
    <col min="2830" max="2830" width="9.42578125" style="2" customWidth="1"/>
    <col min="2831" max="2831" width="8" style="2" customWidth="1"/>
    <col min="2832" max="2832" width="9" style="2" customWidth="1"/>
    <col min="2833" max="2833" width="8.85546875" style="2" customWidth="1"/>
    <col min="2834" max="3072" width="11.42578125" style="2"/>
    <col min="3073" max="3073" width="14.42578125" style="2" customWidth="1"/>
    <col min="3074" max="3074" width="8" style="2" customWidth="1"/>
    <col min="3075" max="3075" width="4.7109375" style="2" customWidth="1"/>
    <col min="3076" max="3076" width="9.140625" style="2" customWidth="1"/>
    <col min="3077" max="3077" width="1.5703125" style="2" customWidth="1"/>
    <col min="3078" max="3078" width="5.42578125" style="2" customWidth="1"/>
    <col min="3079" max="3079" width="7.28515625" style="2" customWidth="1"/>
    <col min="3080" max="3080" width="8.28515625" style="2" customWidth="1"/>
    <col min="3081" max="3081" width="9.28515625" style="2" customWidth="1"/>
    <col min="3082" max="3082" width="7" style="2" customWidth="1"/>
    <col min="3083" max="3084" width="8.7109375" style="2" customWidth="1"/>
    <col min="3085" max="3085" width="7.5703125" style="2" customWidth="1"/>
    <col min="3086" max="3086" width="9.42578125" style="2" customWidth="1"/>
    <col min="3087" max="3087" width="8" style="2" customWidth="1"/>
    <col min="3088" max="3088" width="9" style="2" customWidth="1"/>
    <col min="3089" max="3089" width="8.85546875" style="2" customWidth="1"/>
    <col min="3090" max="3328" width="11.42578125" style="2"/>
    <col min="3329" max="3329" width="14.42578125" style="2" customWidth="1"/>
    <col min="3330" max="3330" width="8" style="2" customWidth="1"/>
    <col min="3331" max="3331" width="4.7109375" style="2" customWidth="1"/>
    <col min="3332" max="3332" width="9.140625" style="2" customWidth="1"/>
    <col min="3333" max="3333" width="1.5703125" style="2" customWidth="1"/>
    <col min="3334" max="3334" width="5.42578125" style="2" customWidth="1"/>
    <col min="3335" max="3335" width="7.28515625" style="2" customWidth="1"/>
    <col min="3336" max="3336" width="8.28515625" style="2" customWidth="1"/>
    <col min="3337" max="3337" width="9.28515625" style="2" customWidth="1"/>
    <col min="3338" max="3338" width="7" style="2" customWidth="1"/>
    <col min="3339" max="3340" width="8.7109375" style="2" customWidth="1"/>
    <col min="3341" max="3341" width="7.5703125" style="2" customWidth="1"/>
    <col min="3342" max="3342" width="9.42578125" style="2" customWidth="1"/>
    <col min="3343" max="3343" width="8" style="2" customWidth="1"/>
    <col min="3344" max="3344" width="9" style="2" customWidth="1"/>
    <col min="3345" max="3345" width="8.85546875" style="2" customWidth="1"/>
    <col min="3346" max="3584" width="11.42578125" style="2"/>
    <col min="3585" max="3585" width="14.42578125" style="2" customWidth="1"/>
    <col min="3586" max="3586" width="8" style="2" customWidth="1"/>
    <col min="3587" max="3587" width="4.7109375" style="2" customWidth="1"/>
    <col min="3588" max="3588" width="9.140625" style="2" customWidth="1"/>
    <col min="3589" max="3589" width="1.5703125" style="2" customWidth="1"/>
    <col min="3590" max="3590" width="5.42578125" style="2" customWidth="1"/>
    <col min="3591" max="3591" width="7.28515625" style="2" customWidth="1"/>
    <col min="3592" max="3592" width="8.28515625" style="2" customWidth="1"/>
    <col min="3593" max="3593" width="9.28515625" style="2" customWidth="1"/>
    <col min="3594" max="3594" width="7" style="2" customWidth="1"/>
    <col min="3595" max="3596" width="8.7109375" style="2" customWidth="1"/>
    <col min="3597" max="3597" width="7.5703125" style="2" customWidth="1"/>
    <col min="3598" max="3598" width="9.42578125" style="2" customWidth="1"/>
    <col min="3599" max="3599" width="8" style="2" customWidth="1"/>
    <col min="3600" max="3600" width="9" style="2" customWidth="1"/>
    <col min="3601" max="3601" width="8.85546875" style="2" customWidth="1"/>
    <col min="3602" max="3840" width="11.42578125" style="2"/>
    <col min="3841" max="3841" width="14.42578125" style="2" customWidth="1"/>
    <col min="3842" max="3842" width="8" style="2" customWidth="1"/>
    <col min="3843" max="3843" width="4.7109375" style="2" customWidth="1"/>
    <col min="3844" max="3844" width="9.140625" style="2" customWidth="1"/>
    <col min="3845" max="3845" width="1.5703125" style="2" customWidth="1"/>
    <col min="3846" max="3846" width="5.42578125" style="2" customWidth="1"/>
    <col min="3847" max="3847" width="7.28515625" style="2" customWidth="1"/>
    <col min="3848" max="3848" width="8.28515625" style="2" customWidth="1"/>
    <col min="3849" max="3849" width="9.28515625" style="2" customWidth="1"/>
    <col min="3850" max="3850" width="7" style="2" customWidth="1"/>
    <col min="3851" max="3852" width="8.7109375" style="2" customWidth="1"/>
    <col min="3853" max="3853" width="7.5703125" style="2" customWidth="1"/>
    <col min="3854" max="3854" width="9.42578125" style="2" customWidth="1"/>
    <col min="3855" max="3855" width="8" style="2" customWidth="1"/>
    <col min="3856" max="3856" width="9" style="2" customWidth="1"/>
    <col min="3857" max="3857" width="8.85546875" style="2" customWidth="1"/>
    <col min="3858" max="4096" width="11.42578125" style="2"/>
    <col min="4097" max="4097" width="14.42578125" style="2" customWidth="1"/>
    <col min="4098" max="4098" width="8" style="2" customWidth="1"/>
    <col min="4099" max="4099" width="4.7109375" style="2" customWidth="1"/>
    <col min="4100" max="4100" width="9.140625" style="2" customWidth="1"/>
    <col min="4101" max="4101" width="1.5703125" style="2" customWidth="1"/>
    <col min="4102" max="4102" width="5.42578125" style="2" customWidth="1"/>
    <col min="4103" max="4103" width="7.28515625" style="2" customWidth="1"/>
    <col min="4104" max="4104" width="8.28515625" style="2" customWidth="1"/>
    <col min="4105" max="4105" width="9.28515625" style="2" customWidth="1"/>
    <col min="4106" max="4106" width="7" style="2" customWidth="1"/>
    <col min="4107" max="4108" width="8.7109375" style="2" customWidth="1"/>
    <col min="4109" max="4109" width="7.5703125" style="2" customWidth="1"/>
    <col min="4110" max="4110" width="9.42578125" style="2" customWidth="1"/>
    <col min="4111" max="4111" width="8" style="2" customWidth="1"/>
    <col min="4112" max="4112" width="9" style="2" customWidth="1"/>
    <col min="4113" max="4113" width="8.85546875" style="2" customWidth="1"/>
    <col min="4114" max="4352" width="11.42578125" style="2"/>
    <col min="4353" max="4353" width="14.42578125" style="2" customWidth="1"/>
    <col min="4354" max="4354" width="8" style="2" customWidth="1"/>
    <col min="4355" max="4355" width="4.7109375" style="2" customWidth="1"/>
    <col min="4356" max="4356" width="9.140625" style="2" customWidth="1"/>
    <col min="4357" max="4357" width="1.5703125" style="2" customWidth="1"/>
    <col min="4358" max="4358" width="5.42578125" style="2" customWidth="1"/>
    <col min="4359" max="4359" width="7.28515625" style="2" customWidth="1"/>
    <col min="4360" max="4360" width="8.28515625" style="2" customWidth="1"/>
    <col min="4361" max="4361" width="9.28515625" style="2" customWidth="1"/>
    <col min="4362" max="4362" width="7" style="2" customWidth="1"/>
    <col min="4363" max="4364" width="8.7109375" style="2" customWidth="1"/>
    <col min="4365" max="4365" width="7.5703125" style="2" customWidth="1"/>
    <col min="4366" max="4366" width="9.42578125" style="2" customWidth="1"/>
    <col min="4367" max="4367" width="8" style="2" customWidth="1"/>
    <col min="4368" max="4368" width="9" style="2" customWidth="1"/>
    <col min="4369" max="4369" width="8.85546875" style="2" customWidth="1"/>
    <col min="4370" max="4608" width="11.42578125" style="2"/>
    <col min="4609" max="4609" width="14.42578125" style="2" customWidth="1"/>
    <col min="4610" max="4610" width="8" style="2" customWidth="1"/>
    <col min="4611" max="4611" width="4.7109375" style="2" customWidth="1"/>
    <col min="4612" max="4612" width="9.140625" style="2" customWidth="1"/>
    <col min="4613" max="4613" width="1.5703125" style="2" customWidth="1"/>
    <col min="4614" max="4614" width="5.42578125" style="2" customWidth="1"/>
    <col min="4615" max="4615" width="7.28515625" style="2" customWidth="1"/>
    <col min="4616" max="4616" width="8.28515625" style="2" customWidth="1"/>
    <col min="4617" max="4617" width="9.28515625" style="2" customWidth="1"/>
    <col min="4618" max="4618" width="7" style="2" customWidth="1"/>
    <col min="4619" max="4620" width="8.7109375" style="2" customWidth="1"/>
    <col min="4621" max="4621" width="7.5703125" style="2" customWidth="1"/>
    <col min="4622" max="4622" width="9.42578125" style="2" customWidth="1"/>
    <col min="4623" max="4623" width="8" style="2" customWidth="1"/>
    <col min="4624" max="4624" width="9" style="2" customWidth="1"/>
    <col min="4625" max="4625" width="8.85546875" style="2" customWidth="1"/>
    <col min="4626" max="4864" width="11.42578125" style="2"/>
    <col min="4865" max="4865" width="14.42578125" style="2" customWidth="1"/>
    <col min="4866" max="4866" width="8" style="2" customWidth="1"/>
    <col min="4867" max="4867" width="4.7109375" style="2" customWidth="1"/>
    <col min="4868" max="4868" width="9.140625" style="2" customWidth="1"/>
    <col min="4869" max="4869" width="1.5703125" style="2" customWidth="1"/>
    <col min="4870" max="4870" width="5.42578125" style="2" customWidth="1"/>
    <col min="4871" max="4871" width="7.28515625" style="2" customWidth="1"/>
    <col min="4872" max="4872" width="8.28515625" style="2" customWidth="1"/>
    <col min="4873" max="4873" width="9.28515625" style="2" customWidth="1"/>
    <col min="4874" max="4874" width="7" style="2" customWidth="1"/>
    <col min="4875" max="4876" width="8.7109375" style="2" customWidth="1"/>
    <col min="4877" max="4877" width="7.5703125" style="2" customWidth="1"/>
    <col min="4878" max="4878" width="9.42578125" style="2" customWidth="1"/>
    <col min="4879" max="4879" width="8" style="2" customWidth="1"/>
    <col min="4880" max="4880" width="9" style="2" customWidth="1"/>
    <col min="4881" max="4881" width="8.85546875" style="2" customWidth="1"/>
    <col min="4882" max="5120" width="11.42578125" style="2"/>
    <col min="5121" max="5121" width="14.42578125" style="2" customWidth="1"/>
    <col min="5122" max="5122" width="8" style="2" customWidth="1"/>
    <col min="5123" max="5123" width="4.7109375" style="2" customWidth="1"/>
    <col min="5124" max="5124" width="9.140625" style="2" customWidth="1"/>
    <col min="5125" max="5125" width="1.5703125" style="2" customWidth="1"/>
    <col min="5126" max="5126" width="5.42578125" style="2" customWidth="1"/>
    <col min="5127" max="5127" width="7.28515625" style="2" customWidth="1"/>
    <col min="5128" max="5128" width="8.28515625" style="2" customWidth="1"/>
    <col min="5129" max="5129" width="9.28515625" style="2" customWidth="1"/>
    <col min="5130" max="5130" width="7" style="2" customWidth="1"/>
    <col min="5131" max="5132" width="8.7109375" style="2" customWidth="1"/>
    <col min="5133" max="5133" width="7.5703125" style="2" customWidth="1"/>
    <col min="5134" max="5134" width="9.42578125" style="2" customWidth="1"/>
    <col min="5135" max="5135" width="8" style="2" customWidth="1"/>
    <col min="5136" max="5136" width="9" style="2" customWidth="1"/>
    <col min="5137" max="5137" width="8.85546875" style="2" customWidth="1"/>
    <col min="5138" max="5376" width="11.42578125" style="2"/>
    <col min="5377" max="5377" width="14.42578125" style="2" customWidth="1"/>
    <col min="5378" max="5378" width="8" style="2" customWidth="1"/>
    <col min="5379" max="5379" width="4.7109375" style="2" customWidth="1"/>
    <col min="5380" max="5380" width="9.140625" style="2" customWidth="1"/>
    <col min="5381" max="5381" width="1.5703125" style="2" customWidth="1"/>
    <col min="5382" max="5382" width="5.42578125" style="2" customWidth="1"/>
    <col min="5383" max="5383" width="7.28515625" style="2" customWidth="1"/>
    <col min="5384" max="5384" width="8.28515625" style="2" customWidth="1"/>
    <col min="5385" max="5385" width="9.28515625" style="2" customWidth="1"/>
    <col min="5386" max="5386" width="7" style="2" customWidth="1"/>
    <col min="5387" max="5388" width="8.7109375" style="2" customWidth="1"/>
    <col min="5389" max="5389" width="7.5703125" style="2" customWidth="1"/>
    <col min="5390" max="5390" width="9.42578125" style="2" customWidth="1"/>
    <col min="5391" max="5391" width="8" style="2" customWidth="1"/>
    <col min="5392" max="5392" width="9" style="2" customWidth="1"/>
    <col min="5393" max="5393" width="8.85546875" style="2" customWidth="1"/>
    <col min="5394" max="5632" width="11.42578125" style="2"/>
    <col min="5633" max="5633" width="14.42578125" style="2" customWidth="1"/>
    <col min="5634" max="5634" width="8" style="2" customWidth="1"/>
    <col min="5635" max="5635" width="4.7109375" style="2" customWidth="1"/>
    <col min="5636" max="5636" width="9.140625" style="2" customWidth="1"/>
    <col min="5637" max="5637" width="1.5703125" style="2" customWidth="1"/>
    <col min="5638" max="5638" width="5.42578125" style="2" customWidth="1"/>
    <col min="5639" max="5639" width="7.28515625" style="2" customWidth="1"/>
    <col min="5640" max="5640" width="8.28515625" style="2" customWidth="1"/>
    <col min="5641" max="5641" width="9.28515625" style="2" customWidth="1"/>
    <col min="5642" max="5642" width="7" style="2" customWidth="1"/>
    <col min="5643" max="5644" width="8.7109375" style="2" customWidth="1"/>
    <col min="5645" max="5645" width="7.5703125" style="2" customWidth="1"/>
    <col min="5646" max="5646" width="9.42578125" style="2" customWidth="1"/>
    <col min="5647" max="5647" width="8" style="2" customWidth="1"/>
    <col min="5648" max="5648" width="9" style="2" customWidth="1"/>
    <col min="5649" max="5649" width="8.85546875" style="2" customWidth="1"/>
    <col min="5650" max="5888" width="11.42578125" style="2"/>
    <col min="5889" max="5889" width="14.42578125" style="2" customWidth="1"/>
    <col min="5890" max="5890" width="8" style="2" customWidth="1"/>
    <col min="5891" max="5891" width="4.7109375" style="2" customWidth="1"/>
    <col min="5892" max="5892" width="9.140625" style="2" customWidth="1"/>
    <col min="5893" max="5893" width="1.5703125" style="2" customWidth="1"/>
    <col min="5894" max="5894" width="5.42578125" style="2" customWidth="1"/>
    <col min="5895" max="5895" width="7.28515625" style="2" customWidth="1"/>
    <col min="5896" max="5896" width="8.28515625" style="2" customWidth="1"/>
    <col min="5897" max="5897" width="9.28515625" style="2" customWidth="1"/>
    <col min="5898" max="5898" width="7" style="2" customWidth="1"/>
    <col min="5899" max="5900" width="8.7109375" style="2" customWidth="1"/>
    <col min="5901" max="5901" width="7.5703125" style="2" customWidth="1"/>
    <col min="5902" max="5902" width="9.42578125" style="2" customWidth="1"/>
    <col min="5903" max="5903" width="8" style="2" customWidth="1"/>
    <col min="5904" max="5904" width="9" style="2" customWidth="1"/>
    <col min="5905" max="5905" width="8.85546875" style="2" customWidth="1"/>
    <col min="5906" max="6144" width="11.42578125" style="2"/>
    <col min="6145" max="6145" width="14.42578125" style="2" customWidth="1"/>
    <col min="6146" max="6146" width="8" style="2" customWidth="1"/>
    <col min="6147" max="6147" width="4.7109375" style="2" customWidth="1"/>
    <col min="6148" max="6148" width="9.140625" style="2" customWidth="1"/>
    <col min="6149" max="6149" width="1.5703125" style="2" customWidth="1"/>
    <col min="6150" max="6150" width="5.42578125" style="2" customWidth="1"/>
    <col min="6151" max="6151" width="7.28515625" style="2" customWidth="1"/>
    <col min="6152" max="6152" width="8.28515625" style="2" customWidth="1"/>
    <col min="6153" max="6153" width="9.28515625" style="2" customWidth="1"/>
    <col min="6154" max="6154" width="7" style="2" customWidth="1"/>
    <col min="6155" max="6156" width="8.7109375" style="2" customWidth="1"/>
    <col min="6157" max="6157" width="7.5703125" style="2" customWidth="1"/>
    <col min="6158" max="6158" width="9.42578125" style="2" customWidth="1"/>
    <col min="6159" max="6159" width="8" style="2" customWidth="1"/>
    <col min="6160" max="6160" width="9" style="2" customWidth="1"/>
    <col min="6161" max="6161" width="8.85546875" style="2" customWidth="1"/>
    <col min="6162" max="6400" width="11.42578125" style="2"/>
    <col min="6401" max="6401" width="14.42578125" style="2" customWidth="1"/>
    <col min="6402" max="6402" width="8" style="2" customWidth="1"/>
    <col min="6403" max="6403" width="4.7109375" style="2" customWidth="1"/>
    <col min="6404" max="6404" width="9.140625" style="2" customWidth="1"/>
    <col min="6405" max="6405" width="1.5703125" style="2" customWidth="1"/>
    <col min="6406" max="6406" width="5.42578125" style="2" customWidth="1"/>
    <col min="6407" max="6407" width="7.28515625" style="2" customWidth="1"/>
    <col min="6408" max="6408" width="8.28515625" style="2" customWidth="1"/>
    <col min="6409" max="6409" width="9.28515625" style="2" customWidth="1"/>
    <col min="6410" max="6410" width="7" style="2" customWidth="1"/>
    <col min="6411" max="6412" width="8.7109375" style="2" customWidth="1"/>
    <col min="6413" max="6413" width="7.5703125" style="2" customWidth="1"/>
    <col min="6414" max="6414" width="9.42578125" style="2" customWidth="1"/>
    <col min="6415" max="6415" width="8" style="2" customWidth="1"/>
    <col min="6416" max="6416" width="9" style="2" customWidth="1"/>
    <col min="6417" max="6417" width="8.85546875" style="2" customWidth="1"/>
    <col min="6418" max="6656" width="11.42578125" style="2"/>
    <col min="6657" max="6657" width="14.42578125" style="2" customWidth="1"/>
    <col min="6658" max="6658" width="8" style="2" customWidth="1"/>
    <col min="6659" max="6659" width="4.7109375" style="2" customWidth="1"/>
    <col min="6660" max="6660" width="9.140625" style="2" customWidth="1"/>
    <col min="6661" max="6661" width="1.5703125" style="2" customWidth="1"/>
    <col min="6662" max="6662" width="5.42578125" style="2" customWidth="1"/>
    <col min="6663" max="6663" width="7.28515625" style="2" customWidth="1"/>
    <col min="6664" max="6664" width="8.28515625" style="2" customWidth="1"/>
    <col min="6665" max="6665" width="9.28515625" style="2" customWidth="1"/>
    <col min="6666" max="6666" width="7" style="2" customWidth="1"/>
    <col min="6667" max="6668" width="8.7109375" style="2" customWidth="1"/>
    <col min="6669" max="6669" width="7.5703125" style="2" customWidth="1"/>
    <col min="6670" max="6670" width="9.42578125" style="2" customWidth="1"/>
    <col min="6671" max="6671" width="8" style="2" customWidth="1"/>
    <col min="6672" max="6672" width="9" style="2" customWidth="1"/>
    <col min="6673" max="6673" width="8.85546875" style="2" customWidth="1"/>
    <col min="6674" max="6912" width="11.42578125" style="2"/>
    <col min="6913" max="6913" width="14.42578125" style="2" customWidth="1"/>
    <col min="6914" max="6914" width="8" style="2" customWidth="1"/>
    <col min="6915" max="6915" width="4.7109375" style="2" customWidth="1"/>
    <col min="6916" max="6916" width="9.140625" style="2" customWidth="1"/>
    <col min="6917" max="6917" width="1.5703125" style="2" customWidth="1"/>
    <col min="6918" max="6918" width="5.42578125" style="2" customWidth="1"/>
    <col min="6919" max="6919" width="7.28515625" style="2" customWidth="1"/>
    <col min="6920" max="6920" width="8.28515625" style="2" customWidth="1"/>
    <col min="6921" max="6921" width="9.28515625" style="2" customWidth="1"/>
    <col min="6922" max="6922" width="7" style="2" customWidth="1"/>
    <col min="6923" max="6924" width="8.7109375" style="2" customWidth="1"/>
    <col min="6925" max="6925" width="7.5703125" style="2" customWidth="1"/>
    <col min="6926" max="6926" width="9.42578125" style="2" customWidth="1"/>
    <col min="6927" max="6927" width="8" style="2" customWidth="1"/>
    <col min="6928" max="6928" width="9" style="2" customWidth="1"/>
    <col min="6929" max="6929" width="8.85546875" style="2" customWidth="1"/>
    <col min="6930" max="7168" width="11.42578125" style="2"/>
    <col min="7169" max="7169" width="14.42578125" style="2" customWidth="1"/>
    <col min="7170" max="7170" width="8" style="2" customWidth="1"/>
    <col min="7171" max="7171" width="4.7109375" style="2" customWidth="1"/>
    <col min="7172" max="7172" width="9.140625" style="2" customWidth="1"/>
    <col min="7173" max="7173" width="1.5703125" style="2" customWidth="1"/>
    <col min="7174" max="7174" width="5.42578125" style="2" customWidth="1"/>
    <col min="7175" max="7175" width="7.28515625" style="2" customWidth="1"/>
    <col min="7176" max="7176" width="8.28515625" style="2" customWidth="1"/>
    <col min="7177" max="7177" width="9.28515625" style="2" customWidth="1"/>
    <col min="7178" max="7178" width="7" style="2" customWidth="1"/>
    <col min="7179" max="7180" width="8.7109375" style="2" customWidth="1"/>
    <col min="7181" max="7181" width="7.5703125" style="2" customWidth="1"/>
    <col min="7182" max="7182" width="9.42578125" style="2" customWidth="1"/>
    <col min="7183" max="7183" width="8" style="2" customWidth="1"/>
    <col min="7184" max="7184" width="9" style="2" customWidth="1"/>
    <col min="7185" max="7185" width="8.85546875" style="2" customWidth="1"/>
    <col min="7186" max="7424" width="11.42578125" style="2"/>
    <col min="7425" max="7425" width="14.42578125" style="2" customWidth="1"/>
    <col min="7426" max="7426" width="8" style="2" customWidth="1"/>
    <col min="7427" max="7427" width="4.7109375" style="2" customWidth="1"/>
    <col min="7428" max="7428" width="9.140625" style="2" customWidth="1"/>
    <col min="7429" max="7429" width="1.5703125" style="2" customWidth="1"/>
    <col min="7430" max="7430" width="5.42578125" style="2" customWidth="1"/>
    <col min="7431" max="7431" width="7.28515625" style="2" customWidth="1"/>
    <col min="7432" max="7432" width="8.28515625" style="2" customWidth="1"/>
    <col min="7433" max="7433" width="9.28515625" style="2" customWidth="1"/>
    <col min="7434" max="7434" width="7" style="2" customWidth="1"/>
    <col min="7435" max="7436" width="8.7109375" style="2" customWidth="1"/>
    <col min="7437" max="7437" width="7.5703125" style="2" customWidth="1"/>
    <col min="7438" max="7438" width="9.42578125" style="2" customWidth="1"/>
    <col min="7439" max="7439" width="8" style="2" customWidth="1"/>
    <col min="7440" max="7440" width="9" style="2" customWidth="1"/>
    <col min="7441" max="7441" width="8.85546875" style="2" customWidth="1"/>
    <col min="7442" max="7680" width="11.42578125" style="2"/>
    <col min="7681" max="7681" width="14.42578125" style="2" customWidth="1"/>
    <col min="7682" max="7682" width="8" style="2" customWidth="1"/>
    <col min="7683" max="7683" width="4.7109375" style="2" customWidth="1"/>
    <col min="7684" max="7684" width="9.140625" style="2" customWidth="1"/>
    <col min="7685" max="7685" width="1.5703125" style="2" customWidth="1"/>
    <col min="7686" max="7686" width="5.42578125" style="2" customWidth="1"/>
    <col min="7687" max="7687" width="7.28515625" style="2" customWidth="1"/>
    <col min="7688" max="7688" width="8.28515625" style="2" customWidth="1"/>
    <col min="7689" max="7689" width="9.28515625" style="2" customWidth="1"/>
    <col min="7690" max="7690" width="7" style="2" customWidth="1"/>
    <col min="7691" max="7692" width="8.7109375" style="2" customWidth="1"/>
    <col min="7693" max="7693" width="7.5703125" style="2" customWidth="1"/>
    <col min="7694" max="7694" width="9.42578125" style="2" customWidth="1"/>
    <col min="7695" max="7695" width="8" style="2" customWidth="1"/>
    <col min="7696" max="7696" width="9" style="2" customWidth="1"/>
    <col min="7697" max="7697" width="8.85546875" style="2" customWidth="1"/>
    <col min="7698" max="7936" width="11.42578125" style="2"/>
    <col min="7937" max="7937" width="14.42578125" style="2" customWidth="1"/>
    <col min="7938" max="7938" width="8" style="2" customWidth="1"/>
    <col min="7939" max="7939" width="4.7109375" style="2" customWidth="1"/>
    <col min="7940" max="7940" width="9.140625" style="2" customWidth="1"/>
    <col min="7941" max="7941" width="1.5703125" style="2" customWidth="1"/>
    <col min="7942" max="7942" width="5.42578125" style="2" customWidth="1"/>
    <col min="7943" max="7943" width="7.28515625" style="2" customWidth="1"/>
    <col min="7944" max="7944" width="8.28515625" style="2" customWidth="1"/>
    <col min="7945" max="7945" width="9.28515625" style="2" customWidth="1"/>
    <col min="7946" max="7946" width="7" style="2" customWidth="1"/>
    <col min="7947" max="7948" width="8.7109375" style="2" customWidth="1"/>
    <col min="7949" max="7949" width="7.5703125" style="2" customWidth="1"/>
    <col min="7950" max="7950" width="9.42578125" style="2" customWidth="1"/>
    <col min="7951" max="7951" width="8" style="2" customWidth="1"/>
    <col min="7952" max="7952" width="9" style="2" customWidth="1"/>
    <col min="7953" max="7953" width="8.85546875" style="2" customWidth="1"/>
    <col min="7954" max="8192" width="11.42578125" style="2"/>
    <col min="8193" max="8193" width="14.42578125" style="2" customWidth="1"/>
    <col min="8194" max="8194" width="8" style="2" customWidth="1"/>
    <col min="8195" max="8195" width="4.7109375" style="2" customWidth="1"/>
    <col min="8196" max="8196" width="9.140625" style="2" customWidth="1"/>
    <col min="8197" max="8197" width="1.5703125" style="2" customWidth="1"/>
    <col min="8198" max="8198" width="5.42578125" style="2" customWidth="1"/>
    <col min="8199" max="8199" width="7.28515625" style="2" customWidth="1"/>
    <col min="8200" max="8200" width="8.28515625" style="2" customWidth="1"/>
    <col min="8201" max="8201" width="9.28515625" style="2" customWidth="1"/>
    <col min="8202" max="8202" width="7" style="2" customWidth="1"/>
    <col min="8203" max="8204" width="8.7109375" style="2" customWidth="1"/>
    <col min="8205" max="8205" width="7.5703125" style="2" customWidth="1"/>
    <col min="8206" max="8206" width="9.42578125" style="2" customWidth="1"/>
    <col min="8207" max="8207" width="8" style="2" customWidth="1"/>
    <col min="8208" max="8208" width="9" style="2" customWidth="1"/>
    <col min="8209" max="8209" width="8.85546875" style="2" customWidth="1"/>
    <col min="8210" max="8448" width="11.42578125" style="2"/>
    <col min="8449" max="8449" width="14.42578125" style="2" customWidth="1"/>
    <col min="8450" max="8450" width="8" style="2" customWidth="1"/>
    <col min="8451" max="8451" width="4.7109375" style="2" customWidth="1"/>
    <col min="8452" max="8452" width="9.140625" style="2" customWidth="1"/>
    <col min="8453" max="8453" width="1.5703125" style="2" customWidth="1"/>
    <col min="8454" max="8454" width="5.42578125" style="2" customWidth="1"/>
    <col min="8455" max="8455" width="7.28515625" style="2" customWidth="1"/>
    <col min="8456" max="8456" width="8.28515625" style="2" customWidth="1"/>
    <col min="8457" max="8457" width="9.28515625" style="2" customWidth="1"/>
    <col min="8458" max="8458" width="7" style="2" customWidth="1"/>
    <col min="8459" max="8460" width="8.7109375" style="2" customWidth="1"/>
    <col min="8461" max="8461" width="7.5703125" style="2" customWidth="1"/>
    <col min="8462" max="8462" width="9.42578125" style="2" customWidth="1"/>
    <col min="8463" max="8463" width="8" style="2" customWidth="1"/>
    <col min="8464" max="8464" width="9" style="2" customWidth="1"/>
    <col min="8465" max="8465" width="8.85546875" style="2" customWidth="1"/>
    <col min="8466" max="8704" width="11.42578125" style="2"/>
    <col min="8705" max="8705" width="14.42578125" style="2" customWidth="1"/>
    <col min="8706" max="8706" width="8" style="2" customWidth="1"/>
    <col min="8707" max="8707" width="4.7109375" style="2" customWidth="1"/>
    <col min="8708" max="8708" width="9.140625" style="2" customWidth="1"/>
    <col min="8709" max="8709" width="1.5703125" style="2" customWidth="1"/>
    <col min="8710" max="8710" width="5.42578125" style="2" customWidth="1"/>
    <col min="8711" max="8711" width="7.28515625" style="2" customWidth="1"/>
    <col min="8712" max="8712" width="8.28515625" style="2" customWidth="1"/>
    <col min="8713" max="8713" width="9.28515625" style="2" customWidth="1"/>
    <col min="8714" max="8714" width="7" style="2" customWidth="1"/>
    <col min="8715" max="8716" width="8.7109375" style="2" customWidth="1"/>
    <col min="8717" max="8717" width="7.5703125" style="2" customWidth="1"/>
    <col min="8718" max="8718" width="9.42578125" style="2" customWidth="1"/>
    <col min="8719" max="8719" width="8" style="2" customWidth="1"/>
    <col min="8720" max="8720" width="9" style="2" customWidth="1"/>
    <col min="8721" max="8721" width="8.85546875" style="2" customWidth="1"/>
    <col min="8722" max="8960" width="11.42578125" style="2"/>
    <col min="8961" max="8961" width="14.42578125" style="2" customWidth="1"/>
    <col min="8962" max="8962" width="8" style="2" customWidth="1"/>
    <col min="8963" max="8963" width="4.7109375" style="2" customWidth="1"/>
    <col min="8964" max="8964" width="9.140625" style="2" customWidth="1"/>
    <col min="8965" max="8965" width="1.5703125" style="2" customWidth="1"/>
    <col min="8966" max="8966" width="5.42578125" style="2" customWidth="1"/>
    <col min="8967" max="8967" width="7.28515625" style="2" customWidth="1"/>
    <col min="8968" max="8968" width="8.28515625" style="2" customWidth="1"/>
    <col min="8969" max="8969" width="9.28515625" style="2" customWidth="1"/>
    <col min="8970" max="8970" width="7" style="2" customWidth="1"/>
    <col min="8971" max="8972" width="8.7109375" style="2" customWidth="1"/>
    <col min="8973" max="8973" width="7.5703125" style="2" customWidth="1"/>
    <col min="8974" max="8974" width="9.42578125" style="2" customWidth="1"/>
    <col min="8975" max="8975" width="8" style="2" customWidth="1"/>
    <col min="8976" max="8976" width="9" style="2" customWidth="1"/>
    <col min="8977" max="8977" width="8.85546875" style="2" customWidth="1"/>
    <col min="8978" max="9216" width="11.42578125" style="2"/>
    <col min="9217" max="9217" width="14.42578125" style="2" customWidth="1"/>
    <col min="9218" max="9218" width="8" style="2" customWidth="1"/>
    <col min="9219" max="9219" width="4.7109375" style="2" customWidth="1"/>
    <col min="9220" max="9220" width="9.140625" style="2" customWidth="1"/>
    <col min="9221" max="9221" width="1.5703125" style="2" customWidth="1"/>
    <col min="9222" max="9222" width="5.42578125" style="2" customWidth="1"/>
    <col min="9223" max="9223" width="7.28515625" style="2" customWidth="1"/>
    <col min="9224" max="9224" width="8.28515625" style="2" customWidth="1"/>
    <col min="9225" max="9225" width="9.28515625" style="2" customWidth="1"/>
    <col min="9226" max="9226" width="7" style="2" customWidth="1"/>
    <col min="9227" max="9228" width="8.7109375" style="2" customWidth="1"/>
    <col min="9229" max="9229" width="7.5703125" style="2" customWidth="1"/>
    <col min="9230" max="9230" width="9.42578125" style="2" customWidth="1"/>
    <col min="9231" max="9231" width="8" style="2" customWidth="1"/>
    <col min="9232" max="9232" width="9" style="2" customWidth="1"/>
    <col min="9233" max="9233" width="8.85546875" style="2" customWidth="1"/>
    <col min="9234" max="9472" width="11.42578125" style="2"/>
    <col min="9473" max="9473" width="14.42578125" style="2" customWidth="1"/>
    <col min="9474" max="9474" width="8" style="2" customWidth="1"/>
    <col min="9475" max="9475" width="4.7109375" style="2" customWidth="1"/>
    <col min="9476" max="9476" width="9.140625" style="2" customWidth="1"/>
    <col min="9477" max="9477" width="1.5703125" style="2" customWidth="1"/>
    <col min="9478" max="9478" width="5.42578125" style="2" customWidth="1"/>
    <col min="9479" max="9479" width="7.28515625" style="2" customWidth="1"/>
    <col min="9480" max="9480" width="8.28515625" style="2" customWidth="1"/>
    <col min="9481" max="9481" width="9.28515625" style="2" customWidth="1"/>
    <col min="9482" max="9482" width="7" style="2" customWidth="1"/>
    <col min="9483" max="9484" width="8.7109375" style="2" customWidth="1"/>
    <col min="9485" max="9485" width="7.5703125" style="2" customWidth="1"/>
    <col min="9486" max="9486" width="9.42578125" style="2" customWidth="1"/>
    <col min="9487" max="9487" width="8" style="2" customWidth="1"/>
    <col min="9488" max="9488" width="9" style="2" customWidth="1"/>
    <col min="9489" max="9489" width="8.85546875" style="2" customWidth="1"/>
    <col min="9490" max="9728" width="11.42578125" style="2"/>
    <col min="9729" max="9729" width="14.42578125" style="2" customWidth="1"/>
    <col min="9730" max="9730" width="8" style="2" customWidth="1"/>
    <col min="9731" max="9731" width="4.7109375" style="2" customWidth="1"/>
    <col min="9732" max="9732" width="9.140625" style="2" customWidth="1"/>
    <col min="9733" max="9733" width="1.5703125" style="2" customWidth="1"/>
    <col min="9734" max="9734" width="5.42578125" style="2" customWidth="1"/>
    <col min="9735" max="9735" width="7.28515625" style="2" customWidth="1"/>
    <col min="9736" max="9736" width="8.28515625" style="2" customWidth="1"/>
    <col min="9737" max="9737" width="9.28515625" style="2" customWidth="1"/>
    <col min="9738" max="9738" width="7" style="2" customWidth="1"/>
    <col min="9739" max="9740" width="8.7109375" style="2" customWidth="1"/>
    <col min="9741" max="9741" width="7.5703125" style="2" customWidth="1"/>
    <col min="9742" max="9742" width="9.42578125" style="2" customWidth="1"/>
    <col min="9743" max="9743" width="8" style="2" customWidth="1"/>
    <col min="9744" max="9744" width="9" style="2" customWidth="1"/>
    <col min="9745" max="9745" width="8.85546875" style="2" customWidth="1"/>
    <col min="9746" max="9984" width="11.42578125" style="2"/>
    <col min="9985" max="9985" width="14.42578125" style="2" customWidth="1"/>
    <col min="9986" max="9986" width="8" style="2" customWidth="1"/>
    <col min="9987" max="9987" width="4.7109375" style="2" customWidth="1"/>
    <col min="9988" max="9988" width="9.140625" style="2" customWidth="1"/>
    <col min="9989" max="9989" width="1.5703125" style="2" customWidth="1"/>
    <col min="9990" max="9990" width="5.42578125" style="2" customWidth="1"/>
    <col min="9991" max="9991" width="7.28515625" style="2" customWidth="1"/>
    <col min="9992" max="9992" width="8.28515625" style="2" customWidth="1"/>
    <col min="9993" max="9993" width="9.28515625" style="2" customWidth="1"/>
    <col min="9994" max="9994" width="7" style="2" customWidth="1"/>
    <col min="9995" max="9996" width="8.7109375" style="2" customWidth="1"/>
    <col min="9997" max="9997" width="7.5703125" style="2" customWidth="1"/>
    <col min="9998" max="9998" width="9.42578125" style="2" customWidth="1"/>
    <col min="9999" max="9999" width="8" style="2" customWidth="1"/>
    <col min="10000" max="10000" width="9" style="2" customWidth="1"/>
    <col min="10001" max="10001" width="8.85546875" style="2" customWidth="1"/>
    <col min="10002" max="10240" width="11.42578125" style="2"/>
    <col min="10241" max="10241" width="14.42578125" style="2" customWidth="1"/>
    <col min="10242" max="10242" width="8" style="2" customWidth="1"/>
    <col min="10243" max="10243" width="4.7109375" style="2" customWidth="1"/>
    <col min="10244" max="10244" width="9.140625" style="2" customWidth="1"/>
    <col min="10245" max="10245" width="1.5703125" style="2" customWidth="1"/>
    <col min="10246" max="10246" width="5.42578125" style="2" customWidth="1"/>
    <col min="10247" max="10247" width="7.28515625" style="2" customWidth="1"/>
    <col min="10248" max="10248" width="8.28515625" style="2" customWidth="1"/>
    <col min="10249" max="10249" width="9.28515625" style="2" customWidth="1"/>
    <col min="10250" max="10250" width="7" style="2" customWidth="1"/>
    <col min="10251" max="10252" width="8.7109375" style="2" customWidth="1"/>
    <col min="10253" max="10253" width="7.5703125" style="2" customWidth="1"/>
    <col min="10254" max="10254" width="9.42578125" style="2" customWidth="1"/>
    <col min="10255" max="10255" width="8" style="2" customWidth="1"/>
    <col min="10256" max="10256" width="9" style="2" customWidth="1"/>
    <col min="10257" max="10257" width="8.85546875" style="2" customWidth="1"/>
    <col min="10258" max="10496" width="11.42578125" style="2"/>
    <col min="10497" max="10497" width="14.42578125" style="2" customWidth="1"/>
    <col min="10498" max="10498" width="8" style="2" customWidth="1"/>
    <col min="10499" max="10499" width="4.7109375" style="2" customWidth="1"/>
    <col min="10500" max="10500" width="9.140625" style="2" customWidth="1"/>
    <col min="10501" max="10501" width="1.5703125" style="2" customWidth="1"/>
    <col min="10502" max="10502" width="5.42578125" style="2" customWidth="1"/>
    <col min="10503" max="10503" width="7.28515625" style="2" customWidth="1"/>
    <col min="10504" max="10504" width="8.28515625" style="2" customWidth="1"/>
    <col min="10505" max="10505" width="9.28515625" style="2" customWidth="1"/>
    <col min="10506" max="10506" width="7" style="2" customWidth="1"/>
    <col min="10507" max="10508" width="8.7109375" style="2" customWidth="1"/>
    <col min="10509" max="10509" width="7.5703125" style="2" customWidth="1"/>
    <col min="10510" max="10510" width="9.42578125" style="2" customWidth="1"/>
    <col min="10511" max="10511" width="8" style="2" customWidth="1"/>
    <col min="10512" max="10512" width="9" style="2" customWidth="1"/>
    <col min="10513" max="10513" width="8.85546875" style="2" customWidth="1"/>
    <col min="10514" max="10752" width="11.42578125" style="2"/>
    <col min="10753" max="10753" width="14.42578125" style="2" customWidth="1"/>
    <col min="10754" max="10754" width="8" style="2" customWidth="1"/>
    <col min="10755" max="10755" width="4.7109375" style="2" customWidth="1"/>
    <col min="10756" max="10756" width="9.140625" style="2" customWidth="1"/>
    <col min="10757" max="10757" width="1.5703125" style="2" customWidth="1"/>
    <col min="10758" max="10758" width="5.42578125" style="2" customWidth="1"/>
    <col min="10759" max="10759" width="7.28515625" style="2" customWidth="1"/>
    <col min="10760" max="10760" width="8.28515625" style="2" customWidth="1"/>
    <col min="10761" max="10761" width="9.28515625" style="2" customWidth="1"/>
    <col min="10762" max="10762" width="7" style="2" customWidth="1"/>
    <col min="10763" max="10764" width="8.7109375" style="2" customWidth="1"/>
    <col min="10765" max="10765" width="7.5703125" style="2" customWidth="1"/>
    <col min="10766" max="10766" width="9.42578125" style="2" customWidth="1"/>
    <col min="10767" max="10767" width="8" style="2" customWidth="1"/>
    <col min="10768" max="10768" width="9" style="2" customWidth="1"/>
    <col min="10769" max="10769" width="8.85546875" style="2" customWidth="1"/>
    <col min="10770" max="11008" width="11.42578125" style="2"/>
    <col min="11009" max="11009" width="14.42578125" style="2" customWidth="1"/>
    <col min="11010" max="11010" width="8" style="2" customWidth="1"/>
    <col min="11011" max="11011" width="4.7109375" style="2" customWidth="1"/>
    <col min="11012" max="11012" width="9.140625" style="2" customWidth="1"/>
    <col min="11013" max="11013" width="1.5703125" style="2" customWidth="1"/>
    <col min="11014" max="11014" width="5.42578125" style="2" customWidth="1"/>
    <col min="11015" max="11015" width="7.28515625" style="2" customWidth="1"/>
    <col min="11016" max="11016" width="8.28515625" style="2" customWidth="1"/>
    <col min="11017" max="11017" width="9.28515625" style="2" customWidth="1"/>
    <col min="11018" max="11018" width="7" style="2" customWidth="1"/>
    <col min="11019" max="11020" width="8.7109375" style="2" customWidth="1"/>
    <col min="11021" max="11021" width="7.5703125" style="2" customWidth="1"/>
    <col min="11022" max="11022" width="9.42578125" style="2" customWidth="1"/>
    <col min="11023" max="11023" width="8" style="2" customWidth="1"/>
    <col min="11024" max="11024" width="9" style="2" customWidth="1"/>
    <col min="11025" max="11025" width="8.85546875" style="2" customWidth="1"/>
    <col min="11026" max="11264" width="11.42578125" style="2"/>
    <col min="11265" max="11265" width="14.42578125" style="2" customWidth="1"/>
    <col min="11266" max="11266" width="8" style="2" customWidth="1"/>
    <col min="11267" max="11267" width="4.7109375" style="2" customWidth="1"/>
    <col min="11268" max="11268" width="9.140625" style="2" customWidth="1"/>
    <col min="11269" max="11269" width="1.5703125" style="2" customWidth="1"/>
    <col min="11270" max="11270" width="5.42578125" style="2" customWidth="1"/>
    <col min="11271" max="11271" width="7.28515625" style="2" customWidth="1"/>
    <col min="11272" max="11272" width="8.28515625" style="2" customWidth="1"/>
    <col min="11273" max="11273" width="9.28515625" style="2" customWidth="1"/>
    <col min="11274" max="11274" width="7" style="2" customWidth="1"/>
    <col min="11275" max="11276" width="8.7109375" style="2" customWidth="1"/>
    <col min="11277" max="11277" width="7.5703125" style="2" customWidth="1"/>
    <col min="11278" max="11278" width="9.42578125" style="2" customWidth="1"/>
    <col min="11279" max="11279" width="8" style="2" customWidth="1"/>
    <col min="11280" max="11280" width="9" style="2" customWidth="1"/>
    <col min="11281" max="11281" width="8.85546875" style="2" customWidth="1"/>
    <col min="11282" max="11520" width="11.42578125" style="2"/>
    <col min="11521" max="11521" width="14.42578125" style="2" customWidth="1"/>
    <col min="11522" max="11522" width="8" style="2" customWidth="1"/>
    <col min="11523" max="11523" width="4.7109375" style="2" customWidth="1"/>
    <col min="11524" max="11524" width="9.140625" style="2" customWidth="1"/>
    <col min="11525" max="11525" width="1.5703125" style="2" customWidth="1"/>
    <col min="11526" max="11526" width="5.42578125" style="2" customWidth="1"/>
    <col min="11527" max="11527" width="7.28515625" style="2" customWidth="1"/>
    <col min="11528" max="11528" width="8.28515625" style="2" customWidth="1"/>
    <col min="11529" max="11529" width="9.28515625" style="2" customWidth="1"/>
    <col min="11530" max="11530" width="7" style="2" customWidth="1"/>
    <col min="11531" max="11532" width="8.7109375" style="2" customWidth="1"/>
    <col min="11533" max="11533" width="7.5703125" style="2" customWidth="1"/>
    <col min="11534" max="11534" width="9.42578125" style="2" customWidth="1"/>
    <col min="11535" max="11535" width="8" style="2" customWidth="1"/>
    <col min="11536" max="11536" width="9" style="2" customWidth="1"/>
    <col min="11537" max="11537" width="8.85546875" style="2" customWidth="1"/>
    <col min="11538" max="11776" width="11.42578125" style="2"/>
    <col min="11777" max="11777" width="14.42578125" style="2" customWidth="1"/>
    <col min="11778" max="11778" width="8" style="2" customWidth="1"/>
    <col min="11779" max="11779" width="4.7109375" style="2" customWidth="1"/>
    <col min="11780" max="11780" width="9.140625" style="2" customWidth="1"/>
    <col min="11781" max="11781" width="1.5703125" style="2" customWidth="1"/>
    <col min="11782" max="11782" width="5.42578125" style="2" customWidth="1"/>
    <col min="11783" max="11783" width="7.28515625" style="2" customWidth="1"/>
    <col min="11784" max="11784" width="8.28515625" style="2" customWidth="1"/>
    <col min="11785" max="11785" width="9.28515625" style="2" customWidth="1"/>
    <col min="11786" max="11786" width="7" style="2" customWidth="1"/>
    <col min="11787" max="11788" width="8.7109375" style="2" customWidth="1"/>
    <col min="11789" max="11789" width="7.5703125" style="2" customWidth="1"/>
    <col min="11790" max="11790" width="9.42578125" style="2" customWidth="1"/>
    <col min="11791" max="11791" width="8" style="2" customWidth="1"/>
    <col min="11792" max="11792" width="9" style="2" customWidth="1"/>
    <col min="11793" max="11793" width="8.85546875" style="2" customWidth="1"/>
    <col min="11794" max="12032" width="11.42578125" style="2"/>
    <col min="12033" max="12033" width="14.42578125" style="2" customWidth="1"/>
    <col min="12034" max="12034" width="8" style="2" customWidth="1"/>
    <col min="12035" max="12035" width="4.7109375" style="2" customWidth="1"/>
    <col min="12036" max="12036" width="9.140625" style="2" customWidth="1"/>
    <col min="12037" max="12037" width="1.5703125" style="2" customWidth="1"/>
    <col min="12038" max="12038" width="5.42578125" style="2" customWidth="1"/>
    <col min="12039" max="12039" width="7.28515625" style="2" customWidth="1"/>
    <col min="12040" max="12040" width="8.28515625" style="2" customWidth="1"/>
    <col min="12041" max="12041" width="9.28515625" style="2" customWidth="1"/>
    <col min="12042" max="12042" width="7" style="2" customWidth="1"/>
    <col min="12043" max="12044" width="8.7109375" style="2" customWidth="1"/>
    <col min="12045" max="12045" width="7.5703125" style="2" customWidth="1"/>
    <col min="12046" max="12046" width="9.42578125" style="2" customWidth="1"/>
    <col min="12047" max="12047" width="8" style="2" customWidth="1"/>
    <col min="12048" max="12048" width="9" style="2" customWidth="1"/>
    <col min="12049" max="12049" width="8.85546875" style="2" customWidth="1"/>
    <col min="12050" max="12288" width="11.42578125" style="2"/>
    <col min="12289" max="12289" width="14.42578125" style="2" customWidth="1"/>
    <col min="12290" max="12290" width="8" style="2" customWidth="1"/>
    <col min="12291" max="12291" width="4.7109375" style="2" customWidth="1"/>
    <col min="12292" max="12292" width="9.140625" style="2" customWidth="1"/>
    <col min="12293" max="12293" width="1.5703125" style="2" customWidth="1"/>
    <col min="12294" max="12294" width="5.42578125" style="2" customWidth="1"/>
    <col min="12295" max="12295" width="7.28515625" style="2" customWidth="1"/>
    <col min="12296" max="12296" width="8.28515625" style="2" customWidth="1"/>
    <col min="12297" max="12297" width="9.28515625" style="2" customWidth="1"/>
    <col min="12298" max="12298" width="7" style="2" customWidth="1"/>
    <col min="12299" max="12300" width="8.7109375" style="2" customWidth="1"/>
    <col min="12301" max="12301" width="7.5703125" style="2" customWidth="1"/>
    <col min="12302" max="12302" width="9.42578125" style="2" customWidth="1"/>
    <col min="12303" max="12303" width="8" style="2" customWidth="1"/>
    <col min="12304" max="12304" width="9" style="2" customWidth="1"/>
    <col min="12305" max="12305" width="8.85546875" style="2" customWidth="1"/>
    <col min="12306" max="12544" width="11.42578125" style="2"/>
    <col min="12545" max="12545" width="14.42578125" style="2" customWidth="1"/>
    <col min="12546" max="12546" width="8" style="2" customWidth="1"/>
    <col min="12547" max="12547" width="4.7109375" style="2" customWidth="1"/>
    <col min="12548" max="12548" width="9.140625" style="2" customWidth="1"/>
    <col min="12549" max="12549" width="1.5703125" style="2" customWidth="1"/>
    <col min="12550" max="12550" width="5.42578125" style="2" customWidth="1"/>
    <col min="12551" max="12551" width="7.28515625" style="2" customWidth="1"/>
    <col min="12552" max="12552" width="8.28515625" style="2" customWidth="1"/>
    <col min="12553" max="12553" width="9.28515625" style="2" customWidth="1"/>
    <col min="12554" max="12554" width="7" style="2" customWidth="1"/>
    <col min="12555" max="12556" width="8.7109375" style="2" customWidth="1"/>
    <col min="12557" max="12557" width="7.5703125" style="2" customWidth="1"/>
    <col min="12558" max="12558" width="9.42578125" style="2" customWidth="1"/>
    <col min="12559" max="12559" width="8" style="2" customWidth="1"/>
    <col min="12560" max="12560" width="9" style="2" customWidth="1"/>
    <col min="12561" max="12561" width="8.85546875" style="2" customWidth="1"/>
    <col min="12562" max="12800" width="11.42578125" style="2"/>
    <col min="12801" max="12801" width="14.42578125" style="2" customWidth="1"/>
    <col min="12802" max="12802" width="8" style="2" customWidth="1"/>
    <col min="12803" max="12803" width="4.7109375" style="2" customWidth="1"/>
    <col min="12804" max="12804" width="9.140625" style="2" customWidth="1"/>
    <col min="12805" max="12805" width="1.5703125" style="2" customWidth="1"/>
    <col min="12806" max="12806" width="5.42578125" style="2" customWidth="1"/>
    <col min="12807" max="12807" width="7.28515625" style="2" customWidth="1"/>
    <col min="12808" max="12808" width="8.28515625" style="2" customWidth="1"/>
    <col min="12809" max="12809" width="9.28515625" style="2" customWidth="1"/>
    <col min="12810" max="12810" width="7" style="2" customWidth="1"/>
    <col min="12811" max="12812" width="8.7109375" style="2" customWidth="1"/>
    <col min="12813" max="12813" width="7.5703125" style="2" customWidth="1"/>
    <col min="12814" max="12814" width="9.42578125" style="2" customWidth="1"/>
    <col min="12815" max="12815" width="8" style="2" customWidth="1"/>
    <col min="12816" max="12816" width="9" style="2" customWidth="1"/>
    <col min="12817" max="12817" width="8.85546875" style="2" customWidth="1"/>
    <col min="12818" max="13056" width="11.42578125" style="2"/>
    <col min="13057" max="13057" width="14.42578125" style="2" customWidth="1"/>
    <col min="13058" max="13058" width="8" style="2" customWidth="1"/>
    <col min="13059" max="13059" width="4.7109375" style="2" customWidth="1"/>
    <col min="13060" max="13060" width="9.140625" style="2" customWidth="1"/>
    <col min="13061" max="13061" width="1.5703125" style="2" customWidth="1"/>
    <col min="13062" max="13062" width="5.42578125" style="2" customWidth="1"/>
    <col min="13063" max="13063" width="7.28515625" style="2" customWidth="1"/>
    <col min="13064" max="13064" width="8.28515625" style="2" customWidth="1"/>
    <col min="13065" max="13065" width="9.28515625" style="2" customWidth="1"/>
    <col min="13066" max="13066" width="7" style="2" customWidth="1"/>
    <col min="13067" max="13068" width="8.7109375" style="2" customWidth="1"/>
    <col min="13069" max="13069" width="7.5703125" style="2" customWidth="1"/>
    <col min="13070" max="13070" width="9.42578125" style="2" customWidth="1"/>
    <col min="13071" max="13071" width="8" style="2" customWidth="1"/>
    <col min="13072" max="13072" width="9" style="2" customWidth="1"/>
    <col min="13073" max="13073" width="8.85546875" style="2" customWidth="1"/>
    <col min="13074" max="13312" width="11.42578125" style="2"/>
    <col min="13313" max="13313" width="14.42578125" style="2" customWidth="1"/>
    <col min="13314" max="13314" width="8" style="2" customWidth="1"/>
    <col min="13315" max="13315" width="4.7109375" style="2" customWidth="1"/>
    <col min="13316" max="13316" width="9.140625" style="2" customWidth="1"/>
    <col min="13317" max="13317" width="1.5703125" style="2" customWidth="1"/>
    <col min="13318" max="13318" width="5.42578125" style="2" customWidth="1"/>
    <col min="13319" max="13319" width="7.28515625" style="2" customWidth="1"/>
    <col min="13320" max="13320" width="8.28515625" style="2" customWidth="1"/>
    <col min="13321" max="13321" width="9.28515625" style="2" customWidth="1"/>
    <col min="13322" max="13322" width="7" style="2" customWidth="1"/>
    <col min="13323" max="13324" width="8.7109375" style="2" customWidth="1"/>
    <col min="13325" max="13325" width="7.5703125" style="2" customWidth="1"/>
    <col min="13326" max="13326" width="9.42578125" style="2" customWidth="1"/>
    <col min="13327" max="13327" width="8" style="2" customWidth="1"/>
    <col min="13328" max="13328" width="9" style="2" customWidth="1"/>
    <col min="13329" max="13329" width="8.85546875" style="2" customWidth="1"/>
    <col min="13330" max="13568" width="11.42578125" style="2"/>
    <col min="13569" max="13569" width="14.42578125" style="2" customWidth="1"/>
    <col min="13570" max="13570" width="8" style="2" customWidth="1"/>
    <col min="13571" max="13571" width="4.7109375" style="2" customWidth="1"/>
    <col min="13572" max="13572" width="9.140625" style="2" customWidth="1"/>
    <col min="13573" max="13573" width="1.5703125" style="2" customWidth="1"/>
    <col min="13574" max="13574" width="5.42578125" style="2" customWidth="1"/>
    <col min="13575" max="13575" width="7.28515625" style="2" customWidth="1"/>
    <col min="13576" max="13576" width="8.28515625" style="2" customWidth="1"/>
    <col min="13577" max="13577" width="9.28515625" style="2" customWidth="1"/>
    <col min="13578" max="13578" width="7" style="2" customWidth="1"/>
    <col min="13579" max="13580" width="8.7109375" style="2" customWidth="1"/>
    <col min="13581" max="13581" width="7.5703125" style="2" customWidth="1"/>
    <col min="13582" max="13582" width="9.42578125" style="2" customWidth="1"/>
    <col min="13583" max="13583" width="8" style="2" customWidth="1"/>
    <col min="13584" max="13584" width="9" style="2" customWidth="1"/>
    <col min="13585" max="13585" width="8.85546875" style="2" customWidth="1"/>
    <col min="13586" max="13824" width="11.42578125" style="2"/>
    <col min="13825" max="13825" width="14.42578125" style="2" customWidth="1"/>
    <col min="13826" max="13826" width="8" style="2" customWidth="1"/>
    <col min="13827" max="13827" width="4.7109375" style="2" customWidth="1"/>
    <col min="13828" max="13828" width="9.140625" style="2" customWidth="1"/>
    <col min="13829" max="13829" width="1.5703125" style="2" customWidth="1"/>
    <col min="13830" max="13830" width="5.42578125" style="2" customWidth="1"/>
    <col min="13831" max="13831" width="7.28515625" style="2" customWidth="1"/>
    <col min="13832" max="13832" width="8.28515625" style="2" customWidth="1"/>
    <col min="13833" max="13833" width="9.28515625" style="2" customWidth="1"/>
    <col min="13834" max="13834" width="7" style="2" customWidth="1"/>
    <col min="13835" max="13836" width="8.7109375" style="2" customWidth="1"/>
    <col min="13837" max="13837" width="7.5703125" style="2" customWidth="1"/>
    <col min="13838" max="13838" width="9.42578125" style="2" customWidth="1"/>
    <col min="13839" max="13839" width="8" style="2" customWidth="1"/>
    <col min="13840" max="13840" width="9" style="2" customWidth="1"/>
    <col min="13841" max="13841" width="8.85546875" style="2" customWidth="1"/>
    <col min="13842" max="14080" width="11.42578125" style="2"/>
    <col min="14081" max="14081" width="14.42578125" style="2" customWidth="1"/>
    <col min="14082" max="14082" width="8" style="2" customWidth="1"/>
    <col min="14083" max="14083" width="4.7109375" style="2" customWidth="1"/>
    <col min="14084" max="14084" width="9.140625" style="2" customWidth="1"/>
    <col min="14085" max="14085" width="1.5703125" style="2" customWidth="1"/>
    <col min="14086" max="14086" width="5.42578125" style="2" customWidth="1"/>
    <col min="14087" max="14087" width="7.28515625" style="2" customWidth="1"/>
    <col min="14088" max="14088" width="8.28515625" style="2" customWidth="1"/>
    <col min="14089" max="14089" width="9.28515625" style="2" customWidth="1"/>
    <col min="14090" max="14090" width="7" style="2" customWidth="1"/>
    <col min="14091" max="14092" width="8.7109375" style="2" customWidth="1"/>
    <col min="14093" max="14093" width="7.5703125" style="2" customWidth="1"/>
    <col min="14094" max="14094" width="9.42578125" style="2" customWidth="1"/>
    <col min="14095" max="14095" width="8" style="2" customWidth="1"/>
    <col min="14096" max="14096" width="9" style="2" customWidth="1"/>
    <col min="14097" max="14097" width="8.85546875" style="2" customWidth="1"/>
    <col min="14098" max="14336" width="11.42578125" style="2"/>
    <col min="14337" max="14337" width="14.42578125" style="2" customWidth="1"/>
    <col min="14338" max="14338" width="8" style="2" customWidth="1"/>
    <col min="14339" max="14339" width="4.7109375" style="2" customWidth="1"/>
    <col min="14340" max="14340" width="9.140625" style="2" customWidth="1"/>
    <col min="14341" max="14341" width="1.5703125" style="2" customWidth="1"/>
    <col min="14342" max="14342" width="5.42578125" style="2" customWidth="1"/>
    <col min="14343" max="14343" width="7.28515625" style="2" customWidth="1"/>
    <col min="14344" max="14344" width="8.28515625" style="2" customWidth="1"/>
    <col min="14345" max="14345" width="9.28515625" style="2" customWidth="1"/>
    <col min="14346" max="14346" width="7" style="2" customWidth="1"/>
    <col min="14347" max="14348" width="8.7109375" style="2" customWidth="1"/>
    <col min="14349" max="14349" width="7.5703125" style="2" customWidth="1"/>
    <col min="14350" max="14350" width="9.42578125" style="2" customWidth="1"/>
    <col min="14351" max="14351" width="8" style="2" customWidth="1"/>
    <col min="14352" max="14352" width="9" style="2" customWidth="1"/>
    <col min="14353" max="14353" width="8.85546875" style="2" customWidth="1"/>
    <col min="14354" max="14592" width="11.42578125" style="2"/>
    <col min="14593" max="14593" width="14.42578125" style="2" customWidth="1"/>
    <col min="14594" max="14594" width="8" style="2" customWidth="1"/>
    <col min="14595" max="14595" width="4.7109375" style="2" customWidth="1"/>
    <col min="14596" max="14596" width="9.140625" style="2" customWidth="1"/>
    <col min="14597" max="14597" width="1.5703125" style="2" customWidth="1"/>
    <col min="14598" max="14598" width="5.42578125" style="2" customWidth="1"/>
    <col min="14599" max="14599" width="7.28515625" style="2" customWidth="1"/>
    <col min="14600" max="14600" width="8.28515625" style="2" customWidth="1"/>
    <col min="14601" max="14601" width="9.28515625" style="2" customWidth="1"/>
    <col min="14602" max="14602" width="7" style="2" customWidth="1"/>
    <col min="14603" max="14604" width="8.7109375" style="2" customWidth="1"/>
    <col min="14605" max="14605" width="7.5703125" style="2" customWidth="1"/>
    <col min="14606" max="14606" width="9.42578125" style="2" customWidth="1"/>
    <col min="14607" max="14607" width="8" style="2" customWidth="1"/>
    <col min="14608" max="14608" width="9" style="2" customWidth="1"/>
    <col min="14609" max="14609" width="8.85546875" style="2" customWidth="1"/>
    <col min="14610" max="14848" width="11.42578125" style="2"/>
    <col min="14849" max="14849" width="14.42578125" style="2" customWidth="1"/>
    <col min="14850" max="14850" width="8" style="2" customWidth="1"/>
    <col min="14851" max="14851" width="4.7109375" style="2" customWidth="1"/>
    <col min="14852" max="14852" width="9.140625" style="2" customWidth="1"/>
    <col min="14853" max="14853" width="1.5703125" style="2" customWidth="1"/>
    <col min="14854" max="14854" width="5.42578125" style="2" customWidth="1"/>
    <col min="14855" max="14855" width="7.28515625" style="2" customWidth="1"/>
    <col min="14856" max="14856" width="8.28515625" style="2" customWidth="1"/>
    <col min="14857" max="14857" width="9.28515625" style="2" customWidth="1"/>
    <col min="14858" max="14858" width="7" style="2" customWidth="1"/>
    <col min="14859" max="14860" width="8.7109375" style="2" customWidth="1"/>
    <col min="14861" max="14861" width="7.5703125" style="2" customWidth="1"/>
    <col min="14862" max="14862" width="9.42578125" style="2" customWidth="1"/>
    <col min="14863" max="14863" width="8" style="2" customWidth="1"/>
    <col min="14864" max="14864" width="9" style="2" customWidth="1"/>
    <col min="14865" max="14865" width="8.85546875" style="2" customWidth="1"/>
    <col min="14866" max="15104" width="11.42578125" style="2"/>
    <col min="15105" max="15105" width="14.42578125" style="2" customWidth="1"/>
    <col min="15106" max="15106" width="8" style="2" customWidth="1"/>
    <col min="15107" max="15107" width="4.7109375" style="2" customWidth="1"/>
    <col min="15108" max="15108" width="9.140625" style="2" customWidth="1"/>
    <col min="15109" max="15109" width="1.5703125" style="2" customWidth="1"/>
    <col min="15110" max="15110" width="5.42578125" style="2" customWidth="1"/>
    <col min="15111" max="15111" width="7.28515625" style="2" customWidth="1"/>
    <col min="15112" max="15112" width="8.28515625" style="2" customWidth="1"/>
    <col min="15113" max="15113" width="9.28515625" style="2" customWidth="1"/>
    <col min="15114" max="15114" width="7" style="2" customWidth="1"/>
    <col min="15115" max="15116" width="8.7109375" style="2" customWidth="1"/>
    <col min="15117" max="15117" width="7.5703125" style="2" customWidth="1"/>
    <col min="15118" max="15118" width="9.42578125" style="2" customWidth="1"/>
    <col min="15119" max="15119" width="8" style="2" customWidth="1"/>
    <col min="15120" max="15120" width="9" style="2" customWidth="1"/>
    <col min="15121" max="15121" width="8.85546875" style="2" customWidth="1"/>
    <col min="15122" max="15360" width="11.42578125" style="2"/>
    <col min="15361" max="15361" width="14.42578125" style="2" customWidth="1"/>
    <col min="15362" max="15362" width="8" style="2" customWidth="1"/>
    <col min="15363" max="15363" width="4.7109375" style="2" customWidth="1"/>
    <col min="15364" max="15364" width="9.140625" style="2" customWidth="1"/>
    <col min="15365" max="15365" width="1.5703125" style="2" customWidth="1"/>
    <col min="15366" max="15366" width="5.42578125" style="2" customWidth="1"/>
    <col min="15367" max="15367" width="7.28515625" style="2" customWidth="1"/>
    <col min="15368" max="15368" width="8.28515625" style="2" customWidth="1"/>
    <col min="15369" max="15369" width="9.28515625" style="2" customWidth="1"/>
    <col min="15370" max="15370" width="7" style="2" customWidth="1"/>
    <col min="15371" max="15372" width="8.7109375" style="2" customWidth="1"/>
    <col min="15373" max="15373" width="7.5703125" style="2" customWidth="1"/>
    <col min="15374" max="15374" width="9.42578125" style="2" customWidth="1"/>
    <col min="15375" max="15375" width="8" style="2" customWidth="1"/>
    <col min="15376" max="15376" width="9" style="2" customWidth="1"/>
    <col min="15377" max="15377" width="8.85546875" style="2" customWidth="1"/>
    <col min="15378" max="15616" width="11.42578125" style="2"/>
    <col min="15617" max="15617" width="14.42578125" style="2" customWidth="1"/>
    <col min="15618" max="15618" width="8" style="2" customWidth="1"/>
    <col min="15619" max="15619" width="4.7109375" style="2" customWidth="1"/>
    <col min="15620" max="15620" width="9.140625" style="2" customWidth="1"/>
    <col min="15621" max="15621" width="1.5703125" style="2" customWidth="1"/>
    <col min="15622" max="15622" width="5.42578125" style="2" customWidth="1"/>
    <col min="15623" max="15623" width="7.28515625" style="2" customWidth="1"/>
    <col min="15624" max="15624" width="8.28515625" style="2" customWidth="1"/>
    <col min="15625" max="15625" width="9.28515625" style="2" customWidth="1"/>
    <col min="15626" max="15626" width="7" style="2" customWidth="1"/>
    <col min="15627" max="15628" width="8.7109375" style="2" customWidth="1"/>
    <col min="15629" max="15629" width="7.5703125" style="2" customWidth="1"/>
    <col min="15630" max="15630" width="9.42578125" style="2" customWidth="1"/>
    <col min="15631" max="15631" width="8" style="2" customWidth="1"/>
    <col min="15632" max="15632" width="9" style="2" customWidth="1"/>
    <col min="15633" max="15633" width="8.85546875" style="2" customWidth="1"/>
    <col min="15634" max="15872" width="11.42578125" style="2"/>
    <col min="15873" max="15873" width="14.42578125" style="2" customWidth="1"/>
    <col min="15874" max="15874" width="8" style="2" customWidth="1"/>
    <col min="15875" max="15875" width="4.7109375" style="2" customWidth="1"/>
    <col min="15876" max="15876" width="9.140625" style="2" customWidth="1"/>
    <col min="15877" max="15877" width="1.5703125" style="2" customWidth="1"/>
    <col min="15878" max="15878" width="5.42578125" style="2" customWidth="1"/>
    <col min="15879" max="15879" width="7.28515625" style="2" customWidth="1"/>
    <col min="15880" max="15880" width="8.28515625" style="2" customWidth="1"/>
    <col min="15881" max="15881" width="9.28515625" style="2" customWidth="1"/>
    <col min="15882" max="15882" width="7" style="2" customWidth="1"/>
    <col min="15883" max="15884" width="8.7109375" style="2" customWidth="1"/>
    <col min="15885" max="15885" width="7.5703125" style="2" customWidth="1"/>
    <col min="15886" max="15886" width="9.42578125" style="2" customWidth="1"/>
    <col min="15887" max="15887" width="8" style="2" customWidth="1"/>
    <col min="15888" max="15888" width="9" style="2" customWidth="1"/>
    <col min="15889" max="15889" width="8.85546875" style="2" customWidth="1"/>
    <col min="15890" max="16128" width="11.42578125" style="2"/>
    <col min="16129" max="16129" width="14.42578125" style="2" customWidth="1"/>
    <col min="16130" max="16130" width="8" style="2" customWidth="1"/>
    <col min="16131" max="16131" width="4.7109375" style="2" customWidth="1"/>
    <col min="16132" max="16132" width="9.140625" style="2" customWidth="1"/>
    <col min="16133" max="16133" width="1.5703125" style="2" customWidth="1"/>
    <col min="16134" max="16134" width="5.42578125" style="2" customWidth="1"/>
    <col min="16135" max="16135" width="7.28515625" style="2" customWidth="1"/>
    <col min="16136" max="16136" width="8.28515625" style="2" customWidth="1"/>
    <col min="16137" max="16137" width="9.28515625" style="2" customWidth="1"/>
    <col min="16138" max="16138" width="7" style="2" customWidth="1"/>
    <col min="16139" max="16140" width="8.7109375" style="2" customWidth="1"/>
    <col min="16141" max="16141" width="7.5703125" style="2" customWidth="1"/>
    <col min="16142" max="16142" width="9.42578125" style="2" customWidth="1"/>
    <col min="16143" max="16143" width="8" style="2" customWidth="1"/>
    <col min="16144" max="16144" width="9" style="2" customWidth="1"/>
    <col min="16145" max="16145" width="8.85546875" style="2" customWidth="1"/>
    <col min="16146" max="16384" width="11.42578125" style="2"/>
  </cols>
  <sheetData>
    <row r="1" spans="1:28" x14ac:dyDescent="0.2">
      <c r="A1" s="1" t="s">
        <v>114</v>
      </c>
      <c r="N1" s="2" t="s">
        <v>5</v>
      </c>
    </row>
    <row r="2" spans="1:28" x14ac:dyDescent="0.2">
      <c r="N2" s="2" t="s">
        <v>190</v>
      </c>
      <c r="P2" s="2">
        <v>150</v>
      </c>
    </row>
    <row r="4" spans="1:28" x14ac:dyDescent="0.2">
      <c r="N4" s="2" t="s">
        <v>199</v>
      </c>
      <c r="S4" s="2" t="s">
        <v>208</v>
      </c>
      <c r="V4" s="2" t="s">
        <v>209</v>
      </c>
      <c r="Y4" s="2" t="s">
        <v>210</v>
      </c>
    </row>
    <row r="5" spans="1:28" x14ac:dyDescent="0.2">
      <c r="N5" s="2" t="s">
        <v>191</v>
      </c>
      <c r="O5" s="78" t="s">
        <v>192</v>
      </c>
      <c r="P5" s="78" t="s">
        <v>6</v>
      </c>
      <c r="Q5" s="78" t="s">
        <v>193</v>
      </c>
      <c r="R5" s="78" t="s">
        <v>194</v>
      </c>
      <c r="S5" s="78" t="s">
        <v>6</v>
      </c>
      <c r="T5" s="78" t="s">
        <v>193</v>
      </c>
      <c r="U5" s="78" t="s">
        <v>194</v>
      </c>
      <c r="V5" s="78" t="s">
        <v>6</v>
      </c>
      <c r="W5" s="78" t="s">
        <v>193</v>
      </c>
      <c r="X5" s="78" t="s">
        <v>194</v>
      </c>
      <c r="Y5" s="78" t="s">
        <v>6</v>
      </c>
      <c r="Z5" s="78" t="s">
        <v>193</v>
      </c>
      <c r="AA5" s="78" t="s">
        <v>194</v>
      </c>
    </row>
    <row r="6" spans="1:28" x14ac:dyDescent="0.2">
      <c r="N6" s="2" t="s">
        <v>195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28" x14ac:dyDescent="0.2">
      <c r="N7" s="2" t="s">
        <v>196</v>
      </c>
      <c r="O7" s="78" t="s">
        <v>197</v>
      </c>
      <c r="P7" s="79">
        <f>120/600</f>
        <v>0.2</v>
      </c>
      <c r="Q7" s="79">
        <v>320</v>
      </c>
      <c r="R7" s="79">
        <f>P7*Q7</f>
        <v>64</v>
      </c>
      <c r="S7" s="79">
        <f>P7*P2</f>
        <v>30</v>
      </c>
      <c r="T7" s="79">
        <v>320</v>
      </c>
      <c r="U7" s="79">
        <f>S7*T7</f>
        <v>9600</v>
      </c>
      <c r="V7" s="79">
        <f>20+12</f>
        <v>32</v>
      </c>
      <c r="W7" s="79">
        <f>X7/V7</f>
        <v>317.5</v>
      </c>
      <c r="X7" s="79">
        <f>20*310+12*330</f>
        <v>10160</v>
      </c>
      <c r="Y7" s="79">
        <f t="shared" ref="Y7:AA8" si="0">V7-S7</f>
        <v>2</v>
      </c>
      <c r="Z7" s="79">
        <f t="shared" si="0"/>
        <v>-2.5</v>
      </c>
      <c r="AA7" s="79">
        <f t="shared" si="0"/>
        <v>560</v>
      </c>
    </row>
    <row r="8" spans="1:28" x14ac:dyDescent="0.2">
      <c r="N8" s="2" t="s">
        <v>198</v>
      </c>
      <c r="O8" s="78" t="s">
        <v>197</v>
      </c>
      <c r="P8" s="79">
        <f>80/600</f>
        <v>0.13333333333333333</v>
      </c>
      <c r="Q8" s="79">
        <v>360</v>
      </c>
      <c r="R8" s="79">
        <f>P8*Q8</f>
        <v>48</v>
      </c>
      <c r="S8" s="79">
        <f>P8*P2</f>
        <v>20</v>
      </c>
      <c r="T8" s="79">
        <v>360</v>
      </c>
      <c r="U8" s="79">
        <f>S8*T8</f>
        <v>7200</v>
      </c>
      <c r="V8" s="79">
        <v>22</v>
      </c>
      <c r="W8" s="79">
        <v>350</v>
      </c>
      <c r="X8" s="79">
        <f>V8*W8</f>
        <v>7700</v>
      </c>
      <c r="Y8" s="79">
        <f t="shared" si="0"/>
        <v>2</v>
      </c>
      <c r="Z8" s="79">
        <f t="shared" si="0"/>
        <v>-10</v>
      </c>
      <c r="AA8" s="79">
        <f t="shared" si="0"/>
        <v>500</v>
      </c>
    </row>
    <row r="9" spans="1:28" x14ac:dyDescent="0.2">
      <c r="N9" s="2" t="s">
        <v>200</v>
      </c>
      <c r="O9" s="78"/>
      <c r="P9" s="79"/>
      <c r="Q9" s="79"/>
      <c r="R9" s="79">
        <f>R7+R8</f>
        <v>112</v>
      </c>
      <c r="S9" s="79"/>
      <c r="T9" s="79"/>
      <c r="U9" s="79">
        <f>U7+U8</f>
        <v>16800</v>
      </c>
      <c r="V9" s="79"/>
      <c r="W9" s="79"/>
      <c r="X9" s="79">
        <f>X7+X8</f>
        <v>17860</v>
      </c>
      <c r="Y9" s="79"/>
      <c r="Z9" s="79"/>
      <c r="AA9" s="79">
        <f>AA7+AA8</f>
        <v>1060</v>
      </c>
      <c r="AB9" s="2" t="s">
        <v>211</v>
      </c>
    </row>
    <row r="10" spans="1:28" x14ac:dyDescent="0.2">
      <c r="N10" s="2" t="s">
        <v>201</v>
      </c>
      <c r="O10" s="78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 spans="1:28" x14ac:dyDescent="0.2">
      <c r="N11" s="2" t="s">
        <v>202</v>
      </c>
      <c r="O11" s="78" t="s">
        <v>204</v>
      </c>
      <c r="P11" s="79">
        <f>240/600</f>
        <v>0.4</v>
      </c>
      <c r="Q11" s="79">
        <v>35</v>
      </c>
      <c r="R11" s="79">
        <f>P11*Q11</f>
        <v>14</v>
      </c>
      <c r="S11" s="79">
        <f>P11*P2</f>
        <v>60</v>
      </c>
      <c r="T11" s="79">
        <v>35</v>
      </c>
      <c r="U11" s="79">
        <f>S11*T11</f>
        <v>2100</v>
      </c>
      <c r="V11" s="79">
        <v>64</v>
      </c>
      <c r="W11" s="79">
        <v>36</v>
      </c>
      <c r="X11" s="79">
        <f>V11*W11</f>
        <v>2304</v>
      </c>
      <c r="Y11" s="79">
        <f t="shared" ref="Y11:Y14" si="1">V11-S11</f>
        <v>4</v>
      </c>
      <c r="Z11" s="79">
        <f t="shared" ref="Z11:Z14" si="2">W11-T11</f>
        <v>1</v>
      </c>
      <c r="AA11" s="79">
        <f t="shared" ref="AA11:AA14" si="3">X11-U11</f>
        <v>204</v>
      </c>
    </row>
    <row r="12" spans="1:28" x14ac:dyDescent="0.2">
      <c r="N12" s="2" t="s">
        <v>203</v>
      </c>
      <c r="O12" s="78" t="s">
        <v>204</v>
      </c>
      <c r="P12" s="79">
        <f>200/600</f>
        <v>0.33333333333333331</v>
      </c>
      <c r="Q12" s="79">
        <v>38</v>
      </c>
      <c r="R12" s="79">
        <f>P12*Q12</f>
        <v>12.666666666666666</v>
      </c>
      <c r="S12" s="79">
        <f>P12*P2</f>
        <v>50</v>
      </c>
      <c r="T12" s="79">
        <v>38</v>
      </c>
      <c r="U12" s="79">
        <f>S12*T12</f>
        <v>1900</v>
      </c>
      <c r="V12" s="79">
        <v>30</v>
      </c>
      <c r="W12" s="79">
        <v>40</v>
      </c>
      <c r="X12" s="79">
        <f>V12*W12</f>
        <v>1200</v>
      </c>
      <c r="Y12" s="79">
        <f t="shared" si="1"/>
        <v>-20</v>
      </c>
      <c r="Z12" s="79">
        <f t="shared" si="2"/>
        <v>2</v>
      </c>
      <c r="AA12" s="79">
        <f t="shared" si="3"/>
        <v>-700</v>
      </c>
    </row>
    <row r="13" spans="1:28" x14ac:dyDescent="0.2">
      <c r="N13" s="2" t="s">
        <v>205</v>
      </c>
      <c r="O13" s="78"/>
      <c r="P13" s="79"/>
      <c r="Q13" s="79"/>
      <c r="R13" s="79">
        <f>SUM(R11:R12)</f>
        <v>26.666666666666664</v>
      </c>
      <c r="S13" s="79"/>
      <c r="T13" s="79"/>
      <c r="U13" s="79">
        <f>SUM(U11:U12)</f>
        <v>4000</v>
      </c>
      <c r="V13" s="79"/>
      <c r="W13" s="79"/>
      <c r="X13" s="79">
        <f>SUM(X11:X12)</f>
        <v>3504</v>
      </c>
      <c r="Y13" s="79"/>
      <c r="Z13" s="79"/>
      <c r="AA13" s="79">
        <f>SUM(AA11:AA12)</f>
        <v>-496</v>
      </c>
      <c r="AB13" s="2" t="s">
        <v>212</v>
      </c>
    </row>
    <row r="14" spans="1:28" x14ac:dyDescent="0.2">
      <c r="N14" s="2" t="s">
        <v>206</v>
      </c>
      <c r="O14" s="78" t="s">
        <v>204</v>
      </c>
      <c r="P14" s="79">
        <f>440/600</f>
        <v>0.73333333333333328</v>
      </c>
      <c r="Q14" s="79">
        <v>42</v>
      </c>
      <c r="R14" s="79">
        <f>P14*Q14</f>
        <v>30.799999999999997</v>
      </c>
      <c r="S14" s="79">
        <f>P14*P2</f>
        <v>109.99999999999999</v>
      </c>
      <c r="T14" s="79">
        <v>42</v>
      </c>
      <c r="U14" s="79">
        <f>S14*T14</f>
        <v>4619.9999999999991</v>
      </c>
      <c r="V14" s="79">
        <v>100</v>
      </c>
      <c r="W14" s="79">
        <v>42</v>
      </c>
      <c r="X14" s="79">
        <f>V14*W14</f>
        <v>4200</v>
      </c>
      <c r="Y14" s="79">
        <f t="shared" si="1"/>
        <v>-9.9999999999999858</v>
      </c>
      <c r="Z14" s="79">
        <f t="shared" si="2"/>
        <v>0</v>
      </c>
      <c r="AA14" s="79">
        <f t="shared" si="3"/>
        <v>-419.99999999999909</v>
      </c>
      <c r="AB14" s="2" t="s">
        <v>212</v>
      </c>
    </row>
    <row r="15" spans="1:28" x14ac:dyDescent="0.2">
      <c r="N15" s="2" t="s">
        <v>207</v>
      </c>
      <c r="O15" s="78"/>
      <c r="P15" s="79"/>
      <c r="Q15" s="79"/>
      <c r="R15" s="79">
        <f>R9+R13+R14</f>
        <v>169.46666666666664</v>
      </c>
      <c r="S15" s="79"/>
      <c r="T15" s="79"/>
      <c r="U15" s="79">
        <f>U9+U13+U14</f>
        <v>25420</v>
      </c>
      <c r="V15" s="79"/>
      <c r="W15" s="79"/>
      <c r="X15" s="79">
        <f>X9+X13+X14</f>
        <v>25564</v>
      </c>
      <c r="Y15" s="79"/>
      <c r="Z15" s="79"/>
      <c r="AA15" s="79">
        <f>AA9+AA13+AA14</f>
        <v>144.00000000000091</v>
      </c>
    </row>
    <row r="16" spans="1:28" x14ac:dyDescent="0.2">
      <c r="O16" s="78"/>
      <c r="P16" s="79"/>
      <c r="Q16" s="79"/>
      <c r="R16" s="79"/>
    </row>
    <row r="17" spans="1:26" x14ac:dyDescent="0.2">
      <c r="O17" s="78"/>
      <c r="P17" s="79"/>
      <c r="Q17" s="79"/>
      <c r="R17" s="79"/>
      <c r="T17" s="2" t="s">
        <v>213</v>
      </c>
      <c r="X17" s="2" t="s">
        <v>213</v>
      </c>
    </row>
    <row r="18" spans="1:26" x14ac:dyDescent="0.2">
      <c r="O18" s="78"/>
      <c r="P18" s="78"/>
      <c r="Q18" s="78"/>
      <c r="R18" s="78"/>
      <c r="T18" s="2" t="s">
        <v>214</v>
      </c>
      <c r="X18" s="2" t="s">
        <v>221</v>
      </c>
    </row>
    <row r="19" spans="1:26" x14ac:dyDescent="0.2">
      <c r="O19" s="78"/>
      <c r="P19" s="78"/>
      <c r="Q19" s="78"/>
      <c r="R19" s="78"/>
      <c r="T19" s="2" t="s">
        <v>215</v>
      </c>
      <c r="U19" s="2">
        <f>(V7-S7)*T7</f>
        <v>640</v>
      </c>
      <c r="V19" s="2" t="s">
        <v>218</v>
      </c>
      <c r="X19" s="2" t="s">
        <v>215</v>
      </c>
      <c r="Y19" s="2">
        <f>(V11-S11)*T11</f>
        <v>140</v>
      </c>
      <c r="Z19" s="2" t="s">
        <v>220</v>
      </c>
    </row>
    <row r="20" spans="1:26" x14ac:dyDescent="0.2">
      <c r="A20" s="1"/>
      <c r="J20" s="2">
        <f>20*310+12*330</f>
        <v>10160</v>
      </c>
      <c r="O20" s="78"/>
      <c r="P20" s="78"/>
      <c r="Q20" s="78"/>
      <c r="R20" s="78"/>
      <c r="T20" s="2" t="s">
        <v>216</v>
      </c>
      <c r="U20" s="2">
        <f>(W7-T7)*V7</f>
        <v>-80</v>
      </c>
      <c r="X20" s="2" t="s">
        <v>216</v>
      </c>
      <c r="Y20" s="2">
        <f>(W11-T11)*V11</f>
        <v>64</v>
      </c>
    </row>
    <row r="21" spans="1:26" x14ac:dyDescent="0.2">
      <c r="P21" s="78"/>
      <c r="Q21" s="78"/>
      <c r="R21" s="78"/>
      <c r="T21" s="2" t="s">
        <v>217</v>
      </c>
      <c r="U21" s="2">
        <f>U19+U20</f>
        <v>560</v>
      </c>
      <c r="X21" s="2" t="s">
        <v>217</v>
      </c>
      <c r="Y21" s="2">
        <f>Y19+Y20</f>
        <v>204</v>
      </c>
    </row>
    <row r="22" spans="1:26" x14ac:dyDescent="0.2">
      <c r="P22" s="78"/>
      <c r="Q22" s="78"/>
      <c r="R22" s="78"/>
    </row>
    <row r="23" spans="1:26" x14ac:dyDescent="0.2">
      <c r="P23" s="78"/>
      <c r="Q23" s="78"/>
      <c r="R23" s="78"/>
      <c r="T23" s="2" t="s">
        <v>219</v>
      </c>
      <c r="X23" s="2" t="s">
        <v>222</v>
      </c>
    </row>
    <row r="24" spans="1:26" x14ac:dyDescent="0.2">
      <c r="T24" s="2" t="s">
        <v>215</v>
      </c>
      <c r="U24" s="2">
        <f>(V8-S8)*T8</f>
        <v>720</v>
      </c>
      <c r="V24" s="2" t="s">
        <v>218</v>
      </c>
      <c r="X24" s="2" t="s">
        <v>215</v>
      </c>
      <c r="Y24" s="2">
        <f>(V12-S12)*T12</f>
        <v>-760</v>
      </c>
      <c r="Z24" s="2" t="s">
        <v>220</v>
      </c>
    </row>
    <row r="25" spans="1:26" x14ac:dyDescent="0.2">
      <c r="T25" s="2" t="s">
        <v>216</v>
      </c>
      <c r="U25" s="2">
        <f>(W8-T8)*V8</f>
        <v>-220</v>
      </c>
      <c r="X25" s="2" t="s">
        <v>216</v>
      </c>
      <c r="Y25" s="2">
        <f>(W12-T12)*V12</f>
        <v>60</v>
      </c>
    </row>
    <row r="26" spans="1:26" x14ac:dyDescent="0.2">
      <c r="A26" s="1"/>
      <c r="T26" s="2" t="s">
        <v>217</v>
      </c>
      <c r="U26" s="2">
        <f>U24+U25</f>
        <v>500</v>
      </c>
      <c r="X26" s="2" t="s">
        <v>217</v>
      </c>
      <c r="Y26" s="2">
        <f>Y24+Y25</f>
        <v>-700</v>
      </c>
    </row>
    <row r="28" spans="1:26" x14ac:dyDescent="0.2">
      <c r="T28" s="2" t="s">
        <v>213</v>
      </c>
    </row>
    <row r="29" spans="1:26" x14ac:dyDescent="0.2">
      <c r="T29" s="2" t="s">
        <v>223</v>
      </c>
    </row>
    <row r="30" spans="1:26" x14ac:dyDescent="0.2">
      <c r="T30" s="2" t="s">
        <v>215</v>
      </c>
      <c r="U30" s="2">
        <f>(V14-S14)*T14</f>
        <v>-419.99999999999943</v>
      </c>
    </row>
    <row r="31" spans="1:26" x14ac:dyDescent="0.2">
      <c r="T31" s="2" t="s">
        <v>216</v>
      </c>
      <c r="U31" s="2">
        <f>(W14-T14)*V14</f>
        <v>0</v>
      </c>
    </row>
    <row r="32" spans="1:26" x14ac:dyDescent="0.2">
      <c r="T32" s="2" t="s">
        <v>217</v>
      </c>
      <c r="U32" s="2">
        <f>U30+U31</f>
        <v>-419.99999999999943</v>
      </c>
    </row>
    <row r="34" spans="23:23" x14ac:dyDescent="0.2">
      <c r="W34" s="2" t="s">
        <v>224</v>
      </c>
    </row>
    <row r="35" spans="23:23" x14ac:dyDescent="0.2">
      <c r="W35" s="2" t="s">
        <v>225</v>
      </c>
    </row>
    <row r="36" spans="23:23" x14ac:dyDescent="0.2">
      <c r="W36" s="2" t="s">
        <v>226</v>
      </c>
    </row>
  </sheetData>
  <pageMargins left="0.75" right="0.75" top="1" bottom="1" header="0" footer="0"/>
  <pageSetup paperSize="9" orientation="portrait" horizontalDpi="300" verticalDpi="300" r:id="rId1"/>
  <headerFooter alignWithMargins="0"/>
  <ignoredErrors>
    <ignoredError sqref="R13 U13 X13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FD50-8988-4C8B-A9ED-8616BC581A69}">
  <dimension ref="A1:O40"/>
  <sheetViews>
    <sheetView tabSelected="1" topLeftCell="D18" zoomScaleNormal="100" workbookViewId="0">
      <selection activeCell="G41" sqref="G41"/>
    </sheetView>
  </sheetViews>
  <sheetFormatPr baseColWidth="10" defaultRowHeight="12.75" x14ac:dyDescent="0.2"/>
  <cols>
    <col min="1" max="1" width="11.42578125" style="2"/>
    <col min="2" max="2" width="7.85546875" style="2" customWidth="1"/>
    <col min="3" max="4" width="11.42578125" style="2"/>
    <col min="5" max="5" width="11.42578125" style="2" customWidth="1"/>
    <col min="6" max="6" width="8.140625" style="2" bestFit="1" customWidth="1"/>
    <col min="7" max="7" width="8.28515625" style="2" bestFit="1" customWidth="1"/>
    <col min="8" max="8" width="11.85546875" style="2" customWidth="1"/>
    <col min="9" max="11" width="11.42578125" style="2"/>
    <col min="12" max="12" width="12.7109375" style="2" bestFit="1" customWidth="1"/>
    <col min="13" max="13" width="11.42578125" style="2"/>
    <col min="14" max="14" width="11.7109375" style="2" bestFit="1" customWidth="1"/>
    <col min="15" max="260" width="11.42578125" style="2"/>
    <col min="261" max="261" width="9.7109375" style="2" bestFit="1" customWidth="1"/>
    <col min="262" max="262" width="8.140625" style="2" bestFit="1" customWidth="1"/>
    <col min="263" max="263" width="8.28515625" style="2" bestFit="1" customWidth="1"/>
    <col min="264" max="264" width="11.85546875" style="2" customWidth="1"/>
    <col min="265" max="516" width="11.42578125" style="2"/>
    <col min="517" max="517" width="9.7109375" style="2" bestFit="1" customWidth="1"/>
    <col min="518" max="518" width="8.140625" style="2" bestFit="1" customWidth="1"/>
    <col min="519" max="519" width="8.28515625" style="2" bestFit="1" customWidth="1"/>
    <col min="520" max="520" width="11.85546875" style="2" customWidth="1"/>
    <col min="521" max="772" width="11.42578125" style="2"/>
    <col min="773" max="773" width="9.7109375" style="2" bestFit="1" customWidth="1"/>
    <col min="774" max="774" width="8.140625" style="2" bestFit="1" customWidth="1"/>
    <col min="775" max="775" width="8.28515625" style="2" bestFit="1" customWidth="1"/>
    <col min="776" max="776" width="11.85546875" style="2" customWidth="1"/>
    <col min="777" max="1028" width="11.42578125" style="2"/>
    <col min="1029" max="1029" width="9.7109375" style="2" bestFit="1" customWidth="1"/>
    <col min="1030" max="1030" width="8.140625" style="2" bestFit="1" customWidth="1"/>
    <col min="1031" max="1031" width="8.28515625" style="2" bestFit="1" customWidth="1"/>
    <col min="1032" max="1032" width="11.85546875" style="2" customWidth="1"/>
    <col min="1033" max="1284" width="11.42578125" style="2"/>
    <col min="1285" max="1285" width="9.7109375" style="2" bestFit="1" customWidth="1"/>
    <col min="1286" max="1286" width="8.140625" style="2" bestFit="1" customWidth="1"/>
    <col min="1287" max="1287" width="8.28515625" style="2" bestFit="1" customWidth="1"/>
    <col min="1288" max="1288" width="11.85546875" style="2" customWidth="1"/>
    <col min="1289" max="1540" width="11.42578125" style="2"/>
    <col min="1541" max="1541" width="9.7109375" style="2" bestFit="1" customWidth="1"/>
    <col min="1542" max="1542" width="8.140625" style="2" bestFit="1" customWidth="1"/>
    <col min="1543" max="1543" width="8.28515625" style="2" bestFit="1" customWidth="1"/>
    <col min="1544" max="1544" width="11.85546875" style="2" customWidth="1"/>
    <col min="1545" max="1796" width="11.42578125" style="2"/>
    <col min="1797" max="1797" width="9.7109375" style="2" bestFit="1" customWidth="1"/>
    <col min="1798" max="1798" width="8.140625" style="2" bestFit="1" customWidth="1"/>
    <col min="1799" max="1799" width="8.28515625" style="2" bestFit="1" customWidth="1"/>
    <col min="1800" max="1800" width="11.85546875" style="2" customWidth="1"/>
    <col min="1801" max="2052" width="11.42578125" style="2"/>
    <col min="2053" max="2053" width="9.7109375" style="2" bestFit="1" customWidth="1"/>
    <col min="2054" max="2054" width="8.140625" style="2" bestFit="1" customWidth="1"/>
    <col min="2055" max="2055" width="8.28515625" style="2" bestFit="1" customWidth="1"/>
    <col min="2056" max="2056" width="11.85546875" style="2" customWidth="1"/>
    <col min="2057" max="2308" width="11.42578125" style="2"/>
    <col min="2309" max="2309" width="9.7109375" style="2" bestFit="1" customWidth="1"/>
    <col min="2310" max="2310" width="8.140625" style="2" bestFit="1" customWidth="1"/>
    <col min="2311" max="2311" width="8.28515625" style="2" bestFit="1" customWidth="1"/>
    <col min="2312" max="2312" width="11.85546875" style="2" customWidth="1"/>
    <col min="2313" max="2564" width="11.42578125" style="2"/>
    <col min="2565" max="2565" width="9.7109375" style="2" bestFit="1" customWidth="1"/>
    <col min="2566" max="2566" width="8.140625" style="2" bestFit="1" customWidth="1"/>
    <col min="2567" max="2567" width="8.28515625" style="2" bestFit="1" customWidth="1"/>
    <col min="2568" max="2568" width="11.85546875" style="2" customWidth="1"/>
    <col min="2569" max="2820" width="11.42578125" style="2"/>
    <col min="2821" max="2821" width="9.7109375" style="2" bestFit="1" customWidth="1"/>
    <col min="2822" max="2822" width="8.140625" style="2" bestFit="1" customWidth="1"/>
    <col min="2823" max="2823" width="8.28515625" style="2" bestFit="1" customWidth="1"/>
    <col min="2824" max="2824" width="11.85546875" style="2" customWidth="1"/>
    <col min="2825" max="3076" width="11.42578125" style="2"/>
    <col min="3077" max="3077" width="9.7109375" style="2" bestFit="1" customWidth="1"/>
    <col min="3078" max="3078" width="8.140625" style="2" bestFit="1" customWidth="1"/>
    <col min="3079" max="3079" width="8.28515625" style="2" bestFit="1" customWidth="1"/>
    <col min="3080" max="3080" width="11.85546875" style="2" customWidth="1"/>
    <col min="3081" max="3332" width="11.42578125" style="2"/>
    <col min="3333" max="3333" width="9.7109375" style="2" bestFit="1" customWidth="1"/>
    <col min="3334" max="3334" width="8.140625" style="2" bestFit="1" customWidth="1"/>
    <col min="3335" max="3335" width="8.28515625" style="2" bestFit="1" customWidth="1"/>
    <col min="3336" max="3336" width="11.85546875" style="2" customWidth="1"/>
    <col min="3337" max="3588" width="11.42578125" style="2"/>
    <col min="3589" max="3589" width="9.7109375" style="2" bestFit="1" customWidth="1"/>
    <col min="3590" max="3590" width="8.140625" style="2" bestFit="1" customWidth="1"/>
    <col min="3591" max="3591" width="8.28515625" style="2" bestFit="1" customWidth="1"/>
    <col min="3592" max="3592" width="11.85546875" style="2" customWidth="1"/>
    <col min="3593" max="3844" width="11.42578125" style="2"/>
    <col min="3845" max="3845" width="9.7109375" style="2" bestFit="1" customWidth="1"/>
    <col min="3846" max="3846" width="8.140625" style="2" bestFit="1" customWidth="1"/>
    <col min="3847" max="3847" width="8.28515625" style="2" bestFit="1" customWidth="1"/>
    <col min="3848" max="3848" width="11.85546875" style="2" customWidth="1"/>
    <col min="3849" max="4100" width="11.42578125" style="2"/>
    <col min="4101" max="4101" width="9.7109375" style="2" bestFit="1" customWidth="1"/>
    <col min="4102" max="4102" width="8.140625" style="2" bestFit="1" customWidth="1"/>
    <col min="4103" max="4103" width="8.28515625" style="2" bestFit="1" customWidth="1"/>
    <col min="4104" max="4104" width="11.85546875" style="2" customWidth="1"/>
    <col min="4105" max="4356" width="11.42578125" style="2"/>
    <col min="4357" max="4357" width="9.7109375" style="2" bestFit="1" customWidth="1"/>
    <col min="4358" max="4358" width="8.140625" style="2" bestFit="1" customWidth="1"/>
    <col min="4359" max="4359" width="8.28515625" style="2" bestFit="1" customWidth="1"/>
    <col min="4360" max="4360" width="11.85546875" style="2" customWidth="1"/>
    <col min="4361" max="4612" width="11.42578125" style="2"/>
    <col min="4613" max="4613" width="9.7109375" style="2" bestFit="1" customWidth="1"/>
    <col min="4614" max="4614" width="8.140625" style="2" bestFit="1" customWidth="1"/>
    <col min="4615" max="4615" width="8.28515625" style="2" bestFit="1" customWidth="1"/>
    <col min="4616" max="4616" width="11.85546875" style="2" customWidth="1"/>
    <col min="4617" max="4868" width="11.42578125" style="2"/>
    <col min="4869" max="4869" width="9.7109375" style="2" bestFit="1" customWidth="1"/>
    <col min="4870" max="4870" width="8.140625" style="2" bestFit="1" customWidth="1"/>
    <col min="4871" max="4871" width="8.28515625" style="2" bestFit="1" customWidth="1"/>
    <col min="4872" max="4872" width="11.85546875" style="2" customWidth="1"/>
    <col min="4873" max="5124" width="11.42578125" style="2"/>
    <col min="5125" max="5125" width="9.7109375" style="2" bestFit="1" customWidth="1"/>
    <col min="5126" max="5126" width="8.140625" style="2" bestFit="1" customWidth="1"/>
    <col min="5127" max="5127" width="8.28515625" style="2" bestFit="1" customWidth="1"/>
    <col min="5128" max="5128" width="11.85546875" style="2" customWidth="1"/>
    <col min="5129" max="5380" width="11.42578125" style="2"/>
    <col min="5381" max="5381" width="9.7109375" style="2" bestFit="1" customWidth="1"/>
    <col min="5382" max="5382" width="8.140625" style="2" bestFit="1" customWidth="1"/>
    <col min="5383" max="5383" width="8.28515625" style="2" bestFit="1" customWidth="1"/>
    <col min="5384" max="5384" width="11.85546875" style="2" customWidth="1"/>
    <col min="5385" max="5636" width="11.42578125" style="2"/>
    <col min="5637" max="5637" width="9.7109375" style="2" bestFit="1" customWidth="1"/>
    <col min="5638" max="5638" width="8.140625" style="2" bestFit="1" customWidth="1"/>
    <col min="5639" max="5639" width="8.28515625" style="2" bestFit="1" customWidth="1"/>
    <col min="5640" max="5640" width="11.85546875" style="2" customWidth="1"/>
    <col min="5641" max="5892" width="11.42578125" style="2"/>
    <col min="5893" max="5893" width="9.7109375" style="2" bestFit="1" customWidth="1"/>
    <col min="5894" max="5894" width="8.140625" style="2" bestFit="1" customWidth="1"/>
    <col min="5895" max="5895" width="8.28515625" style="2" bestFit="1" customWidth="1"/>
    <col min="5896" max="5896" width="11.85546875" style="2" customWidth="1"/>
    <col min="5897" max="6148" width="11.42578125" style="2"/>
    <col min="6149" max="6149" width="9.7109375" style="2" bestFit="1" customWidth="1"/>
    <col min="6150" max="6150" width="8.140625" style="2" bestFit="1" customWidth="1"/>
    <col min="6151" max="6151" width="8.28515625" style="2" bestFit="1" customWidth="1"/>
    <col min="6152" max="6152" width="11.85546875" style="2" customWidth="1"/>
    <col min="6153" max="6404" width="11.42578125" style="2"/>
    <col min="6405" max="6405" width="9.7109375" style="2" bestFit="1" customWidth="1"/>
    <col min="6406" max="6406" width="8.140625" style="2" bestFit="1" customWidth="1"/>
    <col min="6407" max="6407" width="8.28515625" style="2" bestFit="1" customWidth="1"/>
    <col min="6408" max="6408" width="11.85546875" style="2" customWidth="1"/>
    <col min="6409" max="6660" width="11.42578125" style="2"/>
    <col min="6661" max="6661" width="9.7109375" style="2" bestFit="1" customWidth="1"/>
    <col min="6662" max="6662" width="8.140625" style="2" bestFit="1" customWidth="1"/>
    <col min="6663" max="6663" width="8.28515625" style="2" bestFit="1" customWidth="1"/>
    <col min="6664" max="6664" width="11.85546875" style="2" customWidth="1"/>
    <col min="6665" max="6916" width="11.42578125" style="2"/>
    <col min="6917" max="6917" width="9.7109375" style="2" bestFit="1" customWidth="1"/>
    <col min="6918" max="6918" width="8.140625" style="2" bestFit="1" customWidth="1"/>
    <col min="6919" max="6919" width="8.28515625" style="2" bestFit="1" customWidth="1"/>
    <col min="6920" max="6920" width="11.85546875" style="2" customWidth="1"/>
    <col min="6921" max="7172" width="11.42578125" style="2"/>
    <col min="7173" max="7173" width="9.7109375" style="2" bestFit="1" customWidth="1"/>
    <col min="7174" max="7174" width="8.140625" style="2" bestFit="1" customWidth="1"/>
    <col min="7175" max="7175" width="8.28515625" style="2" bestFit="1" customWidth="1"/>
    <col min="7176" max="7176" width="11.85546875" style="2" customWidth="1"/>
    <col min="7177" max="7428" width="11.42578125" style="2"/>
    <col min="7429" max="7429" width="9.7109375" style="2" bestFit="1" customWidth="1"/>
    <col min="7430" max="7430" width="8.140625" style="2" bestFit="1" customWidth="1"/>
    <col min="7431" max="7431" width="8.28515625" style="2" bestFit="1" customWidth="1"/>
    <col min="7432" max="7432" width="11.85546875" style="2" customWidth="1"/>
    <col min="7433" max="7684" width="11.42578125" style="2"/>
    <col min="7685" max="7685" width="9.7109375" style="2" bestFit="1" customWidth="1"/>
    <col min="7686" max="7686" width="8.140625" style="2" bestFit="1" customWidth="1"/>
    <col min="7687" max="7687" width="8.28515625" style="2" bestFit="1" customWidth="1"/>
    <col min="7688" max="7688" width="11.85546875" style="2" customWidth="1"/>
    <col min="7689" max="7940" width="11.42578125" style="2"/>
    <col min="7941" max="7941" width="9.7109375" style="2" bestFit="1" customWidth="1"/>
    <col min="7942" max="7942" width="8.140625" style="2" bestFit="1" customWidth="1"/>
    <col min="7943" max="7943" width="8.28515625" style="2" bestFit="1" customWidth="1"/>
    <col min="7944" max="7944" width="11.85546875" style="2" customWidth="1"/>
    <col min="7945" max="8196" width="11.42578125" style="2"/>
    <col min="8197" max="8197" width="9.7109375" style="2" bestFit="1" customWidth="1"/>
    <col min="8198" max="8198" width="8.140625" style="2" bestFit="1" customWidth="1"/>
    <col min="8199" max="8199" width="8.28515625" style="2" bestFit="1" customWidth="1"/>
    <col min="8200" max="8200" width="11.85546875" style="2" customWidth="1"/>
    <col min="8201" max="8452" width="11.42578125" style="2"/>
    <col min="8453" max="8453" width="9.7109375" style="2" bestFit="1" customWidth="1"/>
    <col min="8454" max="8454" width="8.140625" style="2" bestFit="1" customWidth="1"/>
    <col min="8455" max="8455" width="8.28515625" style="2" bestFit="1" customWidth="1"/>
    <col min="8456" max="8456" width="11.85546875" style="2" customWidth="1"/>
    <col min="8457" max="8708" width="11.42578125" style="2"/>
    <col min="8709" max="8709" width="9.7109375" style="2" bestFit="1" customWidth="1"/>
    <col min="8710" max="8710" width="8.140625" style="2" bestFit="1" customWidth="1"/>
    <col min="8711" max="8711" width="8.28515625" style="2" bestFit="1" customWidth="1"/>
    <col min="8712" max="8712" width="11.85546875" style="2" customWidth="1"/>
    <col min="8713" max="8964" width="11.42578125" style="2"/>
    <col min="8965" max="8965" width="9.7109375" style="2" bestFit="1" customWidth="1"/>
    <col min="8966" max="8966" width="8.140625" style="2" bestFit="1" customWidth="1"/>
    <col min="8967" max="8967" width="8.28515625" style="2" bestFit="1" customWidth="1"/>
    <col min="8968" max="8968" width="11.85546875" style="2" customWidth="1"/>
    <col min="8969" max="9220" width="11.42578125" style="2"/>
    <col min="9221" max="9221" width="9.7109375" style="2" bestFit="1" customWidth="1"/>
    <col min="9222" max="9222" width="8.140625" style="2" bestFit="1" customWidth="1"/>
    <col min="9223" max="9223" width="8.28515625" style="2" bestFit="1" customWidth="1"/>
    <col min="9224" max="9224" width="11.85546875" style="2" customWidth="1"/>
    <col min="9225" max="9476" width="11.42578125" style="2"/>
    <col min="9477" max="9477" width="9.7109375" style="2" bestFit="1" customWidth="1"/>
    <col min="9478" max="9478" width="8.140625" style="2" bestFit="1" customWidth="1"/>
    <col min="9479" max="9479" width="8.28515625" style="2" bestFit="1" customWidth="1"/>
    <col min="9480" max="9480" width="11.85546875" style="2" customWidth="1"/>
    <col min="9481" max="9732" width="11.42578125" style="2"/>
    <col min="9733" max="9733" width="9.7109375" style="2" bestFit="1" customWidth="1"/>
    <col min="9734" max="9734" width="8.140625" style="2" bestFit="1" customWidth="1"/>
    <col min="9735" max="9735" width="8.28515625" style="2" bestFit="1" customWidth="1"/>
    <col min="9736" max="9736" width="11.85546875" style="2" customWidth="1"/>
    <col min="9737" max="9988" width="11.42578125" style="2"/>
    <col min="9989" max="9989" width="9.7109375" style="2" bestFit="1" customWidth="1"/>
    <col min="9990" max="9990" width="8.140625" style="2" bestFit="1" customWidth="1"/>
    <col min="9991" max="9991" width="8.28515625" style="2" bestFit="1" customWidth="1"/>
    <col min="9992" max="9992" width="11.85546875" style="2" customWidth="1"/>
    <col min="9993" max="10244" width="11.42578125" style="2"/>
    <col min="10245" max="10245" width="9.7109375" style="2" bestFit="1" customWidth="1"/>
    <col min="10246" max="10246" width="8.140625" style="2" bestFit="1" customWidth="1"/>
    <col min="10247" max="10247" width="8.28515625" style="2" bestFit="1" customWidth="1"/>
    <col min="10248" max="10248" width="11.85546875" style="2" customWidth="1"/>
    <col min="10249" max="10500" width="11.42578125" style="2"/>
    <col min="10501" max="10501" width="9.7109375" style="2" bestFit="1" customWidth="1"/>
    <col min="10502" max="10502" width="8.140625" style="2" bestFit="1" customWidth="1"/>
    <col min="10503" max="10503" width="8.28515625" style="2" bestFit="1" customWidth="1"/>
    <col min="10504" max="10504" width="11.85546875" style="2" customWidth="1"/>
    <col min="10505" max="10756" width="11.42578125" style="2"/>
    <col min="10757" max="10757" width="9.7109375" style="2" bestFit="1" customWidth="1"/>
    <col min="10758" max="10758" width="8.140625" style="2" bestFit="1" customWidth="1"/>
    <col min="10759" max="10759" width="8.28515625" style="2" bestFit="1" customWidth="1"/>
    <col min="10760" max="10760" width="11.85546875" style="2" customWidth="1"/>
    <col min="10761" max="11012" width="11.42578125" style="2"/>
    <col min="11013" max="11013" width="9.7109375" style="2" bestFit="1" customWidth="1"/>
    <col min="11014" max="11014" width="8.140625" style="2" bestFit="1" customWidth="1"/>
    <col min="11015" max="11015" width="8.28515625" style="2" bestFit="1" customWidth="1"/>
    <col min="11016" max="11016" width="11.85546875" style="2" customWidth="1"/>
    <col min="11017" max="11268" width="11.42578125" style="2"/>
    <col min="11269" max="11269" width="9.7109375" style="2" bestFit="1" customWidth="1"/>
    <col min="11270" max="11270" width="8.140625" style="2" bestFit="1" customWidth="1"/>
    <col min="11271" max="11271" width="8.28515625" style="2" bestFit="1" customWidth="1"/>
    <col min="11272" max="11272" width="11.85546875" style="2" customWidth="1"/>
    <col min="11273" max="11524" width="11.42578125" style="2"/>
    <col min="11525" max="11525" width="9.7109375" style="2" bestFit="1" customWidth="1"/>
    <col min="11526" max="11526" width="8.140625" style="2" bestFit="1" customWidth="1"/>
    <col min="11527" max="11527" width="8.28515625" style="2" bestFit="1" customWidth="1"/>
    <col min="11528" max="11528" width="11.85546875" style="2" customWidth="1"/>
    <col min="11529" max="11780" width="11.42578125" style="2"/>
    <col min="11781" max="11781" width="9.7109375" style="2" bestFit="1" customWidth="1"/>
    <col min="11782" max="11782" width="8.140625" style="2" bestFit="1" customWidth="1"/>
    <col min="11783" max="11783" width="8.28515625" style="2" bestFit="1" customWidth="1"/>
    <col min="11784" max="11784" width="11.85546875" style="2" customWidth="1"/>
    <col min="11785" max="12036" width="11.42578125" style="2"/>
    <col min="12037" max="12037" width="9.7109375" style="2" bestFit="1" customWidth="1"/>
    <col min="12038" max="12038" width="8.140625" style="2" bestFit="1" customWidth="1"/>
    <col min="12039" max="12039" width="8.28515625" style="2" bestFit="1" customWidth="1"/>
    <col min="12040" max="12040" width="11.85546875" style="2" customWidth="1"/>
    <col min="12041" max="12292" width="11.42578125" style="2"/>
    <col min="12293" max="12293" width="9.7109375" style="2" bestFit="1" customWidth="1"/>
    <col min="12294" max="12294" width="8.140625" style="2" bestFit="1" customWidth="1"/>
    <col min="12295" max="12295" width="8.28515625" style="2" bestFit="1" customWidth="1"/>
    <col min="12296" max="12296" width="11.85546875" style="2" customWidth="1"/>
    <col min="12297" max="12548" width="11.42578125" style="2"/>
    <col min="12549" max="12549" width="9.7109375" style="2" bestFit="1" customWidth="1"/>
    <col min="12550" max="12550" width="8.140625" style="2" bestFit="1" customWidth="1"/>
    <col min="12551" max="12551" width="8.28515625" style="2" bestFit="1" customWidth="1"/>
    <col min="12552" max="12552" width="11.85546875" style="2" customWidth="1"/>
    <col min="12553" max="12804" width="11.42578125" style="2"/>
    <col min="12805" max="12805" width="9.7109375" style="2" bestFit="1" customWidth="1"/>
    <col min="12806" max="12806" width="8.140625" style="2" bestFit="1" customWidth="1"/>
    <col min="12807" max="12807" width="8.28515625" style="2" bestFit="1" customWidth="1"/>
    <col min="12808" max="12808" width="11.85546875" style="2" customWidth="1"/>
    <col min="12809" max="13060" width="11.42578125" style="2"/>
    <col min="13061" max="13061" width="9.7109375" style="2" bestFit="1" customWidth="1"/>
    <col min="13062" max="13062" width="8.140625" style="2" bestFit="1" customWidth="1"/>
    <col min="13063" max="13063" width="8.28515625" style="2" bestFit="1" customWidth="1"/>
    <col min="13064" max="13064" width="11.85546875" style="2" customWidth="1"/>
    <col min="13065" max="13316" width="11.42578125" style="2"/>
    <col min="13317" max="13317" width="9.7109375" style="2" bestFit="1" customWidth="1"/>
    <col min="13318" max="13318" width="8.140625" style="2" bestFit="1" customWidth="1"/>
    <col min="13319" max="13319" width="8.28515625" style="2" bestFit="1" customWidth="1"/>
    <col min="13320" max="13320" width="11.85546875" style="2" customWidth="1"/>
    <col min="13321" max="13572" width="11.42578125" style="2"/>
    <col min="13573" max="13573" width="9.7109375" style="2" bestFit="1" customWidth="1"/>
    <col min="13574" max="13574" width="8.140625" style="2" bestFit="1" customWidth="1"/>
    <col min="13575" max="13575" width="8.28515625" style="2" bestFit="1" customWidth="1"/>
    <col min="13576" max="13576" width="11.85546875" style="2" customWidth="1"/>
    <col min="13577" max="13828" width="11.42578125" style="2"/>
    <col min="13829" max="13829" width="9.7109375" style="2" bestFit="1" customWidth="1"/>
    <col min="13830" max="13830" width="8.140625" style="2" bestFit="1" customWidth="1"/>
    <col min="13831" max="13831" width="8.28515625" style="2" bestFit="1" customWidth="1"/>
    <col min="13832" max="13832" width="11.85546875" style="2" customWidth="1"/>
    <col min="13833" max="14084" width="11.42578125" style="2"/>
    <col min="14085" max="14085" width="9.7109375" style="2" bestFit="1" customWidth="1"/>
    <col min="14086" max="14086" width="8.140625" style="2" bestFit="1" customWidth="1"/>
    <col min="14087" max="14087" width="8.28515625" style="2" bestFit="1" customWidth="1"/>
    <col min="14088" max="14088" width="11.85546875" style="2" customWidth="1"/>
    <col min="14089" max="14340" width="11.42578125" style="2"/>
    <col min="14341" max="14341" width="9.7109375" style="2" bestFit="1" customWidth="1"/>
    <col min="14342" max="14342" width="8.140625" style="2" bestFit="1" customWidth="1"/>
    <col min="14343" max="14343" width="8.28515625" style="2" bestFit="1" customWidth="1"/>
    <col min="14344" max="14344" width="11.85546875" style="2" customWidth="1"/>
    <col min="14345" max="14596" width="11.42578125" style="2"/>
    <col min="14597" max="14597" width="9.7109375" style="2" bestFit="1" customWidth="1"/>
    <col min="14598" max="14598" width="8.140625" style="2" bestFit="1" customWidth="1"/>
    <col min="14599" max="14599" width="8.28515625" style="2" bestFit="1" customWidth="1"/>
    <col min="14600" max="14600" width="11.85546875" style="2" customWidth="1"/>
    <col min="14601" max="14852" width="11.42578125" style="2"/>
    <col min="14853" max="14853" width="9.7109375" style="2" bestFit="1" customWidth="1"/>
    <col min="14854" max="14854" width="8.140625" style="2" bestFit="1" customWidth="1"/>
    <col min="14855" max="14855" width="8.28515625" style="2" bestFit="1" customWidth="1"/>
    <col min="14856" max="14856" width="11.85546875" style="2" customWidth="1"/>
    <col min="14857" max="15108" width="11.42578125" style="2"/>
    <col min="15109" max="15109" width="9.7109375" style="2" bestFit="1" customWidth="1"/>
    <col min="15110" max="15110" width="8.140625" style="2" bestFit="1" customWidth="1"/>
    <col min="15111" max="15111" width="8.28515625" style="2" bestFit="1" customWidth="1"/>
    <col min="15112" max="15112" width="11.85546875" style="2" customWidth="1"/>
    <col min="15113" max="15364" width="11.42578125" style="2"/>
    <col min="15365" max="15365" width="9.7109375" style="2" bestFit="1" customWidth="1"/>
    <col min="15366" max="15366" width="8.140625" style="2" bestFit="1" customWidth="1"/>
    <col min="15367" max="15367" width="8.28515625" style="2" bestFit="1" customWidth="1"/>
    <col min="15368" max="15368" width="11.85546875" style="2" customWidth="1"/>
    <col min="15369" max="15620" width="11.42578125" style="2"/>
    <col min="15621" max="15621" width="9.7109375" style="2" bestFit="1" customWidth="1"/>
    <col min="15622" max="15622" width="8.140625" style="2" bestFit="1" customWidth="1"/>
    <col min="15623" max="15623" width="8.28515625" style="2" bestFit="1" customWidth="1"/>
    <col min="15624" max="15624" width="11.85546875" style="2" customWidth="1"/>
    <col min="15625" max="15876" width="11.42578125" style="2"/>
    <col min="15877" max="15877" width="9.7109375" style="2" bestFit="1" customWidth="1"/>
    <col min="15878" max="15878" width="8.140625" style="2" bestFit="1" customWidth="1"/>
    <col min="15879" max="15879" width="8.28515625" style="2" bestFit="1" customWidth="1"/>
    <col min="15880" max="15880" width="11.85546875" style="2" customWidth="1"/>
    <col min="15881" max="16132" width="11.42578125" style="2"/>
    <col min="16133" max="16133" width="9.7109375" style="2" bestFit="1" customWidth="1"/>
    <col min="16134" max="16134" width="8.140625" style="2" bestFit="1" customWidth="1"/>
    <col min="16135" max="16135" width="8.28515625" style="2" bestFit="1" customWidth="1"/>
    <col min="16136" max="16136" width="11.85546875" style="2" customWidth="1"/>
    <col min="16137" max="16384" width="11.42578125" style="2"/>
  </cols>
  <sheetData>
    <row r="1" spans="1:15" ht="15" x14ac:dyDescent="0.25">
      <c r="A1" s="72" t="s">
        <v>156</v>
      </c>
    </row>
    <row r="2" spans="1:15" ht="15" x14ac:dyDescent="0.25">
      <c r="A2" s="72"/>
    </row>
    <row r="3" spans="1:15" ht="15" x14ac:dyDescent="0.25">
      <c r="A3" s="72"/>
    </row>
    <row r="4" spans="1:15" ht="15" x14ac:dyDescent="0.25">
      <c r="A4" s="72"/>
    </row>
    <row r="5" spans="1:15" ht="15" x14ac:dyDescent="0.25">
      <c r="A5" s="72"/>
    </row>
    <row r="6" spans="1:15" ht="15" x14ac:dyDescent="0.25">
      <c r="A6" s="72"/>
    </row>
    <row r="7" spans="1:15" ht="15" x14ac:dyDescent="0.25">
      <c r="A7" s="72"/>
    </row>
    <row r="8" spans="1:15" ht="15" x14ac:dyDescent="0.25">
      <c r="A8" s="72"/>
    </row>
    <row r="9" spans="1:15" ht="15" x14ac:dyDescent="0.25">
      <c r="A9" s="72"/>
    </row>
    <row r="10" spans="1:15" ht="15" x14ac:dyDescent="0.25">
      <c r="A10" s="72"/>
      <c r="L10" s="78" t="s">
        <v>235</v>
      </c>
      <c r="M10" s="78" t="s">
        <v>193</v>
      </c>
      <c r="N10" s="78" t="s">
        <v>194</v>
      </c>
      <c r="O10" s="78"/>
    </row>
    <row r="11" spans="1:15" ht="15" x14ac:dyDescent="0.25">
      <c r="A11" s="72"/>
      <c r="L11" s="88">
        <v>80000</v>
      </c>
      <c r="M11" s="79">
        <v>0.36</v>
      </c>
      <c r="N11" s="88">
        <f>L11*M11</f>
        <v>28800</v>
      </c>
      <c r="O11" s="78"/>
    </row>
    <row r="12" spans="1:15" ht="15" x14ac:dyDescent="0.25">
      <c r="A12" s="72"/>
      <c r="L12" s="88">
        <f>155600-80000</f>
        <v>75600</v>
      </c>
      <c r="M12" s="79">
        <v>0.4</v>
      </c>
      <c r="N12" s="88">
        <f>L12*M12</f>
        <v>30240</v>
      </c>
      <c r="O12" s="78"/>
    </row>
    <row r="13" spans="1:15" ht="15" x14ac:dyDescent="0.25">
      <c r="A13" s="72"/>
      <c r="L13" s="88">
        <f>SUM(L11:L12)</f>
        <v>155600</v>
      </c>
      <c r="M13" s="79">
        <f>N13/L13</f>
        <v>0.37943444730077119</v>
      </c>
      <c r="N13" s="88">
        <f>SUM(N11:N12)</f>
        <v>59040</v>
      </c>
      <c r="O13" s="78"/>
    </row>
    <row r="14" spans="1:15" ht="15" x14ac:dyDescent="0.25">
      <c r="A14" s="72"/>
      <c r="L14" s="78"/>
      <c r="M14" s="78"/>
      <c r="N14" s="78"/>
      <c r="O14" s="78"/>
    </row>
    <row r="15" spans="1:15" ht="15" x14ac:dyDescent="0.25">
      <c r="A15" s="72"/>
    </row>
    <row r="16" spans="1:15" ht="15" x14ac:dyDescent="0.25">
      <c r="A16" s="72"/>
    </row>
    <row r="17" spans="1:15" ht="15" x14ac:dyDescent="0.25">
      <c r="A17" s="72"/>
    </row>
    <row r="18" spans="1:15" ht="15" x14ac:dyDescent="0.25">
      <c r="A18" s="72"/>
    </row>
    <row r="19" spans="1:15" x14ac:dyDescent="0.2">
      <c r="F19" s="2" t="s">
        <v>233</v>
      </c>
      <c r="H19" s="86">
        <v>18800</v>
      </c>
    </row>
    <row r="20" spans="1:15" x14ac:dyDescent="0.2">
      <c r="A20" s="2" t="s">
        <v>227</v>
      </c>
      <c r="F20" s="2" t="s">
        <v>232</v>
      </c>
      <c r="I20" s="2" t="s">
        <v>234</v>
      </c>
      <c r="L20" s="2" t="s">
        <v>236</v>
      </c>
    </row>
    <row r="21" spans="1:15" x14ac:dyDescent="0.2">
      <c r="A21" s="2" t="s">
        <v>191</v>
      </c>
      <c r="B21" s="2" t="s">
        <v>192</v>
      </c>
      <c r="C21" s="78" t="s">
        <v>35</v>
      </c>
      <c r="D21" s="78" t="s">
        <v>228</v>
      </c>
      <c r="E21" s="78" t="s">
        <v>229</v>
      </c>
      <c r="F21" s="78" t="s">
        <v>35</v>
      </c>
      <c r="G21" s="78" t="s">
        <v>228</v>
      </c>
      <c r="H21" s="78" t="s">
        <v>229</v>
      </c>
      <c r="I21" s="78" t="s">
        <v>35</v>
      </c>
      <c r="J21" s="78" t="s">
        <v>228</v>
      </c>
      <c r="K21" s="78" t="s">
        <v>229</v>
      </c>
      <c r="L21" s="78" t="s">
        <v>35</v>
      </c>
      <c r="M21" s="78" t="s">
        <v>228</v>
      </c>
      <c r="N21" s="78" t="s">
        <v>229</v>
      </c>
    </row>
    <row r="22" spans="1:15" x14ac:dyDescent="0.2">
      <c r="A22" s="2" t="s">
        <v>200</v>
      </c>
      <c r="B22" s="2" t="s">
        <v>230</v>
      </c>
      <c r="C22" s="78">
        <v>16</v>
      </c>
      <c r="D22" s="79">
        <v>0.4</v>
      </c>
      <c r="E22" s="79">
        <f>C22*D22</f>
        <v>6.4</v>
      </c>
      <c r="F22" s="87">
        <f>C22*H19</f>
        <v>300800</v>
      </c>
      <c r="G22" s="79">
        <f>D22</f>
        <v>0.4</v>
      </c>
      <c r="H22" s="79">
        <f>F22*G22</f>
        <v>120320</v>
      </c>
      <c r="I22" s="87">
        <v>155600</v>
      </c>
      <c r="J22" s="79">
        <f>K22/I22</f>
        <v>0.37943444730077119</v>
      </c>
      <c r="K22" s="79">
        <f>N13</f>
        <v>59040</v>
      </c>
      <c r="L22" s="87">
        <f>I22-F22</f>
        <v>-145200</v>
      </c>
      <c r="M22" s="79">
        <f>J22-G22</f>
        <v>-2.0565552699228828E-2</v>
      </c>
      <c r="N22" s="79">
        <f>K22-H22</f>
        <v>-61280</v>
      </c>
      <c r="O22" s="2" t="s">
        <v>237</v>
      </c>
    </row>
    <row r="23" spans="1:15" x14ac:dyDescent="0.2">
      <c r="A23" s="2" t="s">
        <v>205</v>
      </c>
      <c r="B23" s="2" t="s">
        <v>231</v>
      </c>
      <c r="C23" s="78">
        <v>4</v>
      </c>
      <c r="D23" s="79">
        <v>4.4000000000000004</v>
      </c>
      <c r="E23" s="79">
        <f>C23*D23</f>
        <v>17.600000000000001</v>
      </c>
      <c r="F23" s="87">
        <f>C23*H19</f>
        <v>75200</v>
      </c>
      <c r="G23" s="79">
        <f>D23</f>
        <v>4.4000000000000004</v>
      </c>
      <c r="H23" s="79">
        <f>F23*G23</f>
        <v>330880</v>
      </c>
      <c r="I23" s="87">
        <v>38400</v>
      </c>
      <c r="J23" s="79">
        <v>4.5</v>
      </c>
      <c r="K23" s="79">
        <f>I23*J23</f>
        <v>172800</v>
      </c>
      <c r="L23" s="87">
        <f t="shared" ref="L23:L24" si="0">I23-F23</f>
        <v>-36800</v>
      </c>
      <c r="M23" s="79">
        <f t="shared" ref="M23:M24" si="1">J23-G23</f>
        <v>9.9999999999999645E-2</v>
      </c>
      <c r="N23" s="79">
        <f t="shared" ref="N23:N24" si="2">K23-H23</f>
        <v>-158080</v>
      </c>
      <c r="O23" s="2" t="s">
        <v>237</v>
      </c>
    </row>
    <row r="24" spans="1:15" x14ac:dyDescent="0.2">
      <c r="A24" s="2" t="s">
        <v>206</v>
      </c>
      <c r="B24" s="2" t="s">
        <v>231</v>
      </c>
      <c r="C24" s="78">
        <v>4</v>
      </c>
      <c r="D24" s="79">
        <v>1.3</v>
      </c>
      <c r="E24" s="79">
        <f>C24*D24</f>
        <v>5.2</v>
      </c>
      <c r="F24" s="87">
        <f>C24*H19</f>
        <v>75200</v>
      </c>
      <c r="G24" s="79">
        <f>D24</f>
        <v>1.3</v>
      </c>
      <c r="H24" s="79">
        <f>F24*G24</f>
        <v>97760</v>
      </c>
      <c r="I24" s="87">
        <f>I23</f>
        <v>38400</v>
      </c>
      <c r="J24" s="79">
        <f>K24/I24</f>
        <v>1.1666666666666667</v>
      </c>
      <c r="K24" s="79">
        <f>32900+11900</f>
        <v>44800</v>
      </c>
      <c r="L24" s="87">
        <f t="shared" si="0"/>
        <v>-36800</v>
      </c>
      <c r="M24" s="79">
        <f t="shared" si="1"/>
        <v>-0.1333333333333333</v>
      </c>
      <c r="N24" s="79">
        <f t="shared" si="2"/>
        <v>-52960</v>
      </c>
      <c r="O24" s="2" t="s">
        <v>237</v>
      </c>
    </row>
    <row r="25" spans="1:15" x14ac:dyDescent="0.2">
      <c r="A25" s="2" t="s">
        <v>217</v>
      </c>
      <c r="C25" s="78"/>
      <c r="D25" s="79"/>
      <c r="E25" s="79">
        <f>SUM(E22:E24)</f>
        <v>29.2</v>
      </c>
      <c r="F25" s="76"/>
      <c r="H25" s="79">
        <f>SUM(H22:H24)</f>
        <v>548960</v>
      </c>
      <c r="I25" s="76"/>
      <c r="K25" s="79">
        <f>SUM(K22:K24)</f>
        <v>276640</v>
      </c>
      <c r="L25" s="76"/>
      <c r="N25" s="79">
        <f>SUM(N22:N24)</f>
        <v>-272320</v>
      </c>
      <c r="O25" s="2" t="s">
        <v>237</v>
      </c>
    </row>
    <row r="26" spans="1:15" x14ac:dyDescent="0.2">
      <c r="C26" s="78"/>
      <c r="D26" s="79"/>
      <c r="E26" s="79"/>
    </row>
    <row r="27" spans="1:15" x14ac:dyDescent="0.2">
      <c r="C27" s="78"/>
      <c r="D27" s="79"/>
      <c r="E27" s="79"/>
      <c r="G27" s="2" t="s">
        <v>238</v>
      </c>
    </row>
    <row r="28" spans="1:15" x14ac:dyDescent="0.2">
      <c r="C28" s="78"/>
      <c r="D28" s="79"/>
      <c r="E28" s="79"/>
      <c r="G28" s="2" t="s">
        <v>239</v>
      </c>
      <c r="J28" s="2" t="s">
        <v>243</v>
      </c>
      <c r="M28" s="2" t="s">
        <v>247</v>
      </c>
    </row>
    <row r="29" spans="1:15" x14ac:dyDescent="0.2">
      <c r="C29" s="78"/>
      <c r="D29" s="79"/>
      <c r="E29" s="79"/>
      <c r="G29" s="2" t="s">
        <v>240</v>
      </c>
      <c r="H29" s="77">
        <f>(I22-F22)*G22</f>
        <v>-58080</v>
      </c>
      <c r="J29" s="2" t="s">
        <v>244</v>
      </c>
      <c r="K29" s="77">
        <f>(I23-F23)*G23</f>
        <v>-161920</v>
      </c>
      <c r="M29" s="2" t="s">
        <v>248</v>
      </c>
      <c r="N29" s="77">
        <f>(I24-F24)*G24</f>
        <v>-47840</v>
      </c>
    </row>
    <row r="30" spans="1:15" x14ac:dyDescent="0.2">
      <c r="C30" s="78"/>
      <c r="D30" s="79"/>
      <c r="E30" s="79"/>
      <c r="G30" s="2" t="s">
        <v>241</v>
      </c>
      <c r="H30" s="77">
        <f>(J22-G22)*I22</f>
        <v>-3200.0000000000059</v>
      </c>
      <c r="J30" s="2" t="s">
        <v>245</v>
      </c>
      <c r="K30" s="77">
        <f>(J23-G23)*I23</f>
        <v>3839.9999999999864</v>
      </c>
      <c r="M30" s="2" t="s">
        <v>249</v>
      </c>
      <c r="N30" s="77">
        <f>(J24-G24)*I24</f>
        <v>-5119.9999999999991</v>
      </c>
    </row>
    <row r="31" spans="1:15" x14ac:dyDescent="0.2">
      <c r="C31" s="78"/>
      <c r="D31" s="78"/>
      <c r="E31" s="78"/>
      <c r="G31" s="2" t="s">
        <v>242</v>
      </c>
      <c r="H31" s="77">
        <f>H29+H30</f>
        <v>-61280.000000000007</v>
      </c>
      <c r="J31" s="2" t="s">
        <v>246</v>
      </c>
      <c r="K31" s="77">
        <f>K29+K30</f>
        <v>-158080</v>
      </c>
      <c r="M31" s="2" t="s">
        <v>250</v>
      </c>
      <c r="N31" s="77">
        <f>N29+N30</f>
        <v>-52960</v>
      </c>
    </row>
    <row r="33" spans="7:7" x14ac:dyDescent="0.2">
      <c r="G33" s="2" t="s">
        <v>251</v>
      </c>
    </row>
    <row r="34" spans="7:7" x14ac:dyDescent="0.2">
      <c r="G34" s="2" t="s">
        <v>252</v>
      </c>
    </row>
    <row r="35" spans="7:7" x14ac:dyDescent="0.2">
      <c r="G35" s="2" t="s">
        <v>253</v>
      </c>
    </row>
    <row r="37" spans="7:7" x14ac:dyDescent="0.2">
      <c r="G37" s="2" t="s">
        <v>254</v>
      </c>
    </row>
    <row r="38" spans="7:7" x14ac:dyDescent="0.2">
      <c r="G38" s="2" t="s">
        <v>255</v>
      </c>
    </row>
    <row r="40" spans="7:7" x14ac:dyDescent="0.2">
      <c r="G40" s="2" t="s">
        <v>256</v>
      </c>
    </row>
  </sheetData>
  <pageMargins left="0.75" right="0.75" top="1" bottom="1" header="0" footer="0"/>
  <pageSetup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4E83-557D-444B-BEBF-FBC475615DFE}">
  <dimension ref="A1:A37"/>
  <sheetViews>
    <sheetView zoomScaleNormal="100" workbookViewId="0">
      <selection activeCell="A2" sqref="A2"/>
    </sheetView>
  </sheetViews>
  <sheetFormatPr baseColWidth="10" defaultRowHeight="12.75" x14ac:dyDescent="0.2"/>
  <cols>
    <col min="1" max="4" width="11.42578125" style="2"/>
    <col min="5" max="5" width="9.140625" style="2" bestFit="1" customWidth="1"/>
    <col min="6" max="6" width="8.5703125" style="2" bestFit="1" customWidth="1"/>
    <col min="7" max="7" width="6.140625" style="2" bestFit="1" customWidth="1"/>
    <col min="8" max="8" width="8.28515625" style="2" bestFit="1" customWidth="1"/>
    <col min="9" max="9" width="11.85546875" style="2" customWidth="1"/>
    <col min="10" max="260" width="11.42578125" style="2"/>
    <col min="261" max="261" width="9.140625" style="2" bestFit="1" customWidth="1"/>
    <col min="262" max="262" width="8.5703125" style="2" bestFit="1" customWidth="1"/>
    <col min="263" max="263" width="6.140625" style="2" bestFit="1" customWidth="1"/>
    <col min="264" max="264" width="8.28515625" style="2" bestFit="1" customWidth="1"/>
    <col min="265" max="265" width="11.85546875" style="2" customWidth="1"/>
    <col min="266" max="516" width="11.42578125" style="2"/>
    <col min="517" max="517" width="9.140625" style="2" bestFit="1" customWidth="1"/>
    <col min="518" max="518" width="8.5703125" style="2" bestFit="1" customWidth="1"/>
    <col min="519" max="519" width="6.140625" style="2" bestFit="1" customWidth="1"/>
    <col min="520" max="520" width="8.28515625" style="2" bestFit="1" customWidth="1"/>
    <col min="521" max="521" width="11.85546875" style="2" customWidth="1"/>
    <col min="522" max="772" width="11.42578125" style="2"/>
    <col min="773" max="773" width="9.140625" style="2" bestFit="1" customWidth="1"/>
    <col min="774" max="774" width="8.5703125" style="2" bestFit="1" customWidth="1"/>
    <col min="775" max="775" width="6.140625" style="2" bestFit="1" customWidth="1"/>
    <col min="776" max="776" width="8.28515625" style="2" bestFit="1" customWidth="1"/>
    <col min="777" max="777" width="11.85546875" style="2" customWidth="1"/>
    <col min="778" max="1028" width="11.42578125" style="2"/>
    <col min="1029" max="1029" width="9.140625" style="2" bestFit="1" customWidth="1"/>
    <col min="1030" max="1030" width="8.5703125" style="2" bestFit="1" customWidth="1"/>
    <col min="1031" max="1031" width="6.140625" style="2" bestFit="1" customWidth="1"/>
    <col min="1032" max="1032" width="8.28515625" style="2" bestFit="1" customWidth="1"/>
    <col min="1033" max="1033" width="11.85546875" style="2" customWidth="1"/>
    <col min="1034" max="1284" width="11.42578125" style="2"/>
    <col min="1285" max="1285" width="9.140625" style="2" bestFit="1" customWidth="1"/>
    <col min="1286" max="1286" width="8.5703125" style="2" bestFit="1" customWidth="1"/>
    <col min="1287" max="1287" width="6.140625" style="2" bestFit="1" customWidth="1"/>
    <col min="1288" max="1288" width="8.28515625" style="2" bestFit="1" customWidth="1"/>
    <col min="1289" max="1289" width="11.85546875" style="2" customWidth="1"/>
    <col min="1290" max="1540" width="11.42578125" style="2"/>
    <col min="1541" max="1541" width="9.140625" style="2" bestFit="1" customWidth="1"/>
    <col min="1542" max="1542" width="8.5703125" style="2" bestFit="1" customWidth="1"/>
    <col min="1543" max="1543" width="6.140625" style="2" bestFit="1" customWidth="1"/>
    <col min="1544" max="1544" width="8.28515625" style="2" bestFit="1" customWidth="1"/>
    <col min="1545" max="1545" width="11.85546875" style="2" customWidth="1"/>
    <col min="1546" max="1796" width="11.42578125" style="2"/>
    <col min="1797" max="1797" width="9.140625" style="2" bestFit="1" customWidth="1"/>
    <col min="1798" max="1798" width="8.5703125" style="2" bestFit="1" customWidth="1"/>
    <col min="1799" max="1799" width="6.140625" style="2" bestFit="1" customWidth="1"/>
    <col min="1800" max="1800" width="8.28515625" style="2" bestFit="1" customWidth="1"/>
    <col min="1801" max="1801" width="11.85546875" style="2" customWidth="1"/>
    <col min="1802" max="2052" width="11.42578125" style="2"/>
    <col min="2053" max="2053" width="9.140625" style="2" bestFit="1" customWidth="1"/>
    <col min="2054" max="2054" width="8.5703125" style="2" bestFit="1" customWidth="1"/>
    <col min="2055" max="2055" width="6.140625" style="2" bestFit="1" customWidth="1"/>
    <col min="2056" max="2056" width="8.28515625" style="2" bestFit="1" customWidth="1"/>
    <col min="2057" max="2057" width="11.85546875" style="2" customWidth="1"/>
    <col min="2058" max="2308" width="11.42578125" style="2"/>
    <col min="2309" max="2309" width="9.140625" style="2" bestFit="1" customWidth="1"/>
    <col min="2310" max="2310" width="8.5703125" style="2" bestFit="1" customWidth="1"/>
    <col min="2311" max="2311" width="6.140625" style="2" bestFit="1" customWidth="1"/>
    <col min="2312" max="2312" width="8.28515625" style="2" bestFit="1" customWidth="1"/>
    <col min="2313" max="2313" width="11.85546875" style="2" customWidth="1"/>
    <col min="2314" max="2564" width="11.42578125" style="2"/>
    <col min="2565" max="2565" width="9.140625" style="2" bestFit="1" customWidth="1"/>
    <col min="2566" max="2566" width="8.5703125" style="2" bestFit="1" customWidth="1"/>
    <col min="2567" max="2567" width="6.140625" style="2" bestFit="1" customWidth="1"/>
    <col min="2568" max="2568" width="8.28515625" style="2" bestFit="1" customWidth="1"/>
    <col min="2569" max="2569" width="11.85546875" style="2" customWidth="1"/>
    <col min="2570" max="2820" width="11.42578125" style="2"/>
    <col min="2821" max="2821" width="9.140625" style="2" bestFit="1" customWidth="1"/>
    <col min="2822" max="2822" width="8.5703125" style="2" bestFit="1" customWidth="1"/>
    <col min="2823" max="2823" width="6.140625" style="2" bestFit="1" customWidth="1"/>
    <col min="2824" max="2824" width="8.28515625" style="2" bestFit="1" customWidth="1"/>
    <col min="2825" max="2825" width="11.85546875" style="2" customWidth="1"/>
    <col min="2826" max="3076" width="11.42578125" style="2"/>
    <col min="3077" max="3077" width="9.140625" style="2" bestFit="1" customWidth="1"/>
    <col min="3078" max="3078" width="8.5703125" style="2" bestFit="1" customWidth="1"/>
    <col min="3079" max="3079" width="6.140625" style="2" bestFit="1" customWidth="1"/>
    <col min="3080" max="3080" width="8.28515625" style="2" bestFit="1" customWidth="1"/>
    <col min="3081" max="3081" width="11.85546875" style="2" customWidth="1"/>
    <col min="3082" max="3332" width="11.42578125" style="2"/>
    <col min="3333" max="3333" width="9.140625" style="2" bestFit="1" customWidth="1"/>
    <col min="3334" max="3334" width="8.5703125" style="2" bestFit="1" customWidth="1"/>
    <col min="3335" max="3335" width="6.140625" style="2" bestFit="1" customWidth="1"/>
    <col min="3336" max="3336" width="8.28515625" style="2" bestFit="1" customWidth="1"/>
    <col min="3337" max="3337" width="11.85546875" style="2" customWidth="1"/>
    <col min="3338" max="3588" width="11.42578125" style="2"/>
    <col min="3589" max="3589" width="9.140625" style="2" bestFit="1" customWidth="1"/>
    <col min="3590" max="3590" width="8.5703125" style="2" bestFit="1" customWidth="1"/>
    <col min="3591" max="3591" width="6.140625" style="2" bestFit="1" customWidth="1"/>
    <col min="3592" max="3592" width="8.28515625" style="2" bestFit="1" customWidth="1"/>
    <col min="3593" max="3593" width="11.85546875" style="2" customWidth="1"/>
    <col min="3594" max="3844" width="11.42578125" style="2"/>
    <col min="3845" max="3845" width="9.140625" style="2" bestFit="1" customWidth="1"/>
    <col min="3846" max="3846" width="8.5703125" style="2" bestFit="1" customWidth="1"/>
    <col min="3847" max="3847" width="6.140625" style="2" bestFit="1" customWidth="1"/>
    <col min="3848" max="3848" width="8.28515625" style="2" bestFit="1" customWidth="1"/>
    <col min="3849" max="3849" width="11.85546875" style="2" customWidth="1"/>
    <col min="3850" max="4100" width="11.42578125" style="2"/>
    <col min="4101" max="4101" width="9.140625" style="2" bestFit="1" customWidth="1"/>
    <col min="4102" max="4102" width="8.5703125" style="2" bestFit="1" customWidth="1"/>
    <col min="4103" max="4103" width="6.140625" style="2" bestFit="1" customWidth="1"/>
    <col min="4104" max="4104" width="8.28515625" style="2" bestFit="1" customWidth="1"/>
    <col min="4105" max="4105" width="11.85546875" style="2" customWidth="1"/>
    <col min="4106" max="4356" width="11.42578125" style="2"/>
    <col min="4357" max="4357" width="9.140625" style="2" bestFit="1" customWidth="1"/>
    <col min="4358" max="4358" width="8.5703125" style="2" bestFit="1" customWidth="1"/>
    <col min="4359" max="4359" width="6.140625" style="2" bestFit="1" customWidth="1"/>
    <col min="4360" max="4360" width="8.28515625" style="2" bestFit="1" customWidth="1"/>
    <col min="4361" max="4361" width="11.85546875" style="2" customWidth="1"/>
    <col min="4362" max="4612" width="11.42578125" style="2"/>
    <col min="4613" max="4613" width="9.140625" style="2" bestFit="1" customWidth="1"/>
    <col min="4614" max="4614" width="8.5703125" style="2" bestFit="1" customWidth="1"/>
    <col min="4615" max="4615" width="6.140625" style="2" bestFit="1" customWidth="1"/>
    <col min="4616" max="4616" width="8.28515625" style="2" bestFit="1" customWidth="1"/>
    <col min="4617" max="4617" width="11.85546875" style="2" customWidth="1"/>
    <col min="4618" max="4868" width="11.42578125" style="2"/>
    <col min="4869" max="4869" width="9.140625" style="2" bestFit="1" customWidth="1"/>
    <col min="4870" max="4870" width="8.5703125" style="2" bestFit="1" customWidth="1"/>
    <col min="4871" max="4871" width="6.140625" style="2" bestFit="1" customWidth="1"/>
    <col min="4872" max="4872" width="8.28515625" style="2" bestFit="1" customWidth="1"/>
    <col min="4873" max="4873" width="11.85546875" style="2" customWidth="1"/>
    <col min="4874" max="5124" width="11.42578125" style="2"/>
    <col min="5125" max="5125" width="9.140625" style="2" bestFit="1" customWidth="1"/>
    <col min="5126" max="5126" width="8.5703125" style="2" bestFit="1" customWidth="1"/>
    <col min="5127" max="5127" width="6.140625" style="2" bestFit="1" customWidth="1"/>
    <col min="5128" max="5128" width="8.28515625" style="2" bestFit="1" customWidth="1"/>
    <col min="5129" max="5129" width="11.85546875" style="2" customWidth="1"/>
    <col min="5130" max="5380" width="11.42578125" style="2"/>
    <col min="5381" max="5381" width="9.140625" style="2" bestFit="1" customWidth="1"/>
    <col min="5382" max="5382" width="8.5703125" style="2" bestFit="1" customWidth="1"/>
    <col min="5383" max="5383" width="6.140625" style="2" bestFit="1" customWidth="1"/>
    <col min="5384" max="5384" width="8.28515625" style="2" bestFit="1" customWidth="1"/>
    <col min="5385" max="5385" width="11.85546875" style="2" customWidth="1"/>
    <col min="5386" max="5636" width="11.42578125" style="2"/>
    <col min="5637" max="5637" width="9.140625" style="2" bestFit="1" customWidth="1"/>
    <col min="5638" max="5638" width="8.5703125" style="2" bestFit="1" customWidth="1"/>
    <col min="5639" max="5639" width="6.140625" style="2" bestFit="1" customWidth="1"/>
    <col min="5640" max="5640" width="8.28515625" style="2" bestFit="1" customWidth="1"/>
    <col min="5641" max="5641" width="11.85546875" style="2" customWidth="1"/>
    <col min="5642" max="5892" width="11.42578125" style="2"/>
    <col min="5893" max="5893" width="9.140625" style="2" bestFit="1" customWidth="1"/>
    <col min="5894" max="5894" width="8.5703125" style="2" bestFit="1" customWidth="1"/>
    <col min="5895" max="5895" width="6.140625" style="2" bestFit="1" customWidth="1"/>
    <col min="5896" max="5896" width="8.28515625" style="2" bestFit="1" customWidth="1"/>
    <col min="5897" max="5897" width="11.85546875" style="2" customWidth="1"/>
    <col min="5898" max="6148" width="11.42578125" style="2"/>
    <col min="6149" max="6149" width="9.140625" style="2" bestFit="1" customWidth="1"/>
    <col min="6150" max="6150" width="8.5703125" style="2" bestFit="1" customWidth="1"/>
    <col min="6151" max="6151" width="6.140625" style="2" bestFit="1" customWidth="1"/>
    <col min="6152" max="6152" width="8.28515625" style="2" bestFit="1" customWidth="1"/>
    <col min="6153" max="6153" width="11.85546875" style="2" customWidth="1"/>
    <col min="6154" max="6404" width="11.42578125" style="2"/>
    <col min="6405" max="6405" width="9.140625" style="2" bestFit="1" customWidth="1"/>
    <col min="6406" max="6406" width="8.5703125" style="2" bestFit="1" customWidth="1"/>
    <col min="6407" max="6407" width="6.140625" style="2" bestFit="1" customWidth="1"/>
    <col min="6408" max="6408" width="8.28515625" style="2" bestFit="1" customWidth="1"/>
    <col min="6409" max="6409" width="11.85546875" style="2" customWidth="1"/>
    <col min="6410" max="6660" width="11.42578125" style="2"/>
    <col min="6661" max="6661" width="9.140625" style="2" bestFit="1" customWidth="1"/>
    <col min="6662" max="6662" width="8.5703125" style="2" bestFit="1" customWidth="1"/>
    <col min="6663" max="6663" width="6.140625" style="2" bestFit="1" customWidth="1"/>
    <col min="6664" max="6664" width="8.28515625" style="2" bestFit="1" customWidth="1"/>
    <col min="6665" max="6665" width="11.85546875" style="2" customWidth="1"/>
    <col min="6666" max="6916" width="11.42578125" style="2"/>
    <col min="6917" max="6917" width="9.140625" style="2" bestFit="1" customWidth="1"/>
    <col min="6918" max="6918" width="8.5703125" style="2" bestFit="1" customWidth="1"/>
    <col min="6919" max="6919" width="6.140625" style="2" bestFit="1" customWidth="1"/>
    <col min="6920" max="6920" width="8.28515625" style="2" bestFit="1" customWidth="1"/>
    <col min="6921" max="6921" width="11.85546875" style="2" customWidth="1"/>
    <col min="6922" max="7172" width="11.42578125" style="2"/>
    <col min="7173" max="7173" width="9.140625" style="2" bestFit="1" customWidth="1"/>
    <col min="7174" max="7174" width="8.5703125" style="2" bestFit="1" customWidth="1"/>
    <col min="7175" max="7175" width="6.140625" style="2" bestFit="1" customWidth="1"/>
    <col min="7176" max="7176" width="8.28515625" style="2" bestFit="1" customWidth="1"/>
    <col min="7177" max="7177" width="11.85546875" style="2" customWidth="1"/>
    <col min="7178" max="7428" width="11.42578125" style="2"/>
    <col min="7429" max="7429" width="9.140625" style="2" bestFit="1" customWidth="1"/>
    <col min="7430" max="7430" width="8.5703125" style="2" bestFit="1" customWidth="1"/>
    <col min="7431" max="7431" width="6.140625" style="2" bestFit="1" customWidth="1"/>
    <col min="7432" max="7432" width="8.28515625" style="2" bestFit="1" customWidth="1"/>
    <col min="7433" max="7433" width="11.85546875" style="2" customWidth="1"/>
    <col min="7434" max="7684" width="11.42578125" style="2"/>
    <col min="7685" max="7685" width="9.140625" style="2" bestFit="1" customWidth="1"/>
    <col min="7686" max="7686" width="8.5703125" style="2" bestFit="1" customWidth="1"/>
    <col min="7687" max="7687" width="6.140625" style="2" bestFit="1" customWidth="1"/>
    <col min="7688" max="7688" width="8.28515625" style="2" bestFit="1" customWidth="1"/>
    <col min="7689" max="7689" width="11.85546875" style="2" customWidth="1"/>
    <col min="7690" max="7940" width="11.42578125" style="2"/>
    <col min="7941" max="7941" width="9.140625" style="2" bestFit="1" customWidth="1"/>
    <col min="7942" max="7942" width="8.5703125" style="2" bestFit="1" customWidth="1"/>
    <col min="7943" max="7943" width="6.140625" style="2" bestFit="1" customWidth="1"/>
    <col min="7944" max="7944" width="8.28515625" style="2" bestFit="1" customWidth="1"/>
    <col min="7945" max="7945" width="11.85546875" style="2" customWidth="1"/>
    <col min="7946" max="8196" width="11.42578125" style="2"/>
    <col min="8197" max="8197" width="9.140625" style="2" bestFit="1" customWidth="1"/>
    <col min="8198" max="8198" width="8.5703125" style="2" bestFit="1" customWidth="1"/>
    <col min="8199" max="8199" width="6.140625" style="2" bestFit="1" customWidth="1"/>
    <col min="8200" max="8200" width="8.28515625" style="2" bestFit="1" customWidth="1"/>
    <col min="8201" max="8201" width="11.85546875" style="2" customWidth="1"/>
    <col min="8202" max="8452" width="11.42578125" style="2"/>
    <col min="8453" max="8453" width="9.140625" style="2" bestFit="1" customWidth="1"/>
    <col min="8454" max="8454" width="8.5703125" style="2" bestFit="1" customWidth="1"/>
    <col min="8455" max="8455" width="6.140625" style="2" bestFit="1" customWidth="1"/>
    <col min="8456" max="8456" width="8.28515625" style="2" bestFit="1" customWidth="1"/>
    <col min="8457" max="8457" width="11.85546875" style="2" customWidth="1"/>
    <col min="8458" max="8708" width="11.42578125" style="2"/>
    <col min="8709" max="8709" width="9.140625" style="2" bestFit="1" customWidth="1"/>
    <col min="8710" max="8710" width="8.5703125" style="2" bestFit="1" customWidth="1"/>
    <col min="8711" max="8711" width="6.140625" style="2" bestFit="1" customWidth="1"/>
    <col min="8712" max="8712" width="8.28515625" style="2" bestFit="1" customWidth="1"/>
    <col min="8713" max="8713" width="11.85546875" style="2" customWidth="1"/>
    <col min="8714" max="8964" width="11.42578125" style="2"/>
    <col min="8965" max="8965" width="9.140625" style="2" bestFit="1" customWidth="1"/>
    <col min="8966" max="8966" width="8.5703125" style="2" bestFit="1" customWidth="1"/>
    <col min="8967" max="8967" width="6.140625" style="2" bestFit="1" customWidth="1"/>
    <col min="8968" max="8968" width="8.28515625" style="2" bestFit="1" customWidth="1"/>
    <col min="8969" max="8969" width="11.85546875" style="2" customWidth="1"/>
    <col min="8970" max="9220" width="11.42578125" style="2"/>
    <col min="9221" max="9221" width="9.140625" style="2" bestFit="1" customWidth="1"/>
    <col min="9222" max="9222" width="8.5703125" style="2" bestFit="1" customWidth="1"/>
    <col min="9223" max="9223" width="6.140625" style="2" bestFit="1" customWidth="1"/>
    <col min="9224" max="9224" width="8.28515625" style="2" bestFit="1" customWidth="1"/>
    <col min="9225" max="9225" width="11.85546875" style="2" customWidth="1"/>
    <col min="9226" max="9476" width="11.42578125" style="2"/>
    <col min="9477" max="9477" width="9.140625" style="2" bestFit="1" customWidth="1"/>
    <col min="9478" max="9478" width="8.5703125" style="2" bestFit="1" customWidth="1"/>
    <col min="9479" max="9479" width="6.140625" style="2" bestFit="1" customWidth="1"/>
    <col min="9480" max="9480" width="8.28515625" style="2" bestFit="1" customWidth="1"/>
    <col min="9481" max="9481" width="11.85546875" style="2" customWidth="1"/>
    <col min="9482" max="9732" width="11.42578125" style="2"/>
    <col min="9733" max="9733" width="9.140625" style="2" bestFit="1" customWidth="1"/>
    <col min="9734" max="9734" width="8.5703125" style="2" bestFit="1" customWidth="1"/>
    <col min="9735" max="9735" width="6.140625" style="2" bestFit="1" customWidth="1"/>
    <col min="9736" max="9736" width="8.28515625" style="2" bestFit="1" customWidth="1"/>
    <col min="9737" max="9737" width="11.85546875" style="2" customWidth="1"/>
    <col min="9738" max="9988" width="11.42578125" style="2"/>
    <col min="9989" max="9989" width="9.140625" style="2" bestFit="1" customWidth="1"/>
    <col min="9990" max="9990" width="8.5703125" style="2" bestFit="1" customWidth="1"/>
    <col min="9991" max="9991" width="6.140625" style="2" bestFit="1" customWidth="1"/>
    <col min="9992" max="9992" width="8.28515625" style="2" bestFit="1" customWidth="1"/>
    <col min="9993" max="9993" width="11.85546875" style="2" customWidth="1"/>
    <col min="9994" max="10244" width="11.42578125" style="2"/>
    <col min="10245" max="10245" width="9.140625" style="2" bestFit="1" customWidth="1"/>
    <col min="10246" max="10246" width="8.5703125" style="2" bestFit="1" customWidth="1"/>
    <col min="10247" max="10247" width="6.140625" style="2" bestFit="1" customWidth="1"/>
    <col min="10248" max="10248" width="8.28515625" style="2" bestFit="1" customWidth="1"/>
    <col min="10249" max="10249" width="11.85546875" style="2" customWidth="1"/>
    <col min="10250" max="10500" width="11.42578125" style="2"/>
    <col min="10501" max="10501" width="9.140625" style="2" bestFit="1" customWidth="1"/>
    <col min="10502" max="10502" width="8.5703125" style="2" bestFit="1" customWidth="1"/>
    <col min="10503" max="10503" width="6.140625" style="2" bestFit="1" customWidth="1"/>
    <col min="10504" max="10504" width="8.28515625" style="2" bestFit="1" customWidth="1"/>
    <col min="10505" max="10505" width="11.85546875" style="2" customWidth="1"/>
    <col min="10506" max="10756" width="11.42578125" style="2"/>
    <col min="10757" max="10757" width="9.140625" style="2" bestFit="1" customWidth="1"/>
    <col min="10758" max="10758" width="8.5703125" style="2" bestFit="1" customWidth="1"/>
    <col min="10759" max="10759" width="6.140625" style="2" bestFit="1" customWidth="1"/>
    <col min="10760" max="10760" width="8.28515625" style="2" bestFit="1" customWidth="1"/>
    <col min="10761" max="10761" width="11.85546875" style="2" customWidth="1"/>
    <col min="10762" max="11012" width="11.42578125" style="2"/>
    <col min="11013" max="11013" width="9.140625" style="2" bestFit="1" customWidth="1"/>
    <col min="11014" max="11014" width="8.5703125" style="2" bestFit="1" customWidth="1"/>
    <col min="11015" max="11015" width="6.140625" style="2" bestFit="1" customWidth="1"/>
    <col min="11016" max="11016" width="8.28515625" style="2" bestFit="1" customWidth="1"/>
    <col min="11017" max="11017" width="11.85546875" style="2" customWidth="1"/>
    <col min="11018" max="11268" width="11.42578125" style="2"/>
    <col min="11269" max="11269" width="9.140625" style="2" bestFit="1" customWidth="1"/>
    <col min="11270" max="11270" width="8.5703125" style="2" bestFit="1" customWidth="1"/>
    <col min="11271" max="11271" width="6.140625" style="2" bestFit="1" customWidth="1"/>
    <col min="11272" max="11272" width="8.28515625" style="2" bestFit="1" customWidth="1"/>
    <col min="11273" max="11273" width="11.85546875" style="2" customWidth="1"/>
    <col min="11274" max="11524" width="11.42578125" style="2"/>
    <col min="11525" max="11525" width="9.140625" style="2" bestFit="1" customWidth="1"/>
    <col min="11526" max="11526" width="8.5703125" style="2" bestFit="1" customWidth="1"/>
    <col min="11527" max="11527" width="6.140625" style="2" bestFit="1" customWidth="1"/>
    <col min="11528" max="11528" width="8.28515625" style="2" bestFit="1" customWidth="1"/>
    <col min="11529" max="11529" width="11.85546875" style="2" customWidth="1"/>
    <col min="11530" max="11780" width="11.42578125" style="2"/>
    <col min="11781" max="11781" width="9.140625" style="2" bestFit="1" customWidth="1"/>
    <col min="11782" max="11782" width="8.5703125" style="2" bestFit="1" customWidth="1"/>
    <col min="11783" max="11783" width="6.140625" style="2" bestFit="1" customWidth="1"/>
    <col min="11784" max="11784" width="8.28515625" style="2" bestFit="1" customWidth="1"/>
    <col min="11785" max="11785" width="11.85546875" style="2" customWidth="1"/>
    <col min="11786" max="12036" width="11.42578125" style="2"/>
    <col min="12037" max="12037" width="9.140625" style="2" bestFit="1" customWidth="1"/>
    <col min="12038" max="12038" width="8.5703125" style="2" bestFit="1" customWidth="1"/>
    <col min="12039" max="12039" width="6.140625" style="2" bestFit="1" customWidth="1"/>
    <col min="12040" max="12040" width="8.28515625" style="2" bestFit="1" customWidth="1"/>
    <col min="12041" max="12041" width="11.85546875" style="2" customWidth="1"/>
    <col min="12042" max="12292" width="11.42578125" style="2"/>
    <col min="12293" max="12293" width="9.140625" style="2" bestFit="1" customWidth="1"/>
    <col min="12294" max="12294" width="8.5703125" style="2" bestFit="1" customWidth="1"/>
    <col min="12295" max="12295" width="6.140625" style="2" bestFit="1" customWidth="1"/>
    <col min="12296" max="12296" width="8.28515625" style="2" bestFit="1" customWidth="1"/>
    <col min="12297" max="12297" width="11.85546875" style="2" customWidth="1"/>
    <col min="12298" max="12548" width="11.42578125" style="2"/>
    <col min="12549" max="12549" width="9.140625" style="2" bestFit="1" customWidth="1"/>
    <col min="12550" max="12550" width="8.5703125" style="2" bestFit="1" customWidth="1"/>
    <col min="12551" max="12551" width="6.140625" style="2" bestFit="1" customWidth="1"/>
    <col min="12552" max="12552" width="8.28515625" style="2" bestFit="1" customWidth="1"/>
    <col min="12553" max="12553" width="11.85546875" style="2" customWidth="1"/>
    <col min="12554" max="12804" width="11.42578125" style="2"/>
    <col min="12805" max="12805" width="9.140625" style="2" bestFit="1" customWidth="1"/>
    <col min="12806" max="12806" width="8.5703125" style="2" bestFit="1" customWidth="1"/>
    <col min="12807" max="12807" width="6.140625" style="2" bestFit="1" customWidth="1"/>
    <col min="12808" max="12808" width="8.28515625" style="2" bestFit="1" customWidth="1"/>
    <col min="12809" max="12809" width="11.85546875" style="2" customWidth="1"/>
    <col min="12810" max="13060" width="11.42578125" style="2"/>
    <col min="13061" max="13061" width="9.140625" style="2" bestFit="1" customWidth="1"/>
    <col min="13062" max="13062" width="8.5703125" style="2" bestFit="1" customWidth="1"/>
    <col min="13063" max="13063" width="6.140625" style="2" bestFit="1" customWidth="1"/>
    <col min="13064" max="13064" width="8.28515625" style="2" bestFit="1" customWidth="1"/>
    <col min="13065" max="13065" width="11.85546875" style="2" customWidth="1"/>
    <col min="13066" max="13316" width="11.42578125" style="2"/>
    <col min="13317" max="13317" width="9.140625" style="2" bestFit="1" customWidth="1"/>
    <col min="13318" max="13318" width="8.5703125" style="2" bestFit="1" customWidth="1"/>
    <col min="13319" max="13319" width="6.140625" style="2" bestFit="1" customWidth="1"/>
    <col min="13320" max="13320" width="8.28515625" style="2" bestFit="1" customWidth="1"/>
    <col min="13321" max="13321" width="11.85546875" style="2" customWidth="1"/>
    <col min="13322" max="13572" width="11.42578125" style="2"/>
    <col min="13573" max="13573" width="9.140625" style="2" bestFit="1" customWidth="1"/>
    <col min="13574" max="13574" width="8.5703125" style="2" bestFit="1" customWidth="1"/>
    <col min="13575" max="13575" width="6.140625" style="2" bestFit="1" customWidth="1"/>
    <col min="13576" max="13576" width="8.28515625" style="2" bestFit="1" customWidth="1"/>
    <col min="13577" max="13577" width="11.85546875" style="2" customWidth="1"/>
    <col min="13578" max="13828" width="11.42578125" style="2"/>
    <col min="13829" max="13829" width="9.140625" style="2" bestFit="1" customWidth="1"/>
    <col min="13830" max="13830" width="8.5703125" style="2" bestFit="1" customWidth="1"/>
    <col min="13831" max="13831" width="6.140625" style="2" bestFit="1" customWidth="1"/>
    <col min="13832" max="13832" width="8.28515625" style="2" bestFit="1" customWidth="1"/>
    <col min="13833" max="13833" width="11.85546875" style="2" customWidth="1"/>
    <col min="13834" max="14084" width="11.42578125" style="2"/>
    <col min="14085" max="14085" width="9.140625" style="2" bestFit="1" customWidth="1"/>
    <col min="14086" max="14086" width="8.5703125" style="2" bestFit="1" customWidth="1"/>
    <col min="14087" max="14087" width="6.140625" style="2" bestFit="1" customWidth="1"/>
    <col min="14088" max="14088" width="8.28515625" style="2" bestFit="1" customWidth="1"/>
    <col min="14089" max="14089" width="11.85546875" style="2" customWidth="1"/>
    <col min="14090" max="14340" width="11.42578125" style="2"/>
    <col min="14341" max="14341" width="9.140625" style="2" bestFit="1" customWidth="1"/>
    <col min="14342" max="14342" width="8.5703125" style="2" bestFit="1" customWidth="1"/>
    <col min="14343" max="14343" width="6.140625" style="2" bestFit="1" customWidth="1"/>
    <col min="14344" max="14344" width="8.28515625" style="2" bestFit="1" customWidth="1"/>
    <col min="14345" max="14345" width="11.85546875" style="2" customWidth="1"/>
    <col min="14346" max="14596" width="11.42578125" style="2"/>
    <col min="14597" max="14597" width="9.140625" style="2" bestFit="1" customWidth="1"/>
    <col min="14598" max="14598" width="8.5703125" style="2" bestFit="1" customWidth="1"/>
    <col min="14599" max="14599" width="6.140625" style="2" bestFit="1" customWidth="1"/>
    <col min="14600" max="14600" width="8.28515625" style="2" bestFit="1" customWidth="1"/>
    <col min="14601" max="14601" width="11.85546875" style="2" customWidth="1"/>
    <col min="14602" max="14852" width="11.42578125" style="2"/>
    <col min="14853" max="14853" width="9.140625" style="2" bestFit="1" customWidth="1"/>
    <col min="14854" max="14854" width="8.5703125" style="2" bestFit="1" customWidth="1"/>
    <col min="14855" max="14855" width="6.140625" style="2" bestFit="1" customWidth="1"/>
    <col min="14856" max="14856" width="8.28515625" style="2" bestFit="1" customWidth="1"/>
    <col min="14857" max="14857" width="11.85546875" style="2" customWidth="1"/>
    <col min="14858" max="15108" width="11.42578125" style="2"/>
    <col min="15109" max="15109" width="9.140625" style="2" bestFit="1" customWidth="1"/>
    <col min="15110" max="15110" width="8.5703125" style="2" bestFit="1" customWidth="1"/>
    <col min="15111" max="15111" width="6.140625" style="2" bestFit="1" customWidth="1"/>
    <col min="15112" max="15112" width="8.28515625" style="2" bestFit="1" customWidth="1"/>
    <col min="15113" max="15113" width="11.85546875" style="2" customWidth="1"/>
    <col min="15114" max="15364" width="11.42578125" style="2"/>
    <col min="15365" max="15365" width="9.140625" style="2" bestFit="1" customWidth="1"/>
    <col min="15366" max="15366" width="8.5703125" style="2" bestFit="1" customWidth="1"/>
    <col min="15367" max="15367" width="6.140625" style="2" bestFit="1" customWidth="1"/>
    <col min="15368" max="15368" width="8.28515625" style="2" bestFit="1" customWidth="1"/>
    <col min="15369" max="15369" width="11.85546875" style="2" customWidth="1"/>
    <col min="15370" max="15620" width="11.42578125" style="2"/>
    <col min="15621" max="15621" width="9.140625" style="2" bestFit="1" customWidth="1"/>
    <col min="15622" max="15622" width="8.5703125" style="2" bestFit="1" customWidth="1"/>
    <col min="15623" max="15623" width="6.140625" style="2" bestFit="1" customWidth="1"/>
    <col min="15624" max="15624" width="8.28515625" style="2" bestFit="1" customWidth="1"/>
    <col min="15625" max="15625" width="11.85546875" style="2" customWidth="1"/>
    <col min="15626" max="15876" width="11.42578125" style="2"/>
    <col min="15877" max="15877" width="9.140625" style="2" bestFit="1" customWidth="1"/>
    <col min="15878" max="15878" width="8.5703125" style="2" bestFit="1" customWidth="1"/>
    <col min="15879" max="15879" width="6.140625" style="2" bestFit="1" customWidth="1"/>
    <col min="15880" max="15880" width="8.28515625" style="2" bestFit="1" customWidth="1"/>
    <col min="15881" max="15881" width="11.85546875" style="2" customWidth="1"/>
    <col min="15882" max="16132" width="11.42578125" style="2"/>
    <col min="16133" max="16133" width="9.140625" style="2" bestFit="1" customWidth="1"/>
    <col min="16134" max="16134" width="8.5703125" style="2" bestFit="1" customWidth="1"/>
    <col min="16135" max="16135" width="6.140625" style="2" bestFit="1" customWidth="1"/>
    <col min="16136" max="16136" width="8.28515625" style="2" bestFit="1" customWidth="1"/>
    <col min="16137" max="16137" width="11.85546875" style="2" customWidth="1"/>
    <col min="16138" max="16384" width="11.42578125" style="2"/>
  </cols>
  <sheetData>
    <row r="1" spans="1:1" x14ac:dyDescent="0.2">
      <c r="A1" s="1" t="s">
        <v>115</v>
      </c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</sheetData>
  <pageMargins left="0.75" right="0.75" top="1" bottom="1" header="0" footer="0"/>
  <pageSetup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0AF0-3A84-49F0-A775-B72643622776}">
  <dimension ref="A1"/>
  <sheetViews>
    <sheetView workbookViewId="0">
      <selection activeCell="A2" sqref="A2"/>
    </sheetView>
  </sheetViews>
  <sheetFormatPr baseColWidth="10" defaultColWidth="11.42578125" defaultRowHeight="12.75" x14ac:dyDescent="0.2"/>
  <cols>
    <col min="1" max="16384" width="11.42578125" style="2"/>
  </cols>
  <sheetData>
    <row r="1" spans="1:1" x14ac:dyDescent="0.2">
      <c r="A1" s="1" t="s">
        <v>116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275F-2539-4344-A339-0051ABE3F924}">
  <dimension ref="A1:A47"/>
  <sheetViews>
    <sheetView workbookViewId="0">
      <selection activeCell="A2" sqref="A2"/>
    </sheetView>
  </sheetViews>
  <sheetFormatPr baseColWidth="10" defaultRowHeight="12.75" x14ac:dyDescent="0.2"/>
  <cols>
    <col min="1" max="4" width="11.42578125" style="2"/>
    <col min="5" max="5" width="9.140625" style="2" bestFit="1" customWidth="1"/>
    <col min="6" max="6" width="8.5703125" style="2" bestFit="1" customWidth="1"/>
    <col min="7" max="7" width="6.140625" style="2" bestFit="1" customWidth="1"/>
    <col min="8" max="8" width="8.28515625" style="2" bestFit="1" customWidth="1"/>
    <col min="9" max="9" width="11.85546875" style="2" customWidth="1"/>
    <col min="10" max="260" width="11.42578125" style="2"/>
    <col min="261" max="261" width="9.140625" style="2" bestFit="1" customWidth="1"/>
    <col min="262" max="262" width="8.5703125" style="2" bestFit="1" customWidth="1"/>
    <col min="263" max="263" width="6.140625" style="2" bestFit="1" customWidth="1"/>
    <col min="264" max="264" width="8.28515625" style="2" bestFit="1" customWidth="1"/>
    <col min="265" max="265" width="11.85546875" style="2" customWidth="1"/>
    <col min="266" max="516" width="11.42578125" style="2"/>
    <col min="517" max="517" width="9.140625" style="2" bestFit="1" customWidth="1"/>
    <col min="518" max="518" width="8.5703125" style="2" bestFit="1" customWidth="1"/>
    <col min="519" max="519" width="6.140625" style="2" bestFit="1" customWidth="1"/>
    <col min="520" max="520" width="8.28515625" style="2" bestFit="1" customWidth="1"/>
    <col min="521" max="521" width="11.85546875" style="2" customWidth="1"/>
    <col min="522" max="772" width="11.42578125" style="2"/>
    <col min="773" max="773" width="9.140625" style="2" bestFit="1" customWidth="1"/>
    <col min="774" max="774" width="8.5703125" style="2" bestFit="1" customWidth="1"/>
    <col min="775" max="775" width="6.140625" style="2" bestFit="1" customWidth="1"/>
    <col min="776" max="776" width="8.28515625" style="2" bestFit="1" customWidth="1"/>
    <col min="777" max="777" width="11.85546875" style="2" customWidth="1"/>
    <col min="778" max="1028" width="11.42578125" style="2"/>
    <col min="1029" max="1029" width="9.140625" style="2" bestFit="1" customWidth="1"/>
    <col min="1030" max="1030" width="8.5703125" style="2" bestFit="1" customWidth="1"/>
    <col min="1031" max="1031" width="6.140625" style="2" bestFit="1" customWidth="1"/>
    <col min="1032" max="1032" width="8.28515625" style="2" bestFit="1" customWidth="1"/>
    <col min="1033" max="1033" width="11.85546875" style="2" customWidth="1"/>
    <col min="1034" max="1284" width="11.42578125" style="2"/>
    <col min="1285" max="1285" width="9.140625" style="2" bestFit="1" customWidth="1"/>
    <col min="1286" max="1286" width="8.5703125" style="2" bestFit="1" customWidth="1"/>
    <col min="1287" max="1287" width="6.140625" style="2" bestFit="1" customWidth="1"/>
    <col min="1288" max="1288" width="8.28515625" style="2" bestFit="1" customWidth="1"/>
    <col min="1289" max="1289" width="11.85546875" style="2" customWidth="1"/>
    <col min="1290" max="1540" width="11.42578125" style="2"/>
    <col min="1541" max="1541" width="9.140625" style="2" bestFit="1" customWidth="1"/>
    <col min="1542" max="1542" width="8.5703125" style="2" bestFit="1" customWidth="1"/>
    <col min="1543" max="1543" width="6.140625" style="2" bestFit="1" customWidth="1"/>
    <col min="1544" max="1544" width="8.28515625" style="2" bestFit="1" customWidth="1"/>
    <col min="1545" max="1545" width="11.85546875" style="2" customWidth="1"/>
    <col min="1546" max="1796" width="11.42578125" style="2"/>
    <col min="1797" max="1797" width="9.140625" style="2" bestFit="1" customWidth="1"/>
    <col min="1798" max="1798" width="8.5703125" style="2" bestFit="1" customWidth="1"/>
    <col min="1799" max="1799" width="6.140625" style="2" bestFit="1" customWidth="1"/>
    <col min="1800" max="1800" width="8.28515625" style="2" bestFit="1" customWidth="1"/>
    <col min="1801" max="1801" width="11.85546875" style="2" customWidth="1"/>
    <col min="1802" max="2052" width="11.42578125" style="2"/>
    <col min="2053" max="2053" width="9.140625" style="2" bestFit="1" customWidth="1"/>
    <col min="2054" max="2054" width="8.5703125" style="2" bestFit="1" customWidth="1"/>
    <col min="2055" max="2055" width="6.140625" style="2" bestFit="1" customWidth="1"/>
    <col min="2056" max="2056" width="8.28515625" style="2" bestFit="1" customWidth="1"/>
    <col min="2057" max="2057" width="11.85546875" style="2" customWidth="1"/>
    <col min="2058" max="2308" width="11.42578125" style="2"/>
    <col min="2309" max="2309" width="9.140625" style="2" bestFit="1" customWidth="1"/>
    <col min="2310" max="2310" width="8.5703125" style="2" bestFit="1" customWidth="1"/>
    <col min="2311" max="2311" width="6.140625" style="2" bestFit="1" customWidth="1"/>
    <col min="2312" max="2312" width="8.28515625" style="2" bestFit="1" customWidth="1"/>
    <col min="2313" max="2313" width="11.85546875" style="2" customWidth="1"/>
    <col min="2314" max="2564" width="11.42578125" style="2"/>
    <col min="2565" max="2565" width="9.140625" style="2" bestFit="1" customWidth="1"/>
    <col min="2566" max="2566" width="8.5703125" style="2" bestFit="1" customWidth="1"/>
    <col min="2567" max="2567" width="6.140625" style="2" bestFit="1" customWidth="1"/>
    <col min="2568" max="2568" width="8.28515625" style="2" bestFit="1" customWidth="1"/>
    <col min="2569" max="2569" width="11.85546875" style="2" customWidth="1"/>
    <col min="2570" max="2820" width="11.42578125" style="2"/>
    <col min="2821" max="2821" width="9.140625" style="2" bestFit="1" customWidth="1"/>
    <col min="2822" max="2822" width="8.5703125" style="2" bestFit="1" customWidth="1"/>
    <col min="2823" max="2823" width="6.140625" style="2" bestFit="1" customWidth="1"/>
    <col min="2824" max="2824" width="8.28515625" style="2" bestFit="1" customWidth="1"/>
    <col min="2825" max="2825" width="11.85546875" style="2" customWidth="1"/>
    <col min="2826" max="3076" width="11.42578125" style="2"/>
    <col min="3077" max="3077" width="9.140625" style="2" bestFit="1" customWidth="1"/>
    <col min="3078" max="3078" width="8.5703125" style="2" bestFit="1" customWidth="1"/>
    <col min="3079" max="3079" width="6.140625" style="2" bestFit="1" customWidth="1"/>
    <col min="3080" max="3080" width="8.28515625" style="2" bestFit="1" customWidth="1"/>
    <col min="3081" max="3081" width="11.85546875" style="2" customWidth="1"/>
    <col min="3082" max="3332" width="11.42578125" style="2"/>
    <col min="3333" max="3333" width="9.140625" style="2" bestFit="1" customWidth="1"/>
    <col min="3334" max="3334" width="8.5703125" style="2" bestFit="1" customWidth="1"/>
    <col min="3335" max="3335" width="6.140625" style="2" bestFit="1" customWidth="1"/>
    <col min="3336" max="3336" width="8.28515625" style="2" bestFit="1" customWidth="1"/>
    <col min="3337" max="3337" width="11.85546875" style="2" customWidth="1"/>
    <col min="3338" max="3588" width="11.42578125" style="2"/>
    <col min="3589" max="3589" width="9.140625" style="2" bestFit="1" customWidth="1"/>
    <col min="3590" max="3590" width="8.5703125" style="2" bestFit="1" customWidth="1"/>
    <col min="3591" max="3591" width="6.140625" style="2" bestFit="1" customWidth="1"/>
    <col min="3592" max="3592" width="8.28515625" style="2" bestFit="1" customWidth="1"/>
    <col min="3593" max="3593" width="11.85546875" style="2" customWidth="1"/>
    <col min="3594" max="3844" width="11.42578125" style="2"/>
    <col min="3845" max="3845" width="9.140625" style="2" bestFit="1" customWidth="1"/>
    <col min="3846" max="3846" width="8.5703125" style="2" bestFit="1" customWidth="1"/>
    <col min="3847" max="3847" width="6.140625" style="2" bestFit="1" customWidth="1"/>
    <col min="3848" max="3848" width="8.28515625" style="2" bestFit="1" customWidth="1"/>
    <col min="3849" max="3849" width="11.85546875" style="2" customWidth="1"/>
    <col min="3850" max="4100" width="11.42578125" style="2"/>
    <col min="4101" max="4101" width="9.140625" style="2" bestFit="1" customWidth="1"/>
    <col min="4102" max="4102" width="8.5703125" style="2" bestFit="1" customWidth="1"/>
    <col min="4103" max="4103" width="6.140625" style="2" bestFit="1" customWidth="1"/>
    <col min="4104" max="4104" width="8.28515625" style="2" bestFit="1" customWidth="1"/>
    <col min="4105" max="4105" width="11.85546875" style="2" customWidth="1"/>
    <col min="4106" max="4356" width="11.42578125" style="2"/>
    <col min="4357" max="4357" width="9.140625" style="2" bestFit="1" customWidth="1"/>
    <col min="4358" max="4358" width="8.5703125" style="2" bestFit="1" customWidth="1"/>
    <col min="4359" max="4359" width="6.140625" style="2" bestFit="1" customWidth="1"/>
    <col min="4360" max="4360" width="8.28515625" style="2" bestFit="1" customWidth="1"/>
    <col min="4361" max="4361" width="11.85546875" style="2" customWidth="1"/>
    <col min="4362" max="4612" width="11.42578125" style="2"/>
    <col min="4613" max="4613" width="9.140625" style="2" bestFit="1" customWidth="1"/>
    <col min="4614" max="4614" width="8.5703125" style="2" bestFit="1" customWidth="1"/>
    <col min="4615" max="4615" width="6.140625" style="2" bestFit="1" customWidth="1"/>
    <col min="4616" max="4616" width="8.28515625" style="2" bestFit="1" customWidth="1"/>
    <col min="4617" max="4617" width="11.85546875" style="2" customWidth="1"/>
    <col min="4618" max="4868" width="11.42578125" style="2"/>
    <col min="4869" max="4869" width="9.140625" style="2" bestFit="1" customWidth="1"/>
    <col min="4870" max="4870" width="8.5703125" style="2" bestFit="1" customWidth="1"/>
    <col min="4871" max="4871" width="6.140625" style="2" bestFit="1" customWidth="1"/>
    <col min="4872" max="4872" width="8.28515625" style="2" bestFit="1" customWidth="1"/>
    <col min="4873" max="4873" width="11.85546875" style="2" customWidth="1"/>
    <col min="4874" max="5124" width="11.42578125" style="2"/>
    <col min="5125" max="5125" width="9.140625" style="2" bestFit="1" customWidth="1"/>
    <col min="5126" max="5126" width="8.5703125" style="2" bestFit="1" customWidth="1"/>
    <col min="5127" max="5127" width="6.140625" style="2" bestFit="1" customWidth="1"/>
    <col min="5128" max="5128" width="8.28515625" style="2" bestFit="1" customWidth="1"/>
    <col min="5129" max="5129" width="11.85546875" style="2" customWidth="1"/>
    <col min="5130" max="5380" width="11.42578125" style="2"/>
    <col min="5381" max="5381" width="9.140625" style="2" bestFit="1" customWidth="1"/>
    <col min="5382" max="5382" width="8.5703125" style="2" bestFit="1" customWidth="1"/>
    <col min="5383" max="5383" width="6.140625" style="2" bestFit="1" customWidth="1"/>
    <col min="5384" max="5384" width="8.28515625" style="2" bestFit="1" customWidth="1"/>
    <col min="5385" max="5385" width="11.85546875" style="2" customWidth="1"/>
    <col min="5386" max="5636" width="11.42578125" style="2"/>
    <col min="5637" max="5637" width="9.140625" style="2" bestFit="1" customWidth="1"/>
    <col min="5638" max="5638" width="8.5703125" style="2" bestFit="1" customWidth="1"/>
    <col min="5639" max="5639" width="6.140625" style="2" bestFit="1" customWidth="1"/>
    <col min="5640" max="5640" width="8.28515625" style="2" bestFit="1" customWidth="1"/>
    <col min="5641" max="5641" width="11.85546875" style="2" customWidth="1"/>
    <col min="5642" max="5892" width="11.42578125" style="2"/>
    <col min="5893" max="5893" width="9.140625" style="2" bestFit="1" customWidth="1"/>
    <col min="5894" max="5894" width="8.5703125" style="2" bestFit="1" customWidth="1"/>
    <col min="5895" max="5895" width="6.140625" style="2" bestFit="1" customWidth="1"/>
    <col min="5896" max="5896" width="8.28515625" style="2" bestFit="1" customWidth="1"/>
    <col min="5897" max="5897" width="11.85546875" style="2" customWidth="1"/>
    <col min="5898" max="6148" width="11.42578125" style="2"/>
    <col min="6149" max="6149" width="9.140625" style="2" bestFit="1" customWidth="1"/>
    <col min="6150" max="6150" width="8.5703125" style="2" bestFit="1" customWidth="1"/>
    <col min="6151" max="6151" width="6.140625" style="2" bestFit="1" customWidth="1"/>
    <col min="6152" max="6152" width="8.28515625" style="2" bestFit="1" customWidth="1"/>
    <col min="6153" max="6153" width="11.85546875" style="2" customWidth="1"/>
    <col min="6154" max="6404" width="11.42578125" style="2"/>
    <col min="6405" max="6405" width="9.140625" style="2" bestFit="1" customWidth="1"/>
    <col min="6406" max="6406" width="8.5703125" style="2" bestFit="1" customWidth="1"/>
    <col min="6407" max="6407" width="6.140625" style="2" bestFit="1" customWidth="1"/>
    <col min="6408" max="6408" width="8.28515625" style="2" bestFit="1" customWidth="1"/>
    <col min="6409" max="6409" width="11.85546875" style="2" customWidth="1"/>
    <col min="6410" max="6660" width="11.42578125" style="2"/>
    <col min="6661" max="6661" width="9.140625" style="2" bestFit="1" customWidth="1"/>
    <col min="6662" max="6662" width="8.5703125" style="2" bestFit="1" customWidth="1"/>
    <col min="6663" max="6663" width="6.140625" style="2" bestFit="1" customWidth="1"/>
    <col min="6664" max="6664" width="8.28515625" style="2" bestFit="1" customWidth="1"/>
    <col min="6665" max="6665" width="11.85546875" style="2" customWidth="1"/>
    <col min="6666" max="6916" width="11.42578125" style="2"/>
    <col min="6917" max="6917" width="9.140625" style="2" bestFit="1" customWidth="1"/>
    <col min="6918" max="6918" width="8.5703125" style="2" bestFit="1" customWidth="1"/>
    <col min="6919" max="6919" width="6.140625" style="2" bestFit="1" customWidth="1"/>
    <col min="6920" max="6920" width="8.28515625" style="2" bestFit="1" customWidth="1"/>
    <col min="6921" max="6921" width="11.85546875" style="2" customWidth="1"/>
    <col min="6922" max="7172" width="11.42578125" style="2"/>
    <col min="7173" max="7173" width="9.140625" style="2" bestFit="1" customWidth="1"/>
    <col min="7174" max="7174" width="8.5703125" style="2" bestFit="1" customWidth="1"/>
    <col min="7175" max="7175" width="6.140625" style="2" bestFit="1" customWidth="1"/>
    <col min="7176" max="7176" width="8.28515625" style="2" bestFit="1" customWidth="1"/>
    <col min="7177" max="7177" width="11.85546875" style="2" customWidth="1"/>
    <col min="7178" max="7428" width="11.42578125" style="2"/>
    <col min="7429" max="7429" width="9.140625" style="2" bestFit="1" customWidth="1"/>
    <col min="7430" max="7430" width="8.5703125" style="2" bestFit="1" customWidth="1"/>
    <col min="7431" max="7431" width="6.140625" style="2" bestFit="1" customWidth="1"/>
    <col min="7432" max="7432" width="8.28515625" style="2" bestFit="1" customWidth="1"/>
    <col min="7433" max="7433" width="11.85546875" style="2" customWidth="1"/>
    <col min="7434" max="7684" width="11.42578125" style="2"/>
    <col min="7685" max="7685" width="9.140625" style="2" bestFit="1" customWidth="1"/>
    <col min="7686" max="7686" width="8.5703125" style="2" bestFit="1" customWidth="1"/>
    <col min="7687" max="7687" width="6.140625" style="2" bestFit="1" customWidth="1"/>
    <col min="7688" max="7688" width="8.28515625" style="2" bestFit="1" customWidth="1"/>
    <col min="7689" max="7689" width="11.85546875" style="2" customWidth="1"/>
    <col min="7690" max="7940" width="11.42578125" style="2"/>
    <col min="7941" max="7941" width="9.140625" style="2" bestFit="1" customWidth="1"/>
    <col min="7942" max="7942" width="8.5703125" style="2" bestFit="1" customWidth="1"/>
    <col min="7943" max="7943" width="6.140625" style="2" bestFit="1" customWidth="1"/>
    <col min="7944" max="7944" width="8.28515625" style="2" bestFit="1" customWidth="1"/>
    <col min="7945" max="7945" width="11.85546875" style="2" customWidth="1"/>
    <col min="7946" max="8196" width="11.42578125" style="2"/>
    <col min="8197" max="8197" width="9.140625" style="2" bestFit="1" customWidth="1"/>
    <col min="8198" max="8198" width="8.5703125" style="2" bestFit="1" customWidth="1"/>
    <col min="8199" max="8199" width="6.140625" style="2" bestFit="1" customWidth="1"/>
    <col min="8200" max="8200" width="8.28515625" style="2" bestFit="1" customWidth="1"/>
    <col min="8201" max="8201" width="11.85546875" style="2" customWidth="1"/>
    <col min="8202" max="8452" width="11.42578125" style="2"/>
    <col min="8453" max="8453" width="9.140625" style="2" bestFit="1" customWidth="1"/>
    <col min="8454" max="8454" width="8.5703125" style="2" bestFit="1" customWidth="1"/>
    <col min="8455" max="8455" width="6.140625" style="2" bestFit="1" customWidth="1"/>
    <col min="8456" max="8456" width="8.28515625" style="2" bestFit="1" customWidth="1"/>
    <col min="8457" max="8457" width="11.85546875" style="2" customWidth="1"/>
    <col min="8458" max="8708" width="11.42578125" style="2"/>
    <col min="8709" max="8709" width="9.140625" style="2" bestFit="1" customWidth="1"/>
    <col min="8710" max="8710" width="8.5703125" style="2" bestFit="1" customWidth="1"/>
    <col min="8711" max="8711" width="6.140625" style="2" bestFit="1" customWidth="1"/>
    <col min="8712" max="8712" width="8.28515625" style="2" bestFit="1" customWidth="1"/>
    <col min="8713" max="8713" width="11.85546875" style="2" customWidth="1"/>
    <col min="8714" max="8964" width="11.42578125" style="2"/>
    <col min="8965" max="8965" width="9.140625" style="2" bestFit="1" customWidth="1"/>
    <col min="8966" max="8966" width="8.5703125" style="2" bestFit="1" customWidth="1"/>
    <col min="8967" max="8967" width="6.140625" style="2" bestFit="1" customWidth="1"/>
    <col min="8968" max="8968" width="8.28515625" style="2" bestFit="1" customWidth="1"/>
    <col min="8969" max="8969" width="11.85546875" style="2" customWidth="1"/>
    <col min="8970" max="9220" width="11.42578125" style="2"/>
    <col min="9221" max="9221" width="9.140625" style="2" bestFit="1" customWidth="1"/>
    <col min="9222" max="9222" width="8.5703125" style="2" bestFit="1" customWidth="1"/>
    <col min="9223" max="9223" width="6.140625" style="2" bestFit="1" customWidth="1"/>
    <col min="9224" max="9224" width="8.28515625" style="2" bestFit="1" customWidth="1"/>
    <col min="9225" max="9225" width="11.85546875" style="2" customWidth="1"/>
    <col min="9226" max="9476" width="11.42578125" style="2"/>
    <col min="9477" max="9477" width="9.140625" style="2" bestFit="1" customWidth="1"/>
    <col min="9478" max="9478" width="8.5703125" style="2" bestFit="1" customWidth="1"/>
    <col min="9479" max="9479" width="6.140625" style="2" bestFit="1" customWidth="1"/>
    <col min="9480" max="9480" width="8.28515625" style="2" bestFit="1" customWidth="1"/>
    <col min="9481" max="9481" width="11.85546875" style="2" customWidth="1"/>
    <col min="9482" max="9732" width="11.42578125" style="2"/>
    <col min="9733" max="9733" width="9.140625" style="2" bestFit="1" customWidth="1"/>
    <col min="9734" max="9734" width="8.5703125" style="2" bestFit="1" customWidth="1"/>
    <col min="9735" max="9735" width="6.140625" style="2" bestFit="1" customWidth="1"/>
    <col min="9736" max="9736" width="8.28515625" style="2" bestFit="1" customWidth="1"/>
    <col min="9737" max="9737" width="11.85546875" style="2" customWidth="1"/>
    <col min="9738" max="9988" width="11.42578125" style="2"/>
    <col min="9989" max="9989" width="9.140625" style="2" bestFit="1" customWidth="1"/>
    <col min="9990" max="9990" width="8.5703125" style="2" bestFit="1" customWidth="1"/>
    <col min="9991" max="9991" width="6.140625" style="2" bestFit="1" customWidth="1"/>
    <col min="9992" max="9992" width="8.28515625" style="2" bestFit="1" customWidth="1"/>
    <col min="9993" max="9993" width="11.85546875" style="2" customWidth="1"/>
    <col min="9994" max="10244" width="11.42578125" style="2"/>
    <col min="10245" max="10245" width="9.140625" style="2" bestFit="1" customWidth="1"/>
    <col min="10246" max="10246" width="8.5703125" style="2" bestFit="1" customWidth="1"/>
    <col min="10247" max="10247" width="6.140625" style="2" bestFit="1" customWidth="1"/>
    <col min="10248" max="10248" width="8.28515625" style="2" bestFit="1" customWidth="1"/>
    <col min="10249" max="10249" width="11.85546875" style="2" customWidth="1"/>
    <col min="10250" max="10500" width="11.42578125" style="2"/>
    <col min="10501" max="10501" width="9.140625" style="2" bestFit="1" customWidth="1"/>
    <col min="10502" max="10502" width="8.5703125" style="2" bestFit="1" customWidth="1"/>
    <col min="10503" max="10503" width="6.140625" style="2" bestFit="1" customWidth="1"/>
    <col min="10504" max="10504" width="8.28515625" style="2" bestFit="1" customWidth="1"/>
    <col min="10505" max="10505" width="11.85546875" style="2" customWidth="1"/>
    <col min="10506" max="10756" width="11.42578125" style="2"/>
    <col min="10757" max="10757" width="9.140625" style="2" bestFit="1" customWidth="1"/>
    <col min="10758" max="10758" width="8.5703125" style="2" bestFit="1" customWidth="1"/>
    <col min="10759" max="10759" width="6.140625" style="2" bestFit="1" customWidth="1"/>
    <col min="10760" max="10760" width="8.28515625" style="2" bestFit="1" customWidth="1"/>
    <col min="10761" max="10761" width="11.85546875" style="2" customWidth="1"/>
    <col min="10762" max="11012" width="11.42578125" style="2"/>
    <col min="11013" max="11013" width="9.140625" style="2" bestFit="1" customWidth="1"/>
    <col min="11014" max="11014" width="8.5703125" style="2" bestFit="1" customWidth="1"/>
    <col min="11015" max="11015" width="6.140625" style="2" bestFit="1" customWidth="1"/>
    <col min="11016" max="11016" width="8.28515625" style="2" bestFit="1" customWidth="1"/>
    <col min="11017" max="11017" width="11.85546875" style="2" customWidth="1"/>
    <col min="11018" max="11268" width="11.42578125" style="2"/>
    <col min="11269" max="11269" width="9.140625" style="2" bestFit="1" customWidth="1"/>
    <col min="11270" max="11270" width="8.5703125" style="2" bestFit="1" customWidth="1"/>
    <col min="11271" max="11271" width="6.140625" style="2" bestFit="1" customWidth="1"/>
    <col min="11272" max="11272" width="8.28515625" style="2" bestFit="1" customWidth="1"/>
    <col min="11273" max="11273" width="11.85546875" style="2" customWidth="1"/>
    <col min="11274" max="11524" width="11.42578125" style="2"/>
    <col min="11525" max="11525" width="9.140625" style="2" bestFit="1" customWidth="1"/>
    <col min="11526" max="11526" width="8.5703125" style="2" bestFit="1" customWidth="1"/>
    <col min="11527" max="11527" width="6.140625" style="2" bestFit="1" customWidth="1"/>
    <col min="11528" max="11528" width="8.28515625" style="2" bestFit="1" customWidth="1"/>
    <col min="11529" max="11529" width="11.85546875" style="2" customWidth="1"/>
    <col min="11530" max="11780" width="11.42578125" style="2"/>
    <col min="11781" max="11781" width="9.140625" style="2" bestFit="1" customWidth="1"/>
    <col min="11782" max="11782" width="8.5703125" style="2" bestFit="1" customWidth="1"/>
    <col min="11783" max="11783" width="6.140625" style="2" bestFit="1" customWidth="1"/>
    <col min="11784" max="11784" width="8.28515625" style="2" bestFit="1" customWidth="1"/>
    <col min="11785" max="11785" width="11.85546875" style="2" customWidth="1"/>
    <col min="11786" max="12036" width="11.42578125" style="2"/>
    <col min="12037" max="12037" width="9.140625" style="2" bestFit="1" customWidth="1"/>
    <col min="12038" max="12038" width="8.5703125" style="2" bestFit="1" customWidth="1"/>
    <col min="12039" max="12039" width="6.140625" style="2" bestFit="1" customWidth="1"/>
    <col min="12040" max="12040" width="8.28515625" style="2" bestFit="1" customWidth="1"/>
    <col min="12041" max="12041" width="11.85546875" style="2" customWidth="1"/>
    <col min="12042" max="12292" width="11.42578125" style="2"/>
    <col min="12293" max="12293" width="9.140625" style="2" bestFit="1" customWidth="1"/>
    <col min="12294" max="12294" width="8.5703125" style="2" bestFit="1" customWidth="1"/>
    <col min="12295" max="12295" width="6.140625" style="2" bestFit="1" customWidth="1"/>
    <col min="12296" max="12296" width="8.28515625" style="2" bestFit="1" customWidth="1"/>
    <col min="12297" max="12297" width="11.85546875" style="2" customWidth="1"/>
    <col min="12298" max="12548" width="11.42578125" style="2"/>
    <col min="12549" max="12549" width="9.140625" style="2" bestFit="1" customWidth="1"/>
    <col min="12550" max="12550" width="8.5703125" style="2" bestFit="1" customWidth="1"/>
    <col min="12551" max="12551" width="6.140625" style="2" bestFit="1" customWidth="1"/>
    <col min="12552" max="12552" width="8.28515625" style="2" bestFit="1" customWidth="1"/>
    <col min="12553" max="12553" width="11.85546875" style="2" customWidth="1"/>
    <col min="12554" max="12804" width="11.42578125" style="2"/>
    <col min="12805" max="12805" width="9.140625" style="2" bestFit="1" customWidth="1"/>
    <col min="12806" max="12806" width="8.5703125" style="2" bestFit="1" customWidth="1"/>
    <col min="12807" max="12807" width="6.140625" style="2" bestFit="1" customWidth="1"/>
    <col min="12808" max="12808" width="8.28515625" style="2" bestFit="1" customWidth="1"/>
    <col min="12809" max="12809" width="11.85546875" style="2" customWidth="1"/>
    <col min="12810" max="13060" width="11.42578125" style="2"/>
    <col min="13061" max="13061" width="9.140625" style="2" bestFit="1" customWidth="1"/>
    <col min="13062" max="13062" width="8.5703125" style="2" bestFit="1" customWidth="1"/>
    <col min="13063" max="13063" width="6.140625" style="2" bestFit="1" customWidth="1"/>
    <col min="13064" max="13064" width="8.28515625" style="2" bestFit="1" customWidth="1"/>
    <col min="13065" max="13065" width="11.85546875" style="2" customWidth="1"/>
    <col min="13066" max="13316" width="11.42578125" style="2"/>
    <col min="13317" max="13317" width="9.140625" style="2" bestFit="1" customWidth="1"/>
    <col min="13318" max="13318" width="8.5703125" style="2" bestFit="1" customWidth="1"/>
    <col min="13319" max="13319" width="6.140625" style="2" bestFit="1" customWidth="1"/>
    <col min="13320" max="13320" width="8.28515625" style="2" bestFit="1" customWidth="1"/>
    <col min="13321" max="13321" width="11.85546875" style="2" customWidth="1"/>
    <col min="13322" max="13572" width="11.42578125" style="2"/>
    <col min="13573" max="13573" width="9.140625" style="2" bestFit="1" customWidth="1"/>
    <col min="13574" max="13574" width="8.5703125" style="2" bestFit="1" customWidth="1"/>
    <col min="13575" max="13575" width="6.140625" style="2" bestFit="1" customWidth="1"/>
    <col min="13576" max="13576" width="8.28515625" style="2" bestFit="1" customWidth="1"/>
    <col min="13577" max="13577" width="11.85546875" style="2" customWidth="1"/>
    <col min="13578" max="13828" width="11.42578125" style="2"/>
    <col min="13829" max="13829" width="9.140625" style="2" bestFit="1" customWidth="1"/>
    <col min="13830" max="13830" width="8.5703125" style="2" bestFit="1" customWidth="1"/>
    <col min="13831" max="13831" width="6.140625" style="2" bestFit="1" customWidth="1"/>
    <col min="13832" max="13832" width="8.28515625" style="2" bestFit="1" customWidth="1"/>
    <col min="13833" max="13833" width="11.85546875" style="2" customWidth="1"/>
    <col min="13834" max="14084" width="11.42578125" style="2"/>
    <col min="14085" max="14085" width="9.140625" style="2" bestFit="1" customWidth="1"/>
    <col min="14086" max="14086" width="8.5703125" style="2" bestFit="1" customWidth="1"/>
    <col min="14087" max="14087" width="6.140625" style="2" bestFit="1" customWidth="1"/>
    <col min="14088" max="14088" width="8.28515625" style="2" bestFit="1" customWidth="1"/>
    <col min="14089" max="14089" width="11.85546875" style="2" customWidth="1"/>
    <col min="14090" max="14340" width="11.42578125" style="2"/>
    <col min="14341" max="14341" width="9.140625" style="2" bestFit="1" customWidth="1"/>
    <col min="14342" max="14342" width="8.5703125" style="2" bestFit="1" customWidth="1"/>
    <col min="14343" max="14343" width="6.140625" style="2" bestFit="1" customWidth="1"/>
    <col min="14344" max="14344" width="8.28515625" style="2" bestFit="1" customWidth="1"/>
    <col min="14345" max="14345" width="11.85546875" style="2" customWidth="1"/>
    <col min="14346" max="14596" width="11.42578125" style="2"/>
    <col min="14597" max="14597" width="9.140625" style="2" bestFit="1" customWidth="1"/>
    <col min="14598" max="14598" width="8.5703125" style="2" bestFit="1" customWidth="1"/>
    <col min="14599" max="14599" width="6.140625" style="2" bestFit="1" customWidth="1"/>
    <col min="14600" max="14600" width="8.28515625" style="2" bestFit="1" customWidth="1"/>
    <col min="14601" max="14601" width="11.85546875" style="2" customWidth="1"/>
    <col min="14602" max="14852" width="11.42578125" style="2"/>
    <col min="14853" max="14853" width="9.140625" style="2" bestFit="1" customWidth="1"/>
    <col min="14854" max="14854" width="8.5703125" style="2" bestFit="1" customWidth="1"/>
    <col min="14855" max="14855" width="6.140625" style="2" bestFit="1" customWidth="1"/>
    <col min="14856" max="14856" width="8.28515625" style="2" bestFit="1" customWidth="1"/>
    <col min="14857" max="14857" width="11.85546875" style="2" customWidth="1"/>
    <col min="14858" max="15108" width="11.42578125" style="2"/>
    <col min="15109" max="15109" width="9.140625" style="2" bestFit="1" customWidth="1"/>
    <col min="15110" max="15110" width="8.5703125" style="2" bestFit="1" customWidth="1"/>
    <col min="15111" max="15111" width="6.140625" style="2" bestFit="1" customWidth="1"/>
    <col min="15112" max="15112" width="8.28515625" style="2" bestFit="1" customWidth="1"/>
    <col min="15113" max="15113" width="11.85546875" style="2" customWidth="1"/>
    <col min="15114" max="15364" width="11.42578125" style="2"/>
    <col min="15365" max="15365" width="9.140625" style="2" bestFit="1" customWidth="1"/>
    <col min="15366" max="15366" width="8.5703125" style="2" bestFit="1" customWidth="1"/>
    <col min="15367" max="15367" width="6.140625" style="2" bestFit="1" customWidth="1"/>
    <col min="15368" max="15368" width="8.28515625" style="2" bestFit="1" customWidth="1"/>
    <col min="15369" max="15369" width="11.85546875" style="2" customWidth="1"/>
    <col min="15370" max="15620" width="11.42578125" style="2"/>
    <col min="15621" max="15621" width="9.140625" style="2" bestFit="1" customWidth="1"/>
    <col min="15622" max="15622" width="8.5703125" style="2" bestFit="1" customWidth="1"/>
    <col min="15623" max="15623" width="6.140625" style="2" bestFit="1" customWidth="1"/>
    <col min="15624" max="15624" width="8.28515625" style="2" bestFit="1" customWidth="1"/>
    <col min="15625" max="15625" width="11.85546875" style="2" customWidth="1"/>
    <col min="15626" max="15876" width="11.42578125" style="2"/>
    <col min="15877" max="15877" width="9.140625" style="2" bestFit="1" customWidth="1"/>
    <col min="15878" max="15878" width="8.5703125" style="2" bestFit="1" customWidth="1"/>
    <col min="15879" max="15879" width="6.140625" style="2" bestFit="1" customWidth="1"/>
    <col min="15880" max="15880" width="8.28515625" style="2" bestFit="1" customWidth="1"/>
    <col min="15881" max="15881" width="11.85546875" style="2" customWidth="1"/>
    <col min="15882" max="16132" width="11.42578125" style="2"/>
    <col min="16133" max="16133" width="9.140625" style="2" bestFit="1" customWidth="1"/>
    <col min="16134" max="16134" width="8.5703125" style="2" bestFit="1" customWidth="1"/>
    <col min="16135" max="16135" width="6.140625" style="2" bestFit="1" customWidth="1"/>
    <col min="16136" max="16136" width="8.28515625" style="2" bestFit="1" customWidth="1"/>
    <col min="16137" max="16137" width="11.85546875" style="2" customWidth="1"/>
    <col min="16138" max="16384" width="11.42578125" style="2"/>
  </cols>
  <sheetData>
    <row r="1" spans="1:1" x14ac:dyDescent="0.2">
      <c r="A1" s="1" t="s">
        <v>117</v>
      </c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</sheetData>
  <pageMargins left="0.75" right="0.75" top="1" bottom="1" header="0" footer="0"/>
  <pageSetup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0DAC-C039-432F-9DA6-F5C37AD74F4F}">
  <dimension ref="A1:F31"/>
  <sheetViews>
    <sheetView workbookViewId="0">
      <selection activeCell="A2" sqref="A2"/>
    </sheetView>
  </sheetViews>
  <sheetFormatPr baseColWidth="10" defaultColWidth="11.42578125" defaultRowHeight="12.75" x14ac:dyDescent="0.2"/>
  <cols>
    <col min="1" max="16384" width="11.42578125" style="2"/>
  </cols>
  <sheetData>
    <row r="1" spans="1:6" x14ac:dyDescent="0.2">
      <c r="A1" s="1" t="s">
        <v>157</v>
      </c>
    </row>
    <row r="2" spans="1:6" x14ac:dyDescent="0.2">
      <c r="A2" s="2" t="s">
        <v>118</v>
      </c>
    </row>
    <row r="3" spans="1:6" x14ac:dyDescent="0.2">
      <c r="A3" s="2" t="s">
        <v>119</v>
      </c>
    </row>
    <row r="4" spans="1:6" x14ac:dyDescent="0.2">
      <c r="A4" s="2" t="s">
        <v>120</v>
      </c>
    </row>
    <row r="5" spans="1:6" x14ac:dyDescent="0.2">
      <c r="A5" s="2" t="s">
        <v>121</v>
      </c>
      <c r="D5" s="73">
        <v>12</v>
      </c>
    </row>
    <row r="6" spans="1:6" x14ac:dyDescent="0.2">
      <c r="A6" s="2" t="s">
        <v>122</v>
      </c>
      <c r="D6" s="73">
        <v>30</v>
      </c>
    </row>
    <row r="7" spans="1:6" x14ac:dyDescent="0.2">
      <c r="A7" s="2" t="s">
        <v>123</v>
      </c>
      <c r="D7" s="73">
        <v>10</v>
      </c>
    </row>
    <row r="8" spans="1:6" x14ac:dyDescent="0.2">
      <c r="A8" s="2" t="s">
        <v>124</v>
      </c>
      <c r="D8" s="73">
        <v>20</v>
      </c>
    </row>
    <row r="9" spans="1:6" x14ac:dyDescent="0.2">
      <c r="A9" s="2" t="s">
        <v>125</v>
      </c>
      <c r="D9" s="73">
        <f>SUM(D5:D8)</f>
        <v>72</v>
      </c>
    </row>
    <row r="11" spans="1:6" x14ac:dyDescent="0.2">
      <c r="A11" s="2" t="s">
        <v>126</v>
      </c>
    </row>
    <row r="12" spans="1:6" x14ac:dyDescent="0.2">
      <c r="A12" s="2" t="s">
        <v>127</v>
      </c>
    </row>
    <row r="13" spans="1:6" x14ac:dyDescent="0.2">
      <c r="A13" s="2" t="s">
        <v>128</v>
      </c>
      <c r="D13" s="62"/>
      <c r="E13" s="62" t="s">
        <v>129</v>
      </c>
      <c r="F13" s="62" t="s">
        <v>130</v>
      </c>
    </row>
    <row r="14" spans="1:6" x14ac:dyDescent="0.2">
      <c r="A14" s="2" t="s">
        <v>131</v>
      </c>
      <c r="D14" s="62" t="s">
        <v>6</v>
      </c>
      <c r="E14" s="74">
        <v>5000</v>
      </c>
      <c r="F14" s="74">
        <v>7300</v>
      </c>
    </row>
    <row r="15" spans="1:6" x14ac:dyDescent="0.2">
      <c r="D15" s="62" t="s">
        <v>132</v>
      </c>
      <c r="E15" s="75">
        <v>60000</v>
      </c>
      <c r="F15" s="75">
        <v>87600</v>
      </c>
    </row>
    <row r="16" spans="1:6" x14ac:dyDescent="0.2">
      <c r="A16" s="2" t="s">
        <v>133</v>
      </c>
      <c r="D16" s="62" t="s">
        <v>6</v>
      </c>
      <c r="E16" s="74">
        <v>4000</v>
      </c>
      <c r="F16" s="74">
        <v>3800</v>
      </c>
    </row>
    <row r="17" spans="1:6" x14ac:dyDescent="0.2">
      <c r="D17" s="62" t="s">
        <v>132</v>
      </c>
      <c r="E17" s="75">
        <v>288000</v>
      </c>
      <c r="F17" s="75">
        <v>237600</v>
      </c>
    </row>
    <row r="19" spans="1:6" x14ac:dyDescent="0.2">
      <c r="A19" s="2" t="s">
        <v>134</v>
      </c>
    </row>
    <row r="20" spans="1:6" x14ac:dyDescent="0.2">
      <c r="A20" s="2" t="s">
        <v>135</v>
      </c>
    </row>
    <row r="21" spans="1:6" x14ac:dyDescent="0.2">
      <c r="A21" s="2" t="s">
        <v>136</v>
      </c>
    </row>
    <row r="22" spans="1:6" x14ac:dyDescent="0.2">
      <c r="A22" s="2" t="s">
        <v>137</v>
      </c>
    </row>
    <row r="23" spans="1:6" x14ac:dyDescent="0.2">
      <c r="A23" s="2" t="s">
        <v>138</v>
      </c>
    </row>
    <row r="24" spans="1:6" x14ac:dyDescent="0.2">
      <c r="A24" s="2" t="s">
        <v>139</v>
      </c>
    </row>
    <row r="25" spans="1:6" x14ac:dyDescent="0.2">
      <c r="A25" s="2" t="s">
        <v>140</v>
      </c>
    </row>
    <row r="26" spans="1:6" x14ac:dyDescent="0.2">
      <c r="A26" s="2" t="s">
        <v>141</v>
      </c>
    </row>
    <row r="27" spans="1:6" x14ac:dyDescent="0.2">
      <c r="A27" s="2" t="s">
        <v>142</v>
      </c>
    </row>
    <row r="28" spans="1:6" x14ac:dyDescent="0.2">
      <c r="A28" s="2" t="s">
        <v>143</v>
      </c>
    </row>
    <row r="29" spans="1:6" x14ac:dyDescent="0.2">
      <c r="A29" s="2" t="s">
        <v>144</v>
      </c>
    </row>
    <row r="30" spans="1:6" x14ac:dyDescent="0.2">
      <c r="A30" s="2" t="s">
        <v>145</v>
      </c>
    </row>
    <row r="31" spans="1:6" x14ac:dyDescent="0.2">
      <c r="A31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S4-202</cp:lastModifiedBy>
  <dcterms:created xsi:type="dcterms:W3CDTF">2020-06-08T14:09:21Z</dcterms:created>
  <dcterms:modified xsi:type="dcterms:W3CDTF">2025-11-04T01:05:25Z</dcterms:modified>
</cp:coreProperties>
</file>