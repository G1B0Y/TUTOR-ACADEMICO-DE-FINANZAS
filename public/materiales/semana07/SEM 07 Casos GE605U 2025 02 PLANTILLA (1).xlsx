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FIIS UNI 2025 02\GE605U 2025 02\Semana 07\"/>
    </mc:Choice>
  </mc:AlternateContent>
  <xr:revisionPtr revIDLastSave="0" documentId="13_ncr:1_{8C1FED9A-277E-436D-8527-99711E72DD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01" sheetId="31" r:id="rId1"/>
    <sheet name="P02" sheetId="32" r:id="rId2"/>
    <sheet name="P03" sheetId="33" r:id="rId3"/>
    <sheet name="P04" sheetId="34" r:id="rId4"/>
    <sheet name="P05" sheetId="35" r:id="rId5"/>
    <sheet name="P06" sheetId="9" r:id="rId6"/>
    <sheet name="P07" sheetId="27" r:id="rId7"/>
    <sheet name="P08" sheetId="28" r:id="rId8"/>
    <sheet name="P09" sheetId="29" r:id="rId9"/>
    <sheet name="P10" sheetId="30" r:id="rId10"/>
  </sheets>
  <definedNames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32" l="1"/>
  <c r="F42" i="32"/>
  <c r="F41" i="32"/>
  <c r="F40" i="32"/>
  <c r="F39" i="32"/>
  <c r="F38" i="32"/>
  <c r="F37" i="32"/>
  <c r="F36" i="32"/>
</calcChain>
</file>

<file path=xl/sharedStrings.xml><?xml version="1.0" encoding="utf-8"?>
<sst xmlns="http://schemas.openxmlformats.org/spreadsheetml/2006/main" count="32" uniqueCount="30">
  <si>
    <t>PREGUNTA 01:</t>
  </si>
  <si>
    <t>PREGUNTA 02:</t>
  </si>
  <si>
    <t>PREGUNTA 03:</t>
  </si>
  <si>
    <t>PREGUNTA 04:</t>
  </si>
  <si>
    <t>PREGUNTA 05:</t>
  </si>
  <si>
    <t>PREGUNTA 06:</t>
  </si>
  <si>
    <t>PREGUNTA 07:</t>
  </si>
  <si>
    <t>PREGUNTA 08:</t>
  </si>
  <si>
    <t>PREGUNTA 09.</t>
  </si>
  <si>
    <t>PREGUNTA 10:</t>
  </si>
  <si>
    <t>Actividad</t>
  </si>
  <si>
    <t>Costo S/</t>
  </si>
  <si>
    <t>Total</t>
  </si>
  <si>
    <t>Inductor</t>
  </si>
  <si>
    <t>MATRIZ DE CONFIGURACION Y VALORES DE CRITERIO DE REPARTO</t>
  </si>
  <si>
    <t>Poseer edificio</t>
  </si>
  <si>
    <t>Poseer equipo</t>
  </si>
  <si>
    <t>Ordenar materiales</t>
  </si>
  <si>
    <t>Controlar calidad</t>
  </si>
  <si>
    <t>Realizar mant</t>
  </si>
  <si>
    <t>Preparar y elabor p</t>
  </si>
  <si>
    <t>Supervisar operario</t>
  </si>
  <si>
    <t>Amateur</t>
  </si>
  <si>
    <t>Compete</t>
  </si>
  <si>
    <t>Pie2</t>
  </si>
  <si>
    <t>Hr maq</t>
  </si>
  <si>
    <t># orde</t>
  </si>
  <si>
    <t># insp</t>
  </si>
  <si>
    <t># prepar</t>
  </si>
  <si>
    <t>Cto 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</si>
</sst>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\ &quot;Pta&quot;;[Red]\-#,##0\ &quot;Pta&quot;"/>
    <numFmt numFmtId="165" formatCode="#,##0.00_ ;[Red]\-#,##0.00\ "/>
    <numFmt numFmtId="166" formatCode="#,##0_ ;[Red]\-#,##0\ "/>
    <numFmt numFmtId="167" formatCode="0.0%"/>
  </numFmts>
  <fonts count="12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164" fontId="6" fillId="0" borderId="0" applyFont="0" applyFill="0" applyBorder="0" applyAlignment="0" applyProtection="0"/>
    <xf numFmtId="0" fontId="5" fillId="0" borderId="0"/>
    <xf numFmtId="0" fontId="6" fillId="0" borderId="0"/>
    <xf numFmtId="0" fontId="8" fillId="0" borderId="0"/>
    <xf numFmtId="0" fontId="5" fillId="0" borderId="0"/>
    <xf numFmtId="0" fontId="6" fillId="0" borderId="0"/>
    <xf numFmtId="0" fontId="9" fillId="0" borderId="0"/>
    <xf numFmtId="0" fontId="6" fillId="0" borderId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</cellStyleXfs>
  <cellXfs count="27">
    <xf numFmtId="0" fontId="0" fillId="0" borderId="0" xfId="0"/>
    <xf numFmtId="0" fontId="0" fillId="2" borderId="0" xfId="0" applyFill="1"/>
    <xf numFmtId="0" fontId="10" fillId="2" borderId="0" xfId="0" applyFont="1" applyFill="1"/>
    <xf numFmtId="0" fontId="11" fillId="2" borderId="0" xfId="12" applyFont="1" applyFill="1"/>
    <xf numFmtId="0" fontId="4" fillId="2" borderId="0" xfId="12" applyFill="1"/>
    <xf numFmtId="0" fontId="3" fillId="2" borderId="0" xfId="12" applyFont="1" applyFill="1"/>
    <xf numFmtId="0" fontId="3" fillId="2" borderId="0" xfId="12" applyFont="1" applyFill="1" applyAlignment="1">
      <alignment horizontal="center"/>
    </xf>
    <xf numFmtId="0" fontId="4" fillId="2" borderId="0" xfId="12" applyFill="1" applyAlignment="1">
      <alignment horizontal="center"/>
    </xf>
    <xf numFmtId="165" fontId="4" fillId="2" borderId="0" xfId="12" applyNumberFormat="1" applyFill="1" applyAlignment="1">
      <alignment horizontal="center"/>
    </xf>
    <xf numFmtId="165" fontId="4" fillId="2" borderId="0" xfId="12" applyNumberFormat="1" applyFill="1"/>
    <xf numFmtId="166" fontId="4" fillId="2" borderId="0" xfId="12" applyNumberFormat="1" applyFill="1" applyAlignment="1">
      <alignment horizontal="center"/>
    </xf>
    <xf numFmtId="166" fontId="3" fillId="2" borderId="0" xfId="12" applyNumberFormat="1" applyFont="1" applyFill="1" applyAlignment="1">
      <alignment horizontal="center"/>
    </xf>
    <xf numFmtId="166" fontId="4" fillId="2" borderId="0" xfId="12" applyNumberFormat="1" applyFill="1"/>
    <xf numFmtId="166" fontId="3" fillId="2" borderId="0" xfId="12" applyNumberFormat="1" applyFont="1" applyFill="1"/>
    <xf numFmtId="0" fontId="2" fillId="2" borderId="0" xfId="12" applyFont="1" applyFill="1"/>
    <xf numFmtId="0" fontId="2" fillId="2" borderId="0" xfId="12" applyFont="1" applyFill="1" applyAlignment="1">
      <alignment horizontal="center"/>
    </xf>
    <xf numFmtId="3" fontId="4" fillId="2" borderId="0" xfId="12" applyNumberFormat="1" applyFill="1" applyAlignment="1">
      <alignment horizontal="center"/>
    </xf>
    <xf numFmtId="0" fontId="2" fillId="2" borderId="0" xfId="12" applyFont="1" applyFill="1" applyAlignment="1">
      <alignment horizontal="center" vertical="center"/>
    </xf>
    <xf numFmtId="3" fontId="4" fillId="2" borderId="0" xfId="12" applyNumberFormat="1" applyFill="1" applyAlignment="1">
      <alignment horizontal="center" vertical="center"/>
    </xf>
    <xf numFmtId="0" fontId="4" fillId="2" borderId="0" xfId="12" applyFill="1" applyAlignment="1">
      <alignment horizontal="center" vertical="center"/>
    </xf>
    <xf numFmtId="166" fontId="4" fillId="2" borderId="0" xfId="12" applyNumberFormat="1" applyFill="1" applyAlignment="1">
      <alignment horizontal="center" vertical="center"/>
    </xf>
    <xf numFmtId="0" fontId="2" fillId="2" borderId="0" xfId="12" applyFont="1" applyFill="1" applyAlignment="1">
      <alignment horizontal="right"/>
    </xf>
    <xf numFmtId="167" fontId="4" fillId="2" borderId="0" xfId="12" applyNumberFormat="1" applyFill="1" applyAlignment="1">
      <alignment horizontal="center"/>
    </xf>
    <xf numFmtId="0" fontId="1" fillId="2" borderId="0" xfId="12" applyFont="1" applyFill="1"/>
    <xf numFmtId="3" fontId="1" fillId="2" borderId="0" xfId="12" applyNumberFormat="1" applyFont="1" applyFill="1" applyAlignment="1">
      <alignment horizontal="center" vertical="center"/>
    </xf>
    <xf numFmtId="0" fontId="1" fillId="2" borderId="0" xfId="12" applyFont="1" applyFill="1" applyAlignment="1">
      <alignment horizontal="center"/>
    </xf>
    <xf numFmtId="3" fontId="1" fillId="2" borderId="0" xfId="12" applyNumberFormat="1" applyFont="1" applyFill="1" applyAlignment="1">
      <alignment horizontal="center"/>
    </xf>
  </cellXfs>
  <cellStyles count="13">
    <cellStyle name="Millares 2" xfId="1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2 3" xfId="4" xr:uid="{00000000-0005-0000-0000-000005000000}"/>
    <cellStyle name="Normal 2 3 2" xfId="5" xr:uid="{00000000-0005-0000-0000-000006000000}"/>
    <cellStyle name="Normal 3" xfId="6" xr:uid="{00000000-0005-0000-0000-000007000000}"/>
    <cellStyle name="Normal 4" xfId="7" xr:uid="{00000000-0005-0000-0000-000008000000}"/>
    <cellStyle name="Normal 5" xfId="8" xr:uid="{00000000-0005-0000-0000-000009000000}"/>
    <cellStyle name="Normal 6" xfId="12" xr:uid="{540158EB-89EF-494C-9B87-B3678D0AE093}"/>
    <cellStyle name="Porcentaje 2" xfId="9" xr:uid="{00000000-0005-0000-0000-00000A000000}"/>
    <cellStyle name="Porcentual 2" xfId="10" xr:uid="{00000000-0005-0000-0000-00000B000000}"/>
    <cellStyle name="Porcentual 3" xfId="11" xr:uid="{00000000-0005-0000-0000-00000C000000}"/>
  </cellStyles>
  <dxfs count="0"/>
  <tableStyles count="1" defaultTableStyle="TableStyleMedium9" defaultPivotStyle="PivotStyleLight16">
    <tableStyle name="Invisible" pivot="0" table="0" count="0" xr9:uid="{E82430E9-3C0A-400E-B6A0-657A7703FB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0</xdr:rowOff>
    </xdr:from>
    <xdr:to>
      <xdr:col>7</xdr:col>
      <xdr:colOff>466725</xdr:colOff>
      <xdr:row>21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51BB29-A44F-44FE-9C1C-EB5ED314C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0"/>
          <a:ext cx="6057900" cy="393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0</xdr:rowOff>
    </xdr:from>
    <xdr:to>
      <xdr:col>7</xdr:col>
      <xdr:colOff>333375</xdr:colOff>
      <xdr:row>31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21C58D-F3D5-4091-818B-09CA379EA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0"/>
          <a:ext cx="6076950" cy="588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0</xdr:rowOff>
    </xdr:from>
    <xdr:to>
      <xdr:col>7</xdr:col>
      <xdr:colOff>647700</xdr:colOff>
      <xdr:row>27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ABEDC6-0454-4F8D-9342-AB55931C4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0"/>
          <a:ext cx="6400800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0</xdr:rowOff>
    </xdr:from>
    <xdr:to>
      <xdr:col>6</xdr:col>
      <xdr:colOff>581025</xdr:colOff>
      <xdr:row>21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2D06D9-0AC7-49B1-A71B-7B7ADD6C3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0"/>
          <a:ext cx="6057900" cy="387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0</xdr:rowOff>
    </xdr:from>
    <xdr:to>
      <xdr:col>6</xdr:col>
      <xdr:colOff>733425</xdr:colOff>
      <xdr:row>19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DA55FF-DFBD-49D7-ACAF-8F64D5ED2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0"/>
          <a:ext cx="6457950" cy="3590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7</xdr:col>
      <xdr:colOff>485775</xdr:colOff>
      <xdr:row>29</xdr:row>
      <xdr:rowOff>103044</xdr:rowOff>
    </xdr:to>
    <xdr:pic>
      <xdr:nvPicPr>
        <xdr:cNvPr id="3096" name="Imagen 2">
          <a:extLst>
            <a:ext uri="{FF2B5EF4-FFF2-40B4-BE49-F238E27FC236}">
              <a16:creationId xmlns:a16="http://schemas.microsoft.com/office/drawing/2014/main" id="{4D050F8F-A218-409C-A1A5-8780FF924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0"/>
          <a:ext cx="6305550" cy="517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7</xdr:col>
      <xdr:colOff>495300</xdr:colOff>
      <xdr:row>28</xdr:row>
      <xdr:rowOff>152400</xdr:rowOff>
    </xdr:to>
    <xdr:pic>
      <xdr:nvPicPr>
        <xdr:cNvPr id="4118" name="Imagen 1">
          <a:extLst>
            <a:ext uri="{FF2B5EF4-FFF2-40B4-BE49-F238E27FC236}">
              <a16:creationId xmlns:a16="http://schemas.microsoft.com/office/drawing/2014/main" id="{C15711FB-7889-4941-A345-A36DA215F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0"/>
          <a:ext cx="6305550" cy="503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7</xdr:col>
      <xdr:colOff>485775</xdr:colOff>
      <xdr:row>20</xdr:row>
      <xdr:rowOff>47625</xdr:rowOff>
    </xdr:to>
    <xdr:pic>
      <xdr:nvPicPr>
        <xdr:cNvPr id="5141" name="Imagen 1">
          <a:extLst>
            <a:ext uri="{FF2B5EF4-FFF2-40B4-BE49-F238E27FC236}">
              <a16:creationId xmlns:a16="http://schemas.microsoft.com/office/drawing/2014/main" id="{E41288EB-499E-4AFF-9379-6137170BD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0"/>
          <a:ext cx="6305550" cy="348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7</xdr:col>
      <xdr:colOff>495300</xdr:colOff>
      <xdr:row>55</xdr:row>
      <xdr:rowOff>133350</xdr:rowOff>
    </xdr:to>
    <xdr:pic>
      <xdr:nvPicPr>
        <xdr:cNvPr id="6164" name="Imagen 1">
          <a:extLst>
            <a:ext uri="{FF2B5EF4-FFF2-40B4-BE49-F238E27FC236}">
              <a16:creationId xmlns:a16="http://schemas.microsoft.com/office/drawing/2014/main" id="{38B5C5B1-48D9-472B-B0B5-01AF3821D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0"/>
          <a:ext cx="6305550" cy="992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0</xdr:rowOff>
    </xdr:from>
    <xdr:to>
      <xdr:col>7</xdr:col>
      <xdr:colOff>476250</xdr:colOff>
      <xdr:row>56</xdr:row>
      <xdr:rowOff>28575</xdr:rowOff>
    </xdr:to>
    <xdr:pic>
      <xdr:nvPicPr>
        <xdr:cNvPr id="7189" name="Imagen 1">
          <a:extLst>
            <a:ext uri="{FF2B5EF4-FFF2-40B4-BE49-F238E27FC236}">
              <a16:creationId xmlns:a16="http://schemas.microsoft.com/office/drawing/2014/main" id="{E209406B-EDF2-454C-A267-A44DE3E67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0"/>
          <a:ext cx="6305550" cy="998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8FB2-55A9-4C19-AAFF-06A698398B92}">
  <dimension ref="A1:O30"/>
  <sheetViews>
    <sheetView tabSelected="1" workbookViewId="0">
      <selection activeCell="I1" sqref="I1"/>
    </sheetView>
  </sheetViews>
  <sheetFormatPr baseColWidth="10" defaultColWidth="8" defaultRowHeight="14.4" x14ac:dyDescent="0.3"/>
  <cols>
    <col min="1" max="1" width="8" style="4"/>
    <col min="2" max="2" width="25.8984375" style="4" customWidth="1"/>
    <col min="3" max="8" width="8" style="4"/>
    <col min="9" max="9" width="13.69921875" style="4" customWidth="1"/>
    <col min="10" max="10" width="9.3984375" style="4" bestFit="1" customWidth="1"/>
    <col min="11" max="11" width="8.5" style="4" bestFit="1" customWidth="1"/>
    <col min="12" max="12" width="9.3984375" style="4" bestFit="1" customWidth="1"/>
    <col min="13" max="14" width="8.5" style="4" bestFit="1" customWidth="1"/>
    <col min="15" max="16384" width="8" style="4"/>
  </cols>
  <sheetData>
    <row r="1" spans="1:15" x14ac:dyDescent="0.3">
      <c r="A1" s="3" t="s">
        <v>0</v>
      </c>
      <c r="I1" s="5"/>
    </row>
    <row r="2" spans="1:15" x14ac:dyDescent="0.3">
      <c r="I2" s="5"/>
    </row>
    <row r="3" spans="1:15" x14ac:dyDescent="0.3">
      <c r="I3" s="5"/>
      <c r="J3" s="6"/>
      <c r="K3" s="6"/>
      <c r="L3" s="6"/>
    </row>
    <row r="4" spans="1:15" x14ac:dyDescent="0.3">
      <c r="I4" s="5"/>
      <c r="J4" s="10"/>
      <c r="K4" s="10"/>
      <c r="L4" s="10"/>
    </row>
    <row r="5" spans="1:15" x14ac:dyDescent="0.3">
      <c r="I5" s="5"/>
      <c r="J5" s="10"/>
      <c r="K5" s="10"/>
      <c r="L5" s="11"/>
    </row>
    <row r="6" spans="1:15" x14ac:dyDescent="0.3">
      <c r="I6" s="5"/>
      <c r="J6" s="10"/>
      <c r="K6" s="10"/>
      <c r="L6" s="10"/>
    </row>
    <row r="7" spans="1:15" x14ac:dyDescent="0.3">
      <c r="I7" s="5"/>
      <c r="J7" s="10"/>
      <c r="K7" s="10"/>
      <c r="L7" s="10"/>
    </row>
    <row r="8" spans="1:15" x14ac:dyDescent="0.3">
      <c r="I8" s="5"/>
      <c r="J8" s="10"/>
      <c r="K8" s="10"/>
      <c r="L8" s="10"/>
    </row>
    <row r="9" spans="1:15" x14ac:dyDescent="0.3">
      <c r="J9" s="12"/>
      <c r="K9" s="12"/>
      <c r="L9" s="12"/>
    </row>
    <row r="10" spans="1:15" x14ac:dyDescent="0.3">
      <c r="I10" s="5"/>
      <c r="J10" s="12"/>
      <c r="K10" s="12"/>
      <c r="L10" s="12"/>
    </row>
    <row r="11" spans="1:15" x14ac:dyDescent="0.3">
      <c r="I11" s="5"/>
      <c r="J11" s="13"/>
      <c r="K11" s="11"/>
      <c r="L11" s="6"/>
      <c r="M11" s="6"/>
      <c r="N11" s="6"/>
      <c r="O11" s="7"/>
    </row>
    <row r="12" spans="1:15" x14ac:dyDescent="0.3">
      <c r="I12" s="5"/>
      <c r="J12" s="13"/>
      <c r="K12" s="8"/>
      <c r="L12" s="8"/>
      <c r="M12" s="8"/>
      <c r="N12" s="8"/>
      <c r="O12" s="7"/>
    </row>
    <row r="13" spans="1:15" x14ac:dyDescent="0.3">
      <c r="I13" s="5"/>
      <c r="J13" s="13"/>
      <c r="K13" s="8"/>
      <c r="L13" s="8"/>
      <c r="M13" s="8"/>
      <c r="N13" s="8"/>
      <c r="O13" s="7"/>
    </row>
    <row r="14" spans="1:15" x14ac:dyDescent="0.3">
      <c r="I14" s="5"/>
      <c r="J14" s="13"/>
      <c r="K14" s="8"/>
      <c r="L14" s="8"/>
      <c r="M14" s="8"/>
      <c r="N14" s="8"/>
      <c r="O14" s="7"/>
    </row>
    <row r="15" spans="1:15" x14ac:dyDescent="0.3">
      <c r="I15" s="5"/>
      <c r="J15" s="13"/>
      <c r="K15" s="8"/>
      <c r="L15" s="8"/>
      <c r="M15" s="8"/>
      <c r="N15" s="8"/>
      <c r="O15" s="7"/>
    </row>
    <row r="16" spans="1:15" x14ac:dyDescent="0.3">
      <c r="J16" s="12"/>
      <c r="K16" s="12"/>
      <c r="L16" s="9"/>
      <c r="M16" s="9"/>
      <c r="N16" s="9"/>
    </row>
    <row r="17" spans="9:14" x14ac:dyDescent="0.3">
      <c r="I17" s="5"/>
      <c r="J17" s="12"/>
      <c r="K17" s="12"/>
      <c r="L17" s="12"/>
      <c r="M17" s="12"/>
      <c r="N17" s="12"/>
    </row>
    <row r="18" spans="9:14" x14ac:dyDescent="0.3">
      <c r="I18" s="5"/>
      <c r="J18" s="13"/>
      <c r="K18" s="11"/>
      <c r="L18" s="6"/>
      <c r="M18" s="6"/>
      <c r="N18" s="6"/>
    </row>
    <row r="19" spans="9:14" x14ac:dyDescent="0.3">
      <c r="I19" s="5"/>
      <c r="J19" s="13"/>
      <c r="K19" s="8"/>
      <c r="L19" s="8"/>
      <c r="M19" s="8"/>
      <c r="N19" s="8"/>
    </row>
    <row r="20" spans="9:14" x14ac:dyDescent="0.3">
      <c r="I20" s="5"/>
      <c r="J20" s="13"/>
      <c r="K20" s="8"/>
      <c r="L20" s="8"/>
      <c r="M20" s="8"/>
      <c r="N20" s="8"/>
    </row>
    <row r="21" spans="9:14" x14ac:dyDescent="0.3">
      <c r="I21" s="5"/>
      <c r="J21" s="13"/>
      <c r="K21" s="8"/>
      <c r="L21" s="8"/>
      <c r="M21" s="8"/>
      <c r="N21" s="8"/>
    </row>
    <row r="22" spans="9:14" x14ac:dyDescent="0.3">
      <c r="I22" s="5"/>
      <c r="J22" s="13"/>
      <c r="K22" s="8"/>
      <c r="L22" s="8"/>
      <c r="M22" s="8"/>
      <c r="N22" s="8"/>
    </row>
    <row r="23" spans="9:14" x14ac:dyDescent="0.3">
      <c r="L23" s="8"/>
      <c r="M23" s="8"/>
      <c r="N23" s="8"/>
    </row>
    <row r="25" spans="9:14" x14ac:dyDescent="0.3">
      <c r="I25" s="5"/>
      <c r="J25" s="6"/>
      <c r="K25" s="6"/>
      <c r="L25" s="6"/>
    </row>
    <row r="26" spans="9:14" x14ac:dyDescent="0.3">
      <c r="I26" s="5"/>
      <c r="J26" s="10"/>
      <c r="K26" s="10"/>
      <c r="L26" s="10"/>
    </row>
    <row r="27" spans="9:14" x14ac:dyDescent="0.3">
      <c r="I27" s="5"/>
      <c r="J27" s="10"/>
      <c r="K27" s="10"/>
      <c r="L27" s="10"/>
    </row>
    <row r="28" spans="9:14" x14ac:dyDescent="0.3">
      <c r="I28" s="5"/>
      <c r="J28" s="10"/>
      <c r="K28" s="10"/>
      <c r="L28" s="10"/>
    </row>
    <row r="29" spans="9:14" x14ac:dyDescent="0.3">
      <c r="I29" s="5"/>
      <c r="J29" s="10"/>
      <c r="K29" s="10"/>
      <c r="L29" s="10"/>
    </row>
    <row r="30" spans="9:14" x14ac:dyDescent="0.3">
      <c r="I30" s="5"/>
      <c r="J30" s="10"/>
      <c r="K30" s="10"/>
      <c r="L30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0576-E6C2-4819-A077-1CB4F0CCA0D0}">
  <dimension ref="A1:N68"/>
  <sheetViews>
    <sheetView zoomScale="120" zoomScaleNormal="120" workbookViewId="0">
      <selection activeCell="A45" sqref="A45:H73"/>
    </sheetView>
  </sheetViews>
  <sheetFormatPr baseColWidth="10" defaultColWidth="11" defaultRowHeight="14.4" x14ac:dyDescent="0.3"/>
  <cols>
    <col min="1" max="1" width="15.69921875" style="4" customWidth="1"/>
    <col min="2" max="16384" width="11" style="4"/>
  </cols>
  <sheetData>
    <row r="1" spans="1:14" x14ac:dyDescent="0.3">
      <c r="A1" s="3" t="s">
        <v>1</v>
      </c>
    </row>
    <row r="3" spans="1:14" x14ac:dyDescent="0.3">
      <c r="I3" s="14"/>
    </row>
    <row r="4" spans="1:14" x14ac:dyDescent="0.3">
      <c r="J4" s="21"/>
      <c r="L4" s="21"/>
    </row>
    <row r="5" spans="1:14" x14ac:dyDescent="0.3">
      <c r="I5" s="14"/>
      <c r="J5" s="17"/>
      <c r="K5" s="17"/>
      <c r="L5" s="17"/>
      <c r="M5" s="17"/>
      <c r="N5" s="19"/>
    </row>
    <row r="6" spans="1:14" x14ac:dyDescent="0.3">
      <c r="I6" s="14"/>
      <c r="J6" s="19"/>
      <c r="K6" s="19"/>
      <c r="L6" s="19"/>
      <c r="M6" s="19"/>
      <c r="N6" s="19"/>
    </row>
    <row r="7" spans="1:14" x14ac:dyDescent="0.3">
      <c r="I7" s="14"/>
      <c r="J7" s="19"/>
      <c r="K7" s="19"/>
      <c r="L7" s="19"/>
      <c r="M7" s="19"/>
      <c r="N7" s="19"/>
    </row>
    <row r="8" spans="1:14" x14ac:dyDescent="0.3">
      <c r="I8" s="14"/>
      <c r="J8" s="19"/>
      <c r="K8" s="19"/>
      <c r="L8" s="20"/>
      <c r="M8" s="20"/>
      <c r="N8" s="19"/>
    </row>
    <row r="9" spans="1:14" x14ac:dyDescent="0.3">
      <c r="I9" s="14"/>
      <c r="J9" s="19"/>
      <c r="K9" s="19"/>
      <c r="L9" s="20"/>
      <c r="M9" s="20"/>
      <c r="N9" s="19"/>
    </row>
    <row r="10" spans="1:14" x14ac:dyDescent="0.3">
      <c r="J10" s="19"/>
      <c r="K10" s="19"/>
      <c r="L10" s="19"/>
      <c r="M10" s="19"/>
      <c r="N10" s="19"/>
    </row>
    <row r="11" spans="1:14" x14ac:dyDescent="0.3">
      <c r="I11" s="14"/>
      <c r="J11" s="7"/>
      <c r="K11" s="7"/>
      <c r="L11" s="7"/>
      <c r="M11" s="7"/>
    </row>
    <row r="12" spans="1:14" x14ac:dyDescent="0.3">
      <c r="I12" s="14"/>
      <c r="J12" s="7"/>
      <c r="K12" s="7"/>
      <c r="L12" s="10"/>
      <c r="M12" s="10"/>
    </row>
    <row r="13" spans="1:14" x14ac:dyDescent="0.3">
      <c r="I13" s="14"/>
      <c r="J13" s="7"/>
      <c r="K13" s="7"/>
      <c r="L13" s="10"/>
      <c r="M13" s="10"/>
    </row>
    <row r="14" spans="1:14" x14ac:dyDescent="0.3">
      <c r="I14" s="14"/>
      <c r="J14" s="22"/>
      <c r="K14" s="22"/>
      <c r="L14" s="22"/>
      <c r="M14" s="22"/>
    </row>
    <row r="15" spans="1:14" x14ac:dyDescent="0.3">
      <c r="J15" s="7"/>
      <c r="K15" s="7"/>
    </row>
    <row r="16" spans="1:14" x14ac:dyDescent="0.3">
      <c r="I16" s="14"/>
    </row>
    <row r="17" spans="9:9" x14ac:dyDescent="0.3">
      <c r="I17" s="14"/>
    </row>
    <row r="18" spans="9:9" x14ac:dyDescent="0.3">
      <c r="I18" s="14"/>
    </row>
    <row r="33" spans="1:7" x14ac:dyDescent="0.3">
      <c r="A33" s="14"/>
    </row>
    <row r="34" spans="1:7" x14ac:dyDescent="0.3">
      <c r="A34" s="23" t="s">
        <v>14</v>
      </c>
      <c r="B34" s="17"/>
      <c r="C34" s="15"/>
      <c r="D34" s="15"/>
      <c r="E34" s="15"/>
      <c r="F34" s="15"/>
      <c r="G34" s="7"/>
    </row>
    <row r="35" spans="1:7" x14ac:dyDescent="0.3">
      <c r="A35" s="23" t="s">
        <v>10</v>
      </c>
      <c r="B35" s="24" t="s">
        <v>11</v>
      </c>
      <c r="C35" s="25" t="s">
        <v>13</v>
      </c>
      <c r="D35" s="26" t="s">
        <v>22</v>
      </c>
      <c r="E35" s="26" t="s">
        <v>23</v>
      </c>
      <c r="F35" s="26" t="s">
        <v>12</v>
      </c>
      <c r="G35" s="7"/>
    </row>
    <row r="36" spans="1:7" x14ac:dyDescent="0.3">
      <c r="A36" s="23" t="s">
        <v>15</v>
      </c>
      <c r="B36" s="18">
        <v>25000</v>
      </c>
      <c r="C36" s="25" t="s">
        <v>24</v>
      </c>
      <c r="D36" s="16">
        <v>6000</v>
      </c>
      <c r="E36" s="16">
        <v>1000</v>
      </c>
      <c r="F36" s="16">
        <f>SUM(D36:E36)</f>
        <v>7000</v>
      </c>
      <c r="G36" s="7"/>
    </row>
    <row r="37" spans="1:7" x14ac:dyDescent="0.3">
      <c r="A37" s="23" t="s">
        <v>16</v>
      </c>
      <c r="B37" s="18">
        <v>25000</v>
      </c>
      <c r="C37" s="25" t="s">
        <v>25</v>
      </c>
      <c r="D37" s="16">
        <v>3400</v>
      </c>
      <c r="E37" s="7">
        <v>600</v>
      </c>
      <c r="F37" s="16">
        <f t="shared" ref="F37:F42" si="0">SUM(D37:E37)</f>
        <v>4000</v>
      </c>
      <c r="G37" s="7"/>
    </row>
    <row r="38" spans="1:7" x14ac:dyDescent="0.3">
      <c r="A38" s="23" t="s">
        <v>17</v>
      </c>
      <c r="B38" s="18">
        <v>15000</v>
      </c>
      <c r="C38" s="25" t="s">
        <v>26</v>
      </c>
      <c r="D38" s="7">
        <v>200</v>
      </c>
      <c r="E38" s="7">
        <v>100</v>
      </c>
      <c r="F38" s="16">
        <f t="shared" si="0"/>
        <v>300</v>
      </c>
      <c r="G38" s="7"/>
    </row>
    <row r="39" spans="1:7" x14ac:dyDescent="0.3">
      <c r="A39" s="23" t="s">
        <v>18</v>
      </c>
      <c r="B39" s="18">
        <v>10000</v>
      </c>
      <c r="C39" s="25" t="s">
        <v>27</v>
      </c>
      <c r="D39" s="16">
        <v>300</v>
      </c>
      <c r="E39" s="16">
        <v>150</v>
      </c>
      <c r="F39" s="16">
        <f t="shared" si="0"/>
        <v>450</v>
      </c>
      <c r="G39" s="7"/>
    </row>
    <row r="40" spans="1:7" x14ac:dyDescent="0.3">
      <c r="A40" s="23" t="s">
        <v>19</v>
      </c>
      <c r="B40" s="18">
        <v>10000</v>
      </c>
      <c r="C40" s="25" t="s">
        <v>24</v>
      </c>
      <c r="D40" s="16">
        <v>6000</v>
      </c>
      <c r="E40" s="7">
        <v>1000</v>
      </c>
      <c r="F40" s="16">
        <f t="shared" si="0"/>
        <v>7000</v>
      </c>
      <c r="G40" s="7"/>
    </row>
    <row r="41" spans="1:7" x14ac:dyDescent="0.3">
      <c r="A41" s="23" t="s">
        <v>20</v>
      </c>
      <c r="B41" s="18">
        <v>20000</v>
      </c>
      <c r="C41" s="25" t="s">
        <v>28</v>
      </c>
      <c r="D41" s="16">
        <v>20</v>
      </c>
      <c r="E41" s="16">
        <v>40</v>
      </c>
      <c r="F41" s="16">
        <f t="shared" si="0"/>
        <v>60</v>
      </c>
      <c r="G41" s="7"/>
    </row>
    <row r="42" spans="1:7" x14ac:dyDescent="0.3">
      <c r="A42" s="23" t="s">
        <v>21</v>
      </c>
      <c r="B42" s="18">
        <v>30000</v>
      </c>
      <c r="C42" s="25" t="s">
        <v>29</v>
      </c>
      <c r="D42" s="16">
        <v>90000</v>
      </c>
      <c r="E42" s="16">
        <v>10000</v>
      </c>
      <c r="F42" s="16">
        <f t="shared" si="0"/>
        <v>100000</v>
      </c>
      <c r="G42" s="7"/>
    </row>
    <row r="43" spans="1:7" x14ac:dyDescent="0.3">
      <c r="A43" s="23" t="s">
        <v>12</v>
      </c>
      <c r="B43" s="16">
        <f>SUM(B36:B42)</f>
        <v>135000</v>
      </c>
      <c r="C43" s="7"/>
      <c r="D43" s="7"/>
      <c r="E43" s="7"/>
      <c r="F43" s="7"/>
      <c r="G43" s="7"/>
    </row>
    <row r="44" spans="1:7" x14ac:dyDescent="0.3">
      <c r="A44" s="14"/>
    </row>
    <row r="45" spans="1:7" x14ac:dyDescent="0.3">
      <c r="A45" s="23"/>
      <c r="B45" s="17"/>
      <c r="C45" s="15"/>
      <c r="D45" s="15"/>
      <c r="E45" s="15"/>
      <c r="F45" s="15"/>
    </row>
    <row r="46" spans="1:7" x14ac:dyDescent="0.3">
      <c r="A46" s="23"/>
      <c r="B46" s="24"/>
      <c r="C46" s="25"/>
      <c r="D46" s="26"/>
      <c r="E46" s="26"/>
      <c r="F46" s="26"/>
    </row>
    <row r="47" spans="1:7" x14ac:dyDescent="0.3">
      <c r="A47" s="23"/>
      <c r="B47" s="18"/>
      <c r="C47" s="25"/>
      <c r="D47" s="10"/>
      <c r="E47" s="10"/>
      <c r="F47" s="10"/>
    </row>
    <row r="48" spans="1:7" x14ac:dyDescent="0.3">
      <c r="A48" s="23"/>
      <c r="B48" s="18"/>
      <c r="C48" s="25"/>
      <c r="D48" s="10"/>
      <c r="E48" s="10"/>
      <c r="F48" s="10"/>
    </row>
    <row r="49" spans="1:7" x14ac:dyDescent="0.3">
      <c r="A49" s="23"/>
      <c r="B49" s="18"/>
      <c r="C49" s="25"/>
      <c r="D49" s="10"/>
      <c r="E49" s="10"/>
      <c r="F49" s="10"/>
    </row>
    <row r="50" spans="1:7" x14ac:dyDescent="0.3">
      <c r="A50" s="23"/>
      <c r="B50" s="18"/>
      <c r="C50" s="25"/>
      <c r="D50" s="10"/>
      <c r="E50" s="10"/>
      <c r="F50" s="10"/>
    </row>
    <row r="51" spans="1:7" x14ac:dyDescent="0.3">
      <c r="A51" s="23"/>
      <c r="B51" s="18"/>
      <c r="C51" s="25"/>
      <c r="D51" s="10"/>
      <c r="E51" s="10"/>
      <c r="F51" s="10"/>
    </row>
    <row r="52" spans="1:7" x14ac:dyDescent="0.3">
      <c r="A52" s="23"/>
      <c r="B52" s="18"/>
      <c r="C52" s="25"/>
      <c r="D52" s="10"/>
      <c r="E52" s="10"/>
      <c r="F52" s="10"/>
    </row>
    <row r="53" spans="1:7" x14ac:dyDescent="0.3">
      <c r="A53" s="23"/>
      <c r="B53" s="18"/>
      <c r="C53" s="25"/>
      <c r="D53" s="10"/>
      <c r="E53" s="10"/>
      <c r="F53" s="10"/>
    </row>
    <row r="54" spans="1:7" x14ac:dyDescent="0.3">
      <c r="A54" s="23"/>
      <c r="B54" s="16"/>
      <c r="C54" s="7"/>
      <c r="D54" s="16"/>
      <c r="E54" s="16"/>
      <c r="F54" s="16"/>
    </row>
    <row r="55" spans="1:7" x14ac:dyDescent="0.3">
      <c r="C55" s="23"/>
      <c r="D55" s="8"/>
      <c r="E55" s="8"/>
    </row>
    <row r="56" spans="1:7" x14ac:dyDescent="0.3">
      <c r="C56" s="23"/>
      <c r="D56" s="12"/>
      <c r="E56" s="12"/>
    </row>
    <row r="58" spans="1:7" x14ac:dyDescent="0.3">
      <c r="D58" s="23"/>
      <c r="F58" s="23"/>
    </row>
    <row r="59" spans="1:7" x14ac:dyDescent="0.3">
      <c r="C59" s="23"/>
      <c r="D59" s="26"/>
      <c r="E59" s="26"/>
      <c r="F59" s="26"/>
      <c r="G59" s="26"/>
    </row>
    <row r="60" spans="1:7" x14ac:dyDescent="0.3">
      <c r="C60" s="23"/>
      <c r="D60" s="7"/>
      <c r="E60" s="7"/>
      <c r="F60" s="7"/>
      <c r="G60" s="7"/>
    </row>
    <row r="61" spans="1:7" x14ac:dyDescent="0.3">
      <c r="C61" s="23"/>
      <c r="D61" s="7"/>
      <c r="E61" s="7"/>
      <c r="F61" s="7"/>
      <c r="G61" s="7"/>
    </row>
    <row r="62" spans="1:7" x14ac:dyDescent="0.3">
      <c r="C62" s="23"/>
      <c r="D62" s="7"/>
      <c r="E62" s="7"/>
      <c r="F62" s="7"/>
      <c r="G62" s="7"/>
    </row>
    <row r="63" spans="1:7" x14ac:dyDescent="0.3">
      <c r="C63" s="23"/>
      <c r="D63" s="7"/>
      <c r="E63" s="7"/>
      <c r="F63" s="10"/>
      <c r="G63" s="10"/>
    </row>
    <row r="64" spans="1:7" x14ac:dyDescent="0.3">
      <c r="C64" s="23"/>
      <c r="D64" s="7"/>
      <c r="E64" s="7"/>
      <c r="F64" s="10"/>
      <c r="G64" s="10"/>
    </row>
    <row r="65" spans="3:7" x14ac:dyDescent="0.3">
      <c r="C65" s="23"/>
      <c r="D65" s="7"/>
      <c r="E65" s="7"/>
      <c r="F65" s="10"/>
      <c r="G65" s="10"/>
    </row>
    <row r="66" spans="3:7" x14ac:dyDescent="0.3">
      <c r="D66" s="7"/>
      <c r="E66" s="7"/>
    </row>
    <row r="67" spans="3:7" x14ac:dyDescent="0.3">
      <c r="C67" s="23"/>
      <c r="D67" s="7"/>
      <c r="E67" s="7"/>
    </row>
    <row r="68" spans="3:7" x14ac:dyDescent="0.3">
      <c r="C68" s="2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2C58-4F01-4ED9-835E-9583898370F7}">
  <dimension ref="A1"/>
  <sheetViews>
    <sheetView topLeftCell="A10" workbookViewId="0">
      <selection activeCell="A2" sqref="A2"/>
    </sheetView>
  </sheetViews>
  <sheetFormatPr baseColWidth="10" defaultColWidth="11" defaultRowHeight="14.4" x14ac:dyDescent="0.3"/>
  <cols>
    <col min="1" max="1" width="15.8984375" style="4" customWidth="1"/>
    <col min="2" max="16384" width="11" style="4"/>
  </cols>
  <sheetData>
    <row r="1" spans="1:1" x14ac:dyDescent="0.3">
      <c r="A1" s="3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F143-5A5C-4700-8806-131E0ED06925}">
  <dimension ref="A1"/>
  <sheetViews>
    <sheetView zoomScale="110" zoomScaleNormal="110" workbookViewId="0">
      <selection activeCell="C24" sqref="C24"/>
    </sheetView>
  </sheetViews>
  <sheetFormatPr baseColWidth="10" defaultColWidth="11" defaultRowHeight="14.4" x14ac:dyDescent="0.3"/>
  <cols>
    <col min="1" max="1" width="22.19921875" style="4" customWidth="1"/>
    <col min="2" max="16384" width="11" style="4"/>
  </cols>
  <sheetData>
    <row r="1" spans="1:1" x14ac:dyDescent="0.3">
      <c r="A1" s="3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88E7-5135-40E7-85BE-84708EA3E411}">
  <dimension ref="A1"/>
  <sheetViews>
    <sheetView workbookViewId="0">
      <selection activeCell="A2" sqref="A2"/>
    </sheetView>
  </sheetViews>
  <sheetFormatPr baseColWidth="10" defaultColWidth="11" defaultRowHeight="14.4" x14ac:dyDescent="0.3"/>
  <cols>
    <col min="1" max="1" width="25.5" style="4" customWidth="1"/>
    <col min="2" max="16384" width="11" style="4"/>
  </cols>
  <sheetData>
    <row r="1" spans="1:1" x14ac:dyDescent="0.3">
      <c r="A1" s="3" t="s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baseColWidth="10" defaultColWidth="11" defaultRowHeight="13.8" x14ac:dyDescent="0.25"/>
  <cols>
    <col min="1" max="16384" width="11" style="1"/>
  </cols>
  <sheetData>
    <row r="1" spans="1:1" x14ac:dyDescent="0.25">
      <c r="A1" s="2" t="s"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" defaultRowHeight="13.8" x14ac:dyDescent="0.25"/>
  <cols>
    <col min="1" max="16384" width="11" style="1"/>
  </cols>
  <sheetData>
    <row r="1" spans="1:1" x14ac:dyDescent="0.25">
      <c r="A1" s="2" t="s">
        <v>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23" sqref="E23"/>
    </sheetView>
  </sheetViews>
  <sheetFormatPr baseColWidth="10" defaultColWidth="11" defaultRowHeight="13.8" x14ac:dyDescent="0.25"/>
  <cols>
    <col min="1" max="16384" width="11" style="1"/>
  </cols>
  <sheetData>
    <row r="1" spans="1:1" x14ac:dyDescent="0.25">
      <c r="A1" s="2" t="s">
        <v>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L8" sqref="L8"/>
    </sheetView>
  </sheetViews>
  <sheetFormatPr baseColWidth="10" defaultColWidth="11" defaultRowHeight="13.8" x14ac:dyDescent="0.25"/>
  <cols>
    <col min="1" max="16384" width="11" style="1"/>
  </cols>
  <sheetData>
    <row r="1" spans="1:1" x14ac:dyDescent="0.25">
      <c r="A1" s="2" t="s">
        <v>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J7" sqref="J7"/>
    </sheetView>
  </sheetViews>
  <sheetFormatPr baseColWidth="10" defaultColWidth="11" defaultRowHeight="13.8" x14ac:dyDescent="0.25"/>
  <cols>
    <col min="1" max="16384" width="11" style="1"/>
  </cols>
  <sheetData>
    <row r="1" spans="1:1" x14ac:dyDescent="0.25">
      <c r="A1" s="2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William Oria</cp:lastModifiedBy>
  <dcterms:created xsi:type="dcterms:W3CDTF">2010-10-23T16:17:03Z</dcterms:created>
  <dcterms:modified xsi:type="dcterms:W3CDTF">2025-10-01T21:18:13Z</dcterms:modified>
</cp:coreProperties>
</file>