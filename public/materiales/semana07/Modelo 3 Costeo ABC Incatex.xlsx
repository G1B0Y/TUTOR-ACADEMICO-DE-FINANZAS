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GC FIIS UNI\PDE VIRTUAL 2021\I PDE CYP 2021 01 VIRTUAL\C03 COSTEO ABC\Sesion 02\"/>
    </mc:Choice>
  </mc:AlternateContent>
  <xr:revisionPtr revIDLastSave="0" documentId="13_ncr:1_{43D670DE-E114-416A-8573-91F8255717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icio" sheetId="24" r:id="rId1"/>
    <sheet name="OT" sheetId="32" r:id="rId2"/>
    <sheet name="Elección de Características" sheetId="29" r:id="rId3"/>
    <sheet name="Modelo_de_Cálculo_Costos" sheetId="25" r:id="rId4"/>
    <sheet name="Centro de actividades" sheetId="2" r:id="rId5"/>
    <sheet name="Maestro_Servicios_Directos" sheetId="33" r:id="rId6"/>
    <sheet name="Maestro_Materiales" sheetId="30" r:id="rId7"/>
    <sheet name="Matriz_Remu_MOD " sheetId="26" r:id="rId8"/>
    <sheet name="Matriz_Tiemp_Efec_MOD " sheetId="31" r:id="rId9"/>
    <sheet name="CMD" sheetId="27" r:id="rId10"/>
    <sheet name="CMOD" sheetId="34" r:id="rId11"/>
    <sheet name="CSD" sheetId="35" r:id="rId12"/>
    <sheet name="Elementos de Costo" sheetId="1" r:id="rId13"/>
    <sheet name="Auxiliar 1" sheetId="11" r:id="rId14"/>
    <sheet name="Proceso I" sheetId="3" r:id="rId15"/>
    <sheet name="Auxiliar 2" sheetId="13" r:id="rId16"/>
    <sheet name="Proceso II" sheetId="12" r:id="rId17"/>
    <sheet name="Proceso III" sheetId="21" r:id="rId18"/>
    <sheet name="Proceso IV" sheetId="22" r:id="rId19"/>
    <sheet name="Proceso V" sheetId="23" r:id="rId20"/>
    <sheet name="Precio_de_venta" sheetId="36" r:id="rId21"/>
    <sheet name="Valor_de_venta_por_OT" sheetId="37" r:id="rId22"/>
    <sheet name="Análisis_de_Rentabilidad" sheetId="38" r:id="rId23"/>
    <sheet name="Comparación de Costos" sheetId="40" r:id="rId24"/>
  </sheets>
  <externalReferences>
    <externalReference r:id="rId25"/>
    <externalReference r:id="rId26"/>
    <externalReference r:id="rId27"/>
  </externalReferences>
  <definedNames>
    <definedName name="_xlnm._FilterDatabase" localSheetId="1" hidden="1">OT!$E$5:$E$12</definedName>
  </definedNames>
  <calcPr calcId="181029"/>
</workbook>
</file>

<file path=xl/calcChain.xml><?xml version="1.0" encoding="utf-8"?>
<calcChain xmlns="http://schemas.openxmlformats.org/spreadsheetml/2006/main">
  <c r="I10" i="38" l="1"/>
  <c r="B129" i="37" l="1"/>
  <c r="C110" i="38" s="1"/>
  <c r="W4" i="38" s="1"/>
  <c r="B121" i="37"/>
  <c r="C103" i="38" s="1"/>
  <c r="V4" i="38" s="1"/>
  <c r="B113" i="37"/>
  <c r="C113" i="37" s="1"/>
  <c r="D113" i="37" s="1"/>
  <c r="B105" i="37"/>
  <c r="C89" i="38" s="1"/>
  <c r="T4" i="38" s="1"/>
  <c r="B97" i="37"/>
  <c r="C82" i="38" s="1"/>
  <c r="S4" i="38" s="1"/>
  <c r="B89" i="37"/>
  <c r="C75" i="38" s="1"/>
  <c r="R4" i="38" s="1"/>
  <c r="B81" i="37"/>
  <c r="C81" i="37" s="1"/>
  <c r="D81" i="37" s="1"/>
  <c r="B73" i="37"/>
  <c r="C61" i="38" s="1"/>
  <c r="P4" i="38" s="1"/>
  <c r="B65" i="37"/>
  <c r="C54" i="38" s="1"/>
  <c r="O4" i="38" s="1"/>
  <c r="C57" i="37"/>
  <c r="D57" i="37" s="1"/>
  <c r="B57" i="37"/>
  <c r="C47" i="38" s="1"/>
  <c r="N4" i="38" s="1"/>
  <c r="B41" i="37"/>
  <c r="C41" i="37" s="1"/>
  <c r="D41" i="37" s="1"/>
  <c r="B49" i="37"/>
  <c r="C49" i="37" s="1"/>
  <c r="D49" i="37" s="1"/>
  <c r="B33" i="37"/>
  <c r="C33" i="37" s="1"/>
  <c r="D33" i="37" s="1"/>
  <c r="B25" i="37"/>
  <c r="C19" i="38" s="1"/>
  <c r="J4" i="38" s="1"/>
  <c r="B17" i="37"/>
  <c r="C17" i="37" s="1"/>
  <c r="D17" i="37" s="1"/>
  <c r="B9" i="37"/>
  <c r="C5" i="38" s="1"/>
  <c r="H4" i="38" s="1"/>
  <c r="C121" i="37" l="1"/>
  <c r="D121" i="37" s="1"/>
  <c r="C73" i="37"/>
  <c r="D73" i="37" s="1"/>
  <c r="C68" i="38"/>
  <c r="Q4" i="38" s="1"/>
  <c r="C89" i="37"/>
  <c r="D89" i="37" s="1"/>
  <c r="C12" i="38"/>
  <c r="I4" i="38" s="1"/>
  <c r="H10" i="38" s="1"/>
  <c r="C96" i="38"/>
  <c r="U4" i="38" s="1"/>
  <c r="C105" i="37"/>
  <c r="D105" i="37" s="1"/>
  <c r="C25" i="37"/>
  <c r="D25" i="37" s="1"/>
  <c r="C40" i="38"/>
  <c r="M4" i="38" s="1"/>
  <c r="C9" i="37"/>
  <c r="D9" i="37" s="1"/>
  <c r="C65" i="37"/>
  <c r="D65" i="37" s="1"/>
  <c r="C97" i="37"/>
  <c r="D97" i="37" s="1"/>
  <c r="C129" i="37"/>
  <c r="D129" i="37" s="1"/>
  <c r="C26" i="38"/>
  <c r="K4" i="38" s="1"/>
  <c r="C33" i="38"/>
  <c r="L4" i="38" s="1"/>
  <c r="T20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D18" i="23"/>
  <c r="H13" i="23"/>
  <c r="H14" i="23" s="1"/>
  <c r="P13" i="23"/>
  <c r="P14" i="23" s="1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D11" i="23"/>
  <c r="F9" i="23"/>
  <c r="F13" i="23" s="1"/>
  <c r="F14" i="23" s="1"/>
  <c r="H9" i="23"/>
  <c r="I9" i="23"/>
  <c r="I13" i="23" s="1"/>
  <c r="I14" i="23" s="1"/>
  <c r="N9" i="23"/>
  <c r="N13" i="23" s="1"/>
  <c r="N14" i="23" s="1"/>
  <c r="P9" i="23"/>
  <c r="Q9" i="23"/>
  <c r="Q13" i="23" s="1"/>
  <c r="Q14" i="23" s="1"/>
  <c r="E7" i="23"/>
  <c r="E9" i="23" s="1"/>
  <c r="E13" i="23" s="1"/>
  <c r="E14" i="23" s="1"/>
  <c r="F7" i="23"/>
  <c r="G7" i="23"/>
  <c r="G9" i="23" s="1"/>
  <c r="G13" i="23" s="1"/>
  <c r="G14" i="23" s="1"/>
  <c r="H7" i="23"/>
  <c r="I7" i="23"/>
  <c r="J7" i="23"/>
  <c r="J9" i="23" s="1"/>
  <c r="J13" i="23" s="1"/>
  <c r="J14" i="23" s="1"/>
  <c r="K7" i="23"/>
  <c r="K9" i="23" s="1"/>
  <c r="K13" i="23" s="1"/>
  <c r="K14" i="23" s="1"/>
  <c r="L7" i="23"/>
  <c r="L9" i="23" s="1"/>
  <c r="L13" i="23" s="1"/>
  <c r="L14" i="23" s="1"/>
  <c r="M7" i="23"/>
  <c r="M9" i="23" s="1"/>
  <c r="M13" i="23" s="1"/>
  <c r="M14" i="23" s="1"/>
  <c r="N7" i="23"/>
  <c r="O7" i="23"/>
  <c r="O9" i="23" s="1"/>
  <c r="O13" i="23" s="1"/>
  <c r="O14" i="23" s="1"/>
  <c r="P7" i="23"/>
  <c r="Q7" i="23"/>
  <c r="R7" i="23"/>
  <c r="R9" i="23" s="1"/>
  <c r="R13" i="23" s="1"/>
  <c r="R14" i="23" s="1"/>
  <c r="S7" i="23"/>
  <c r="S9" i="23" s="1"/>
  <c r="S13" i="23" s="1"/>
  <c r="S14" i="23" s="1"/>
  <c r="D7" i="23"/>
  <c r="T8" i="23"/>
  <c r="T10" i="23"/>
  <c r="T12" i="23"/>
  <c r="T15" i="23"/>
  <c r="T16" i="23"/>
  <c r="T17" i="23"/>
  <c r="T19" i="23"/>
  <c r="T6" i="23"/>
  <c r="C103" i="22"/>
  <c r="C97" i="22"/>
  <c r="C89" i="22"/>
  <c r="C84" i="22"/>
  <c r="C75" i="22"/>
  <c r="H56" i="22"/>
  <c r="H57" i="22"/>
  <c r="H55" i="22"/>
  <c r="H38" i="22"/>
  <c r="H39" i="22"/>
  <c r="H40" i="22"/>
  <c r="H37" i="22"/>
  <c r="H23" i="22"/>
  <c r="H24" i="22"/>
  <c r="H22" i="22"/>
  <c r="H9" i="22"/>
  <c r="H8" i="22"/>
  <c r="C108" i="21"/>
  <c r="C94" i="21"/>
  <c r="C103" i="21"/>
  <c r="C116" i="21"/>
  <c r="C122" i="21"/>
  <c r="C83" i="21"/>
  <c r="C86" i="21" s="1"/>
  <c r="C84" i="21"/>
  <c r="C85" i="21"/>
  <c r="C79" i="21"/>
  <c r="C71" i="21"/>
  <c r="C64" i="21"/>
  <c r="D55" i="21"/>
  <c r="E55" i="21"/>
  <c r="E57" i="21" s="1"/>
  <c r="F55" i="21"/>
  <c r="G55" i="21"/>
  <c r="H55" i="21"/>
  <c r="I55" i="21"/>
  <c r="I57" i="21" s="1"/>
  <c r="J55" i="21"/>
  <c r="K55" i="21"/>
  <c r="D56" i="21"/>
  <c r="E56" i="21"/>
  <c r="F56" i="21"/>
  <c r="G56" i="21"/>
  <c r="H56" i="21"/>
  <c r="I56" i="21"/>
  <c r="J56" i="21"/>
  <c r="K56" i="21"/>
  <c r="C56" i="21"/>
  <c r="C57" i="21" s="1"/>
  <c r="C55" i="21"/>
  <c r="C42" i="21"/>
  <c r="D42" i="21"/>
  <c r="E42" i="21"/>
  <c r="F42" i="21"/>
  <c r="G42" i="21"/>
  <c r="H42" i="21"/>
  <c r="I42" i="21"/>
  <c r="J42" i="21"/>
  <c r="K42" i="21"/>
  <c r="D41" i="21"/>
  <c r="D43" i="21" s="1"/>
  <c r="E41" i="21"/>
  <c r="E43" i="21" s="1"/>
  <c r="F41" i="21"/>
  <c r="F43" i="21" s="1"/>
  <c r="G41" i="21"/>
  <c r="G43" i="21" s="1"/>
  <c r="H41" i="21"/>
  <c r="H43" i="21" s="1"/>
  <c r="I41" i="21"/>
  <c r="I43" i="21" s="1"/>
  <c r="J41" i="21"/>
  <c r="J43" i="21" s="1"/>
  <c r="K41" i="21"/>
  <c r="K43" i="21" s="1"/>
  <c r="C41" i="21"/>
  <c r="C43" i="21" s="1"/>
  <c r="L23" i="21"/>
  <c r="D28" i="21" s="1"/>
  <c r="D29" i="21" s="1"/>
  <c r="L7" i="21"/>
  <c r="E15" i="21" s="1"/>
  <c r="L8" i="21"/>
  <c r="D16" i="21" s="1"/>
  <c r="D17" i="21" s="1"/>
  <c r="L6" i="21"/>
  <c r="D14" i="21" s="1"/>
  <c r="L57" i="21"/>
  <c r="L43" i="21"/>
  <c r="L17" i="21"/>
  <c r="D357" i="12"/>
  <c r="C357" i="12"/>
  <c r="D347" i="12"/>
  <c r="C347" i="12"/>
  <c r="F332" i="12"/>
  <c r="E332" i="12"/>
  <c r="D332" i="12"/>
  <c r="C332" i="12"/>
  <c r="D320" i="12"/>
  <c r="E320" i="12"/>
  <c r="F320" i="12"/>
  <c r="C320" i="12"/>
  <c r="C307" i="12"/>
  <c r="C297" i="12"/>
  <c r="G278" i="12"/>
  <c r="F278" i="12"/>
  <c r="E278" i="12"/>
  <c r="D278" i="12"/>
  <c r="C278" i="12"/>
  <c r="F262" i="12"/>
  <c r="G262" i="12"/>
  <c r="E262" i="12"/>
  <c r="D262" i="12"/>
  <c r="C262" i="12"/>
  <c r="E247" i="12"/>
  <c r="D247" i="12"/>
  <c r="C247" i="12"/>
  <c r="E235" i="12"/>
  <c r="D235" i="12"/>
  <c r="C235" i="12"/>
  <c r="E220" i="12"/>
  <c r="D220" i="12"/>
  <c r="C220" i="12"/>
  <c r="D207" i="12"/>
  <c r="E207" i="12"/>
  <c r="C207" i="12"/>
  <c r="F195" i="12"/>
  <c r="E195" i="12"/>
  <c r="D195" i="12"/>
  <c r="C195" i="12"/>
  <c r="F186" i="12"/>
  <c r="E186" i="12"/>
  <c r="D186" i="12"/>
  <c r="C186" i="12"/>
  <c r="E171" i="12"/>
  <c r="D171" i="12"/>
  <c r="C171" i="12"/>
  <c r="E159" i="12"/>
  <c r="D159" i="12"/>
  <c r="C159" i="12"/>
  <c r="D144" i="12"/>
  <c r="C144" i="12"/>
  <c r="D132" i="12"/>
  <c r="C132" i="12"/>
  <c r="D116" i="12"/>
  <c r="C116" i="12"/>
  <c r="D103" i="12"/>
  <c r="C103" i="12"/>
  <c r="D85" i="12"/>
  <c r="C85" i="12"/>
  <c r="D69" i="12"/>
  <c r="C69" i="12"/>
  <c r="C52" i="12"/>
  <c r="C38" i="12"/>
  <c r="E22" i="12"/>
  <c r="D22" i="12"/>
  <c r="C22" i="12"/>
  <c r="E9" i="12"/>
  <c r="D9" i="12"/>
  <c r="C9" i="12"/>
  <c r="E349" i="12"/>
  <c r="E350" i="12"/>
  <c r="E351" i="12"/>
  <c r="E352" i="12"/>
  <c r="E348" i="12"/>
  <c r="G322" i="12"/>
  <c r="G323" i="12"/>
  <c r="G324" i="12"/>
  <c r="G325" i="12"/>
  <c r="G326" i="12"/>
  <c r="G327" i="12"/>
  <c r="G321" i="12"/>
  <c r="D299" i="12"/>
  <c r="C299" i="12" s="1"/>
  <c r="D300" i="12"/>
  <c r="C300" i="12" s="1"/>
  <c r="D301" i="12"/>
  <c r="C301" i="12" s="1"/>
  <c r="D302" i="12"/>
  <c r="C302" i="12" s="1"/>
  <c r="D298" i="12"/>
  <c r="C298" i="12" s="1"/>
  <c r="H264" i="12"/>
  <c r="H265" i="12"/>
  <c r="H266" i="12"/>
  <c r="H267" i="12"/>
  <c r="H268" i="12"/>
  <c r="H269" i="12"/>
  <c r="H270" i="12"/>
  <c r="H271" i="12"/>
  <c r="H272" i="12"/>
  <c r="C272" i="12" s="1"/>
  <c r="H273" i="12"/>
  <c r="H263" i="12"/>
  <c r="F237" i="12"/>
  <c r="F238" i="12"/>
  <c r="D238" i="12" s="1"/>
  <c r="F239" i="12"/>
  <c r="C239" i="12" s="1"/>
  <c r="F240" i="12"/>
  <c r="F241" i="12"/>
  <c r="F242" i="12"/>
  <c r="F236" i="12"/>
  <c r="F209" i="12"/>
  <c r="F210" i="12"/>
  <c r="F211" i="12"/>
  <c r="F212" i="12"/>
  <c r="F213" i="12"/>
  <c r="F214" i="12"/>
  <c r="F215" i="12"/>
  <c r="F208" i="12"/>
  <c r="G188" i="12"/>
  <c r="G189" i="12"/>
  <c r="G190" i="12"/>
  <c r="G187" i="12"/>
  <c r="F161" i="12"/>
  <c r="F162" i="12"/>
  <c r="F163" i="12"/>
  <c r="F164" i="12"/>
  <c r="F165" i="12"/>
  <c r="F166" i="12"/>
  <c r="F160" i="12"/>
  <c r="E134" i="12"/>
  <c r="E135" i="12"/>
  <c r="E136" i="12"/>
  <c r="E137" i="12"/>
  <c r="E138" i="12"/>
  <c r="E139" i="12"/>
  <c r="E133" i="12"/>
  <c r="E105" i="12"/>
  <c r="C105" i="12" s="1"/>
  <c r="E106" i="12"/>
  <c r="E107" i="12"/>
  <c r="E108" i="12"/>
  <c r="D108" i="12" s="1"/>
  <c r="E109" i="12"/>
  <c r="C109" i="12" s="1"/>
  <c r="E110" i="12"/>
  <c r="E111" i="12"/>
  <c r="D111" i="12" s="1"/>
  <c r="E104" i="12"/>
  <c r="E71" i="12"/>
  <c r="E72" i="12"/>
  <c r="D72" i="12" s="1"/>
  <c r="E73" i="12"/>
  <c r="D73" i="12" s="1"/>
  <c r="E74" i="12"/>
  <c r="D74" i="12" s="1"/>
  <c r="E75" i="12"/>
  <c r="D75" i="12" s="1"/>
  <c r="E76" i="12"/>
  <c r="C76" i="12" s="1"/>
  <c r="E77" i="12"/>
  <c r="C77" i="12" s="1"/>
  <c r="E78" i="12"/>
  <c r="D78" i="12" s="1"/>
  <c r="E79" i="12"/>
  <c r="D79" i="12" s="1"/>
  <c r="E80" i="12"/>
  <c r="D80" i="12" s="1"/>
  <c r="E70" i="12"/>
  <c r="D40" i="12"/>
  <c r="C40" i="12" s="1"/>
  <c r="D41" i="12"/>
  <c r="C41" i="12" s="1"/>
  <c r="D42" i="12"/>
  <c r="C42" i="12" s="1"/>
  <c r="D43" i="12"/>
  <c r="C43" i="12" s="1"/>
  <c r="D44" i="12"/>
  <c r="C44" i="12" s="1"/>
  <c r="D45" i="12"/>
  <c r="C45" i="12" s="1"/>
  <c r="D46" i="12"/>
  <c r="C46" i="12" s="1"/>
  <c r="D47" i="12"/>
  <c r="C47" i="12" s="1"/>
  <c r="D39" i="12"/>
  <c r="C39" i="12" s="1"/>
  <c r="F11" i="12"/>
  <c r="E11" i="12" s="1"/>
  <c r="F12" i="12"/>
  <c r="F13" i="12"/>
  <c r="F14" i="12"/>
  <c r="F15" i="12"/>
  <c r="C15" i="12" s="1"/>
  <c r="F16" i="12"/>
  <c r="F17" i="12"/>
  <c r="F10" i="12"/>
  <c r="D10" i="12" s="1"/>
  <c r="T18" i="23" l="1"/>
  <c r="H57" i="21"/>
  <c r="G57" i="21"/>
  <c r="F57" i="21"/>
  <c r="T7" i="23"/>
  <c r="D57" i="21"/>
  <c r="D93" i="21"/>
  <c r="U28" i="23" s="1"/>
  <c r="K57" i="21"/>
  <c r="J57" i="21"/>
  <c r="X4" i="38"/>
  <c r="D9" i="23"/>
  <c r="T11" i="23"/>
  <c r="E268" i="12"/>
  <c r="D268" i="12"/>
  <c r="E326" i="12"/>
  <c r="F326" i="12"/>
  <c r="C326" i="12"/>
  <c r="C238" i="12"/>
  <c r="C104" i="12"/>
  <c r="D104" i="12"/>
  <c r="F272" i="12"/>
  <c r="C107" i="12"/>
  <c r="D107" i="12"/>
  <c r="E321" i="12"/>
  <c r="D321" i="12"/>
  <c r="C321" i="12"/>
  <c r="E10" i="12"/>
  <c r="F269" i="12"/>
  <c r="E269" i="12"/>
  <c r="C111" i="12"/>
  <c r="D326" i="12"/>
  <c r="D71" i="21"/>
  <c r="D68" i="21" s="1"/>
  <c r="I28" i="22" s="1"/>
  <c r="D15" i="21"/>
  <c r="E16" i="21"/>
  <c r="E17" i="21" s="1"/>
  <c r="K16" i="21"/>
  <c r="K17" i="21" s="1"/>
  <c r="C16" i="21"/>
  <c r="C17" i="21" s="1"/>
  <c r="K28" i="21"/>
  <c r="K29" i="21" s="1"/>
  <c r="G16" i="21"/>
  <c r="G17" i="21" s="1"/>
  <c r="D94" i="21" s="1"/>
  <c r="D92" i="21" s="1"/>
  <c r="U27" i="23" s="1"/>
  <c r="I16" i="21"/>
  <c r="I17" i="21" s="1"/>
  <c r="H15" i="21"/>
  <c r="G28" i="21"/>
  <c r="G29" i="21" s="1"/>
  <c r="K14" i="21"/>
  <c r="J14" i="21"/>
  <c r="F14" i="21"/>
  <c r="J16" i="21"/>
  <c r="J17" i="21" s="1"/>
  <c r="F16" i="21"/>
  <c r="F17" i="21" s="1"/>
  <c r="K15" i="21"/>
  <c r="G15" i="21"/>
  <c r="C15" i="21"/>
  <c r="J28" i="21"/>
  <c r="J29" i="21" s="1"/>
  <c r="F28" i="21"/>
  <c r="F29" i="21" s="1"/>
  <c r="E28" i="21"/>
  <c r="E29" i="21" s="1"/>
  <c r="D79" i="21" s="1"/>
  <c r="G14" i="21"/>
  <c r="I14" i="21"/>
  <c r="E14" i="21"/>
  <c r="J15" i="21"/>
  <c r="F15" i="21"/>
  <c r="I28" i="21"/>
  <c r="I29" i="21" s="1"/>
  <c r="D107" i="21" s="1"/>
  <c r="C14" i="21"/>
  <c r="H14" i="21"/>
  <c r="H16" i="21"/>
  <c r="H17" i="21" s="1"/>
  <c r="D103" i="21" s="1"/>
  <c r="I15" i="21"/>
  <c r="C28" i="21"/>
  <c r="C29" i="21" s="1"/>
  <c r="H28" i="21"/>
  <c r="H29" i="21" s="1"/>
  <c r="C163" i="12"/>
  <c r="D163" i="12"/>
  <c r="E17" i="12"/>
  <c r="D17" i="12"/>
  <c r="E237" i="12"/>
  <c r="C237" i="12"/>
  <c r="E13" i="12"/>
  <c r="E163" i="12"/>
  <c r="D237" i="12"/>
  <c r="C11" i="12"/>
  <c r="C74" i="12"/>
  <c r="D105" i="12"/>
  <c r="E239" i="12"/>
  <c r="G268" i="12"/>
  <c r="C268" i="12"/>
  <c r="D269" i="12"/>
  <c r="E272" i="12"/>
  <c r="C10" i="12"/>
  <c r="C12" i="12" s="1"/>
  <c r="E238" i="12"/>
  <c r="D239" i="12"/>
  <c r="F268" i="12"/>
  <c r="G269" i="12"/>
  <c r="C269" i="12"/>
  <c r="D272" i="12"/>
  <c r="G272" i="12"/>
  <c r="E16" i="12"/>
  <c r="E12" i="12"/>
  <c r="D13" i="12"/>
  <c r="D16" i="12"/>
  <c r="D12" i="12"/>
  <c r="D108" i="21" l="1"/>
  <c r="U34" i="23"/>
  <c r="D99" i="21"/>
  <c r="U30" i="23" s="1"/>
  <c r="D100" i="21"/>
  <c r="U31" i="23" s="1"/>
  <c r="D101" i="21"/>
  <c r="U32" i="23" s="1"/>
  <c r="D102" i="21"/>
  <c r="U33" i="23" s="1"/>
  <c r="D116" i="21"/>
  <c r="D91" i="21"/>
  <c r="U26" i="23" s="1"/>
  <c r="D98" i="21"/>
  <c r="U29" i="23" s="1"/>
  <c r="D86" i="21"/>
  <c r="D122" i="21"/>
  <c r="D64" i="21"/>
  <c r="T9" i="23"/>
  <c r="D13" i="23"/>
  <c r="C323" i="12"/>
  <c r="E323" i="12"/>
  <c r="C13" i="12"/>
  <c r="D323" i="12"/>
  <c r="F321" i="12"/>
  <c r="D85" i="21"/>
  <c r="I64" i="22" s="1"/>
  <c r="D83" i="21"/>
  <c r="I62" i="22" s="1"/>
  <c r="I65" i="22" s="1"/>
  <c r="D84" i="21"/>
  <c r="I63" i="22" s="1"/>
  <c r="D77" i="21"/>
  <c r="I47" i="22" s="1"/>
  <c r="D76" i="21"/>
  <c r="I46" i="22" s="1"/>
  <c r="D78" i="21"/>
  <c r="I48" i="22" s="1"/>
  <c r="D75" i="21"/>
  <c r="I45" i="22" s="1"/>
  <c r="D63" i="21"/>
  <c r="I15" i="22" s="1"/>
  <c r="D62" i="21"/>
  <c r="I14" i="22" s="1"/>
  <c r="D70" i="21"/>
  <c r="I30" i="22" s="1"/>
  <c r="D69" i="21"/>
  <c r="I29" i="22" s="1"/>
  <c r="I31" i="22" s="1"/>
  <c r="C16" i="12"/>
  <c r="D113" i="21" l="1"/>
  <c r="U36" i="23" s="1"/>
  <c r="U41" i="23" s="1"/>
  <c r="D114" i="21"/>
  <c r="U37" i="23" s="1"/>
  <c r="D115" i="21"/>
  <c r="U38" i="23" s="1"/>
  <c r="D112" i="21"/>
  <c r="U35" i="23" s="1"/>
  <c r="I16" i="22"/>
  <c r="D121" i="21"/>
  <c r="U40" i="23" s="1"/>
  <c r="D120" i="21"/>
  <c r="U39" i="23" s="1"/>
  <c r="I49" i="22"/>
  <c r="T13" i="23"/>
  <c r="D14" i="23"/>
  <c r="T14" i="23" s="1"/>
  <c r="F323" i="12"/>
  <c r="A359" i="12" l="1"/>
  <c r="A360" i="12"/>
  <c r="A361" i="12"/>
  <c r="A362" i="12"/>
  <c r="B362" i="12" s="1"/>
  <c r="A358" i="12"/>
  <c r="B349" i="12"/>
  <c r="B350" i="12"/>
  <c r="B351" i="12"/>
  <c r="B352" i="12"/>
  <c r="B348" i="12"/>
  <c r="A334" i="12"/>
  <c r="A335" i="12"/>
  <c r="A336" i="12"/>
  <c r="A337" i="12"/>
  <c r="A338" i="12"/>
  <c r="A339" i="12"/>
  <c r="A333" i="12"/>
  <c r="B322" i="12"/>
  <c r="B323" i="12"/>
  <c r="B324" i="12"/>
  <c r="B325" i="12"/>
  <c r="B326" i="12"/>
  <c r="B327" i="12"/>
  <c r="B321" i="12"/>
  <c r="A309" i="12"/>
  <c r="A310" i="12"/>
  <c r="A311" i="12"/>
  <c r="A312" i="12"/>
  <c r="A308" i="12"/>
  <c r="B299" i="12"/>
  <c r="B300" i="12"/>
  <c r="B301" i="12"/>
  <c r="B302" i="12"/>
  <c r="B298" i="12"/>
  <c r="A280" i="12"/>
  <c r="A281" i="12"/>
  <c r="A282" i="12"/>
  <c r="A283" i="12"/>
  <c r="A284" i="12"/>
  <c r="A285" i="12"/>
  <c r="A286" i="12"/>
  <c r="A287" i="12"/>
  <c r="A288" i="12"/>
  <c r="A289" i="12"/>
  <c r="A279" i="12"/>
  <c r="B264" i="12"/>
  <c r="B265" i="12"/>
  <c r="B266" i="12"/>
  <c r="B267" i="12"/>
  <c r="B268" i="12"/>
  <c r="B269" i="12"/>
  <c r="B270" i="12"/>
  <c r="B271" i="12"/>
  <c r="B272" i="12"/>
  <c r="B273" i="12"/>
  <c r="B263" i="12"/>
  <c r="A249" i="12"/>
  <c r="A250" i="12"/>
  <c r="A251" i="12"/>
  <c r="A252" i="12"/>
  <c r="A253" i="12"/>
  <c r="A254" i="12"/>
  <c r="A248" i="12"/>
  <c r="B237" i="12"/>
  <c r="B238" i="12"/>
  <c r="B239" i="12"/>
  <c r="B240" i="12"/>
  <c r="B241" i="12"/>
  <c r="B242" i="12"/>
  <c r="B236" i="12"/>
  <c r="A222" i="12"/>
  <c r="A223" i="12"/>
  <c r="A224" i="12"/>
  <c r="A225" i="12"/>
  <c r="A226" i="12"/>
  <c r="A227" i="12"/>
  <c r="A228" i="12"/>
  <c r="A221" i="12"/>
  <c r="B209" i="12"/>
  <c r="B210" i="12"/>
  <c r="B211" i="12"/>
  <c r="B212" i="12"/>
  <c r="B213" i="12"/>
  <c r="B214" i="12"/>
  <c r="B215" i="12"/>
  <c r="B208" i="12"/>
  <c r="A197" i="12"/>
  <c r="A198" i="12"/>
  <c r="A199" i="12"/>
  <c r="A196" i="12"/>
  <c r="B188" i="12"/>
  <c r="B189" i="12"/>
  <c r="B190" i="12"/>
  <c r="B187" i="12"/>
  <c r="A173" i="12"/>
  <c r="A174" i="12"/>
  <c r="A175" i="12"/>
  <c r="A176" i="12"/>
  <c r="A177" i="12"/>
  <c r="A178" i="12"/>
  <c r="A172" i="12"/>
  <c r="B161" i="12"/>
  <c r="B162" i="12"/>
  <c r="B163" i="12"/>
  <c r="B164" i="12"/>
  <c r="B165" i="12"/>
  <c r="B166" i="12"/>
  <c r="B160" i="12"/>
  <c r="A146" i="12"/>
  <c r="A147" i="12"/>
  <c r="A148" i="12"/>
  <c r="A149" i="12"/>
  <c r="A150" i="12"/>
  <c r="A151" i="12"/>
  <c r="A145" i="12"/>
  <c r="B134" i="12"/>
  <c r="B135" i="12"/>
  <c r="B136" i="12"/>
  <c r="B137" i="12"/>
  <c r="B138" i="12"/>
  <c r="B139" i="12"/>
  <c r="B133" i="12"/>
  <c r="A118" i="12"/>
  <c r="A119" i="12"/>
  <c r="A120" i="12"/>
  <c r="A121" i="12"/>
  <c r="A122" i="12"/>
  <c r="A123" i="12"/>
  <c r="A124" i="12"/>
  <c r="A117" i="12"/>
  <c r="B105" i="12"/>
  <c r="B106" i="12"/>
  <c r="B107" i="12"/>
  <c r="B108" i="12"/>
  <c r="B109" i="12"/>
  <c r="B110" i="12"/>
  <c r="B111" i="12"/>
  <c r="B104" i="12"/>
  <c r="A87" i="12"/>
  <c r="A88" i="12"/>
  <c r="A89" i="12"/>
  <c r="A90" i="12"/>
  <c r="A91" i="12"/>
  <c r="A92" i="12"/>
  <c r="A93" i="12"/>
  <c r="A94" i="12"/>
  <c r="A95" i="12"/>
  <c r="A96" i="12"/>
  <c r="A86" i="12"/>
  <c r="B71" i="12"/>
  <c r="B72" i="12"/>
  <c r="B73" i="12"/>
  <c r="B74" i="12"/>
  <c r="B75" i="12"/>
  <c r="B76" i="12"/>
  <c r="B77" i="12"/>
  <c r="B78" i="12"/>
  <c r="B79" i="12"/>
  <c r="B80" i="12"/>
  <c r="B70" i="12"/>
  <c r="A54" i="12"/>
  <c r="A55" i="12"/>
  <c r="A56" i="12"/>
  <c r="A57" i="12"/>
  <c r="A58" i="12"/>
  <c r="A59" i="12"/>
  <c r="A60" i="12"/>
  <c r="A61" i="12"/>
  <c r="A53" i="12"/>
  <c r="B40" i="12"/>
  <c r="B41" i="12"/>
  <c r="B42" i="12"/>
  <c r="B43" i="12"/>
  <c r="B44" i="12"/>
  <c r="B45" i="12"/>
  <c r="B46" i="12"/>
  <c r="B47" i="12"/>
  <c r="B39" i="12"/>
  <c r="A24" i="12"/>
  <c r="A25" i="12"/>
  <c r="A26" i="12"/>
  <c r="A27" i="12"/>
  <c r="A28" i="12"/>
  <c r="A29" i="12"/>
  <c r="A30" i="12"/>
  <c r="A23" i="12"/>
  <c r="B11" i="12"/>
  <c r="B12" i="12"/>
  <c r="B13" i="12"/>
  <c r="B14" i="12"/>
  <c r="B15" i="12"/>
  <c r="B16" i="12"/>
  <c r="B17" i="12"/>
  <c r="B10" i="12"/>
  <c r="J57" i="3"/>
  <c r="D65" i="3"/>
  <c r="J65" i="3"/>
  <c r="L65" i="3"/>
  <c r="C68" i="3"/>
  <c r="K68" i="3"/>
  <c r="F69" i="3"/>
  <c r="N69" i="3"/>
  <c r="D41" i="3"/>
  <c r="J41" i="3"/>
  <c r="L41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6" i="3"/>
  <c r="P6" i="3"/>
  <c r="I41" i="3" s="1"/>
  <c r="P7" i="3"/>
  <c r="C42" i="3" s="1"/>
  <c r="P8" i="3"/>
  <c r="E43" i="3" s="1"/>
  <c r="P9" i="3"/>
  <c r="H44" i="3" s="1"/>
  <c r="P10" i="3"/>
  <c r="C45" i="3" s="1"/>
  <c r="P11" i="3"/>
  <c r="E46" i="3" s="1"/>
  <c r="P12" i="3"/>
  <c r="C47" i="3" s="1"/>
  <c r="P13" i="3"/>
  <c r="F48" i="3" s="1"/>
  <c r="P14" i="3"/>
  <c r="I49" i="3" s="1"/>
  <c r="P15" i="3"/>
  <c r="D50" i="3" s="1"/>
  <c r="P16" i="3"/>
  <c r="G51" i="3" s="1"/>
  <c r="P17" i="3"/>
  <c r="J52" i="3" s="1"/>
  <c r="P18" i="3"/>
  <c r="E53" i="3" s="1"/>
  <c r="P19" i="3"/>
  <c r="H54" i="3" s="1"/>
  <c r="P20" i="3"/>
  <c r="C55" i="3" s="1"/>
  <c r="P21" i="3"/>
  <c r="F56" i="3" s="1"/>
  <c r="P22" i="3"/>
  <c r="I57" i="3" s="1"/>
  <c r="P23" i="3"/>
  <c r="D58" i="3" s="1"/>
  <c r="P24" i="3"/>
  <c r="G59" i="3" s="1"/>
  <c r="P25" i="3"/>
  <c r="J60" i="3" s="1"/>
  <c r="P26" i="3"/>
  <c r="E61" i="3" s="1"/>
  <c r="P27" i="3"/>
  <c r="H62" i="3" s="1"/>
  <c r="P28" i="3"/>
  <c r="C63" i="3" s="1"/>
  <c r="P29" i="3"/>
  <c r="F64" i="3" s="1"/>
  <c r="P30" i="3"/>
  <c r="I65" i="3" s="1"/>
  <c r="P31" i="3"/>
  <c r="D66" i="3" s="1"/>
  <c r="P32" i="3"/>
  <c r="G67" i="3" s="1"/>
  <c r="P33" i="3"/>
  <c r="J68" i="3" s="1"/>
  <c r="P34" i="3"/>
  <c r="E69" i="3" s="1"/>
  <c r="E66" i="3" l="1"/>
  <c r="H41" i="3"/>
  <c r="L69" i="3"/>
  <c r="D69" i="3"/>
  <c r="I68" i="3"/>
  <c r="N67" i="3"/>
  <c r="F67" i="3"/>
  <c r="K66" i="3"/>
  <c r="C66" i="3"/>
  <c r="H65" i="3"/>
  <c r="M64" i="3"/>
  <c r="E64" i="3"/>
  <c r="J63" i="3"/>
  <c r="O62" i="3"/>
  <c r="G62" i="3"/>
  <c r="L61" i="3"/>
  <c r="D61" i="3"/>
  <c r="I60" i="3"/>
  <c r="N59" i="3"/>
  <c r="F59" i="3"/>
  <c r="K58" i="3"/>
  <c r="C58" i="3"/>
  <c r="H57" i="3"/>
  <c r="M56" i="3"/>
  <c r="E56" i="3"/>
  <c r="J55" i="3"/>
  <c r="O54" i="3"/>
  <c r="G54" i="3"/>
  <c r="L53" i="3"/>
  <c r="D53" i="3"/>
  <c r="I52" i="3"/>
  <c r="N51" i="3"/>
  <c r="F51" i="3"/>
  <c r="K50" i="3"/>
  <c r="C50" i="3"/>
  <c r="H49" i="3"/>
  <c r="M48" i="3"/>
  <c r="E48" i="3"/>
  <c r="J47" i="3"/>
  <c r="L46" i="3"/>
  <c r="J45" i="3"/>
  <c r="O44" i="3"/>
  <c r="G44" i="3"/>
  <c r="L43" i="3"/>
  <c r="D43" i="3"/>
  <c r="O41" i="3"/>
  <c r="G41" i="3"/>
  <c r="E145" i="12" s="1"/>
  <c r="K69" i="3"/>
  <c r="C69" i="3"/>
  <c r="H68" i="3"/>
  <c r="M67" i="3"/>
  <c r="E67" i="3"/>
  <c r="J66" i="3"/>
  <c r="O65" i="3"/>
  <c r="G65" i="3"/>
  <c r="E150" i="12" s="1"/>
  <c r="L64" i="3"/>
  <c r="D64" i="3"/>
  <c r="I63" i="3"/>
  <c r="N62" i="3"/>
  <c r="F62" i="3"/>
  <c r="K61" i="3"/>
  <c r="C61" i="3"/>
  <c r="H60" i="3"/>
  <c r="M59" i="3"/>
  <c r="E59" i="3"/>
  <c r="J58" i="3"/>
  <c r="O57" i="3"/>
  <c r="G57" i="3"/>
  <c r="L56" i="3"/>
  <c r="D56" i="3"/>
  <c r="I55" i="3"/>
  <c r="N54" i="3"/>
  <c r="F54" i="3"/>
  <c r="K53" i="3"/>
  <c r="C53" i="3"/>
  <c r="H52" i="3"/>
  <c r="M51" i="3"/>
  <c r="E51" i="3"/>
  <c r="J50" i="3"/>
  <c r="F223" i="12" s="1"/>
  <c r="O49" i="3"/>
  <c r="G49" i="3"/>
  <c r="L48" i="3"/>
  <c r="D48" i="3"/>
  <c r="I47" i="3"/>
  <c r="H46" i="3"/>
  <c r="I45" i="3"/>
  <c r="N44" i="3"/>
  <c r="F44" i="3"/>
  <c r="K43" i="3"/>
  <c r="C43" i="3"/>
  <c r="N41" i="3"/>
  <c r="F41" i="3"/>
  <c r="J69" i="3"/>
  <c r="O68" i="3"/>
  <c r="G68" i="3"/>
  <c r="L67" i="3"/>
  <c r="D67" i="3"/>
  <c r="I66" i="3"/>
  <c r="N65" i="3"/>
  <c r="F65" i="3"/>
  <c r="K64" i="3"/>
  <c r="C64" i="3"/>
  <c r="H63" i="3"/>
  <c r="M62" i="3"/>
  <c r="E62" i="3"/>
  <c r="J61" i="3"/>
  <c r="O60" i="3"/>
  <c r="G60" i="3"/>
  <c r="L59" i="3"/>
  <c r="D59" i="3"/>
  <c r="I58" i="3"/>
  <c r="N57" i="3"/>
  <c r="F57" i="3"/>
  <c r="K56" i="3"/>
  <c r="C56" i="3"/>
  <c r="H55" i="3"/>
  <c r="M54" i="3"/>
  <c r="E54" i="3"/>
  <c r="J53" i="3"/>
  <c r="O52" i="3"/>
  <c r="G52" i="3"/>
  <c r="L51" i="3"/>
  <c r="D51" i="3"/>
  <c r="I50" i="3"/>
  <c r="N49" i="3"/>
  <c r="F49" i="3"/>
  <c r="K48" i="3"/>
  <c r="C48" i="3"/>
  <c r="H47" i="3"/>
  <c r="D46" i="3"/>
  <c r="H45" i="3"/>
  <c r="M44" i="3"/>
  <c r="E44" i="3"/>
  <c r="J43" i="3"/>
  <c r="N42" i="3"/>
  <c r="M41" i="3"/>
  <c r="E41" i="3"/>
  <c r="I69" i="3"/>
  <c r="N68" i="3"/>
  <c r="F68" i="3"/>
  <c r="K67" i="3"/>
  <c r="C67" i="3"/>
  <c r="H66" i="3"/>
  <c r="F178" i="12" s="1"/>
  <c r="M65" i="3"/>
  <c r="E65" i="3"/>
  <c r="J64" i="3"/>
  <c r="O63" i="3"/>
  <c r="G63" i="3"/>
  <c r="L62" i="3"/>
  <c r="D62" i="3"/>
  <c r="I61" i="3"/>
  <c r="N60" i="3"/>
  <c r="F60" i="3"/>
  <c r="K59" i="3"/>
  <c r="C59" i="3"/>
  <c r="H58" i="3"/>
  <c r="M57" i="3"/>
  <c r="E57" i="3"/>
  <c r="J56" i="3"/>
  <c r="O55" i="3"/>
  <c r="G55" i="3"/>
  <c r="L54" i="3"/>
  <c r="D54" i="3"/>
  <c r="I53" i="3"/>
  <c r="N52" i="3"/>
  <c r="F52" i="3"/>
  <c r="K51" i="3"/>
  <c r="F250" i="12" s="1"/>
  <c r="C51" i="3"/>
  <c r="H50" i="3"/>
  <c r="M49" i="3"/>
  <c r="E49" i="3"/>
  <c r="J48" i="3"/>
  <c r="O47" i="3"/>
  <c r="G47" i="3"/>
  <c r="O45" i="3"/>
  <c r="G45" i="3"/>
  <c r="L44" i="3"/>
  <c r="D44" i="3"/>
  <c r="I43" i="3"/>
  <c r="J42" i="3"/>
  <c r="H69" i="3"/>
  <c r="M68" i="3"/>
  <c r="E68" i="3"/>
  <c r="J67" i="3"/>
  <c r="O66" i="3"/>
  <c r="G66" i="3"/>
  <c r="I64" i="3"/>
  <c r="N63" i="3"/>
  <c r="F63" i="3"/>
  <c r="K62" i="3"/>
  <c r="C62" i="3"/>
  <c r="H61" i="3"/>
  <c r="M60" i="3"/>
  <c r="E60" i="3"/>
  <c r="J59" i="3"/>
  <c r="O58" i="3"/>
  <c r="G58" i="3"/>
  <c r="L57" i="3"/>
  <c r="D57" i="3"/>
  <c r="I56" i="3"/>
  <c r="N55" i="3"/>
  <c r="F55" i="3"/>
  <c r="K54" i="3"/>
  <c r="C54" i="3"/>
  <c r="H53" i="3"/>
  <c r="M52" i="3"/>
  <c r="E52" i="3"/>
  <c r="E90" i="12" s="1"/>
  <c r="J51" i="3"/>
  <c r="O50" i="3"/>
  <c r="G50" i="3"/>
  <c r="L49" i="3"/>
  <c r="D49" i="3"/>
  <c r="I48" i="3"/>
  <c r="N47" i="3"/>
  <c r="F47" i="3"/>
  <c r="N45" i="3"/>
  <c r="F45" i="3"/>
  <c r="K44" i="3"/>
  <c r="C44" i="3"/>
  <c r="H43" i="3"/>
  <c r="F42" i="3"/>
  <c r="E362" i="12"/>
  <c r="C362" i="12" s="1"/>
  <c r="K41" i="3"/>
  <c r="O69" i="3"/>
  <c r="G69" i="3"/>
  <c r="L68" i="3"/>
  <c r="D68" i="3"/>
  <c r="I67" i="3"/>
  <c r="N66" i="3"/>
  <c r="F66" i="3"/>
  <c r="K65" i="3"/>
  <c r="F252" i="12" s="1"/>
  <c r="C65" i="3"/>
  <c r="H64" i="3"/>
  <c r="M63" i="3"/>
  <c r="E63" i="3"/>
  <c r="J62" i="3"/>
  <c r="O61" i="3"/>
  <c r="G61" i="3"/>
  <c r="L60" i="3"/>
  <c r="H287" i="12" s="1"/>
  <c r="D60" i="3"/>
  <c r="I59" i="3"/>
  <c r="N58" i="3"/>
  <c r="F58" i="3"/>
  <c r="K57" i="3"/>
  <c r="C57" i="3"/>
  <c r="H56" i="3"/>
  <c r="M55" i="3"/>
  <c r="E55" i="3"/>
  <c r="J54" i="3"/>
  <c r="O53" i="3"/>
  <c r="G53" i="3"/>
  <c r="L52" i="3"/>
  <c r="D52" i="3"/>
  <c r="I51" i="3"/>
  <c r="N50" i="3"/>
  <c r="G335" i="12" s="1"/>
  <c r="F50" i="3"/>
  <c r="K49" i="3"/>
  <c r="C49" i="3"/>
  <c r="H48" i="3"/>
  <c r="M47" i="3"/>
  <c r="E47" i="3"/>
  <c r="M45" i="3"/>
  <c r="E45" i="3"/>
  <c r="J44" i="3"/>
  <c r="O43" i="3"/>
  <c r="G43" i="3"/>
  <c r="H67" i="3"/>
  <c r="O64" i="3"/>
  <c r="G64" i="3"/>
  <c r="L63" i="3"/>
  <c r="D63" i="3"/>
  <c r="I62" i="3"/>
  <c r="N61" i="3"/>
  <c r="F61" i="3"/>
  <c r="K60" i="3"/>
  <c r="C60" i="3"/>
  <c r="H59" i="3"/>
  <c r="M58" i="3"/>
  <c r="E58" i="3"/>
  <c r="O56" i="3"/>
  <c r="G56" i="3"/>
  <c r="L55" i="3"/>
  <c r="D55" i="3"/>
  <c r="I54" i="3"/>
  <c r="N53" i="3"/>
  <c r="F53" i="3"/>
  <c r="K52" i="3"/>
  <c r="C52" i="3"/>
  <c r="H51" i="3"/>
  <c r="M50" i="3"/>
  <c r="E50" i="3"/>
  <c r="J49" i="3"/>
  <c r="O48" i="3"/>
  <c r="G48" i="3"/>
  <c r="L47" i="3"/>
  <c r="H281" i="12" s="1"/>
  <c r="D47" i="3"/>
  <c r="L45" i="3"/>
  <c r="D45" i="3"/>
  <c r="I44" i="3"/>
  <c r="N43" i="3"/>
  <c r="F43" i="3"/>
  <c r="E360" i="12"/>
  <c r="C360" i="12" s="1"/>
  <c r="M66" i="3"/>
  <c r="M69" i="3"/>
  <c r="O67" i="3"/>
  <c r="L66" i="3"/>
  <c r="N64" i="3"/>
  <c r="K63" i="3"/>
  <c r="M61" i="3"/>
  <c r="O59" i="3"/>
  <c r="L58" i="3"/>
  <c r="N56" i="3"/>
  <c r="K55" i="3"/>
  <c r="M53" i="3"/>
  <c r="O51" i="3"/>
  <c r="L50" i="3"/>
  <c r="N48" i="3"/>
  <c r="K47" i="3"/>
  <c r="K45" i="3"/>
  <c r="M43" i="3"/>
  <c r="G46" i="3"/>
  <c r="O46" i="3"/>
  <c r="K46" i="3"/>
  <c r="C46" i="3"/>
  <c r="N46" i="3"/>
  <c r="J46" i="3"/>
  <c r="F46" i="3"/>
  <c r="M46" i="3"/>
  <c r="I46" i="3"/>
  <c r="B27" i="12"/>
  <c r="F27" i="12"/>
  <c r="B94" i="12"/>
  <c r="E94" i="12"/>
  <c r="B151" i="12"/>
  <c r="E151" i="12"/>
  <c r="B176" i="12"/>
  <c r="F176" i="12"/>
  <c r="B221" i="12"/>
  <c r="F221" i="12"/>
  <c r="B225" i="12"/>
  <c r="F225" i="12"/>
  <c r="B254" i="12"/>
  <c r="F254" i="12"/>
  <c r="B250" i="12"/>
  <c r="B283" i="12"/>
  <c r="H283" i="12"/>
  <c r="B310" i="12"/>
  <c r="D310" i="12"/>
  <c r="C310" i="12" s="1"/>
  <c r="B337" i="12"/>
  <c r="G337" i="12"/>
  <c r="B361" i="12"/>
  <c r="E361" i="12"/>
  <c r="B30" i="12"/>
  <c r="F30" i="12"/>
  <c r="B26" i="12"/>
  <c r="F26" i="12"/>
  <c r="B53" i="12"/>
  <c r="B58" i="12"/>
  <c r="D58" i="12"/>
  <c r="C58" i="12" s="1"/>
  <c r="B54" i="12"/>
  <c r="D54" i="12"/>
  <c r="C54" i="12" s="1"/>
  <c r="B86" i="12"/>
  <c r="B93" i="12"/>
  <c r="E93" i="12"/>
  <c r="B89" i="12"/>
  <c r="E89" i="12"/>
  <c r="B124" i="12"/>
  <c r="E124" i="12"/>
  <c r="B120" i="12"/>
  <c r="E120" i="12"/>
  <c r="B150" i="12"/>
  <c r="B146" i="12"/>
  <c r="E146" i="12"/>
  <c r="B172" i="12"/>
  <c r="F172" i="12"/>
  <c r="B175" i="12"/>
  <c r="F175" i="12"/>
  <c r="B199" i="12"/>
  <c r="G199" i="12"/>
  <c r="B228" i="12"/>
  <c r="F228" i="12"/>
  <c r="B224" i="12"/>
  <c r="F224" i="12"/>
  <c r="B253" i="12"/>
  <c r="F253" i="12"/>
  <c r="B249" i="12"/>
  <c r="F249" i="12"/>
  <c r="B279" i="12"/>
  <c r="H279" i="12"/>
  <c r="B286" i="12"/>
  <c r="H286" i="12"/>
  <c r="B282" i="12"/>
  <c r="H282" i="12"/>
  <c r="B308" i="12"/>
  <c r="D308" i="12"/>
  <c r="B309" i="12"/>
  <c r="D309" i="12"/>
  <c r="C309" i="12" s="1"/>
  <c r="B333" i="12"/>
  <c r="G333" i="12"/>
  <c r="B336" i="12"/>
  <c r="G336" i="12"/>
  <c r="B358" i="12"/>
  <c r="B360" i="12"/>
  <c r="B23" i="12"/>
  <c r="B55" i="12"/>
  <c r="D55" i="12"/>
  <c r="C55" i="12" s="1"/>
  <c r="B121" i="12"/>
  <c r="E121" i="12"/>
  <c r="B147" i="12"/>
  <c r="E147" i="12"/>
  <c r="B196" i="12"/>
  <c r="G196" i="12"/>
  <c r="B287" i="12"/>
  <c r="B29" i="12"/>
  <c r="F29" i="12"/>
  <c r="B25" i="12"/>
  <c r="F25" i="12"/>
  <c r="B61" i="12"/>
  <c r="D61" i="12"/>
  <c r="C61" i="12" s="1"/>
  <c r="B57" i="12"/>
  <c r="D57" i="12"/>
  <c r="C57" i="12" s="1"/>
  <c r="B96" i="12"/>
  <c r="E96" i="12"/>
  <c r="B92" i="12"/>
  <c r="E92" i="12"/>
  <c r="B88" i="12"/>
  <c r="E88" i="12"/>
  <c r="B123" i="12"/>
  <c r="E123" i="12"/>
  <c r="B119" i="12"/>
  <c r="E119" i="12"/>
  <c r="B149" i="12"/>
  <c r="E149" i="12"/>
  <c r="B178" i="12"/>
  <c r="B174" i="12"/>
  <c r="F174" i="12"/>
  <c r="B198" i="12"/>
  <c r="G198" i="12"/>
  <c r="B227" i="12"/>
  <c r="F227" i="12"/>
  <c r="B223" i="12"/>
  <c r="B252" i="12"/>
  <c r="B289" i="12"/>
  <c r="H289" i="12"/>
  <c r="B285" i="12"/>
  <c r="H285" i="12"/>
  <c r="B281" i="12"/>
  <c r="B312" i="12"/>
  <c r="D312" i="12"/>
  <c r="C312" i="12" s="1"/>
  <c r="B339" i="12"/>
  <c r="G339" i="12"/>
  <c r="B335" i="12"/>
  <c r="B59" i="12"/>
  <c r="D59" i="12"/>
  <c r="C59" i="12" s="1"/>
  <c r="B90" i="12"/>
  <c r="B117" i="12"/>
  <c r="E117" i="12"/>
  <c r="B28" i="12"/>
  <c r="F28" i="12"/>
  <c r="B24" i="12"/>
  <c r="F24" i="12"/>
  <c r="B60" i="12"/>
  <c r="D60" i="12"/>
  <c r="C60" i="12" s="1"/>
  <c r="B56" i="12"/>
  <c r="D56" i="12"/>
  <c r="C56" i="12" s="1"/>
  <c r="B95" i="12"/>
  <c r="E95" i="12"/>
  <c r="B91" i="12"/>
  <c r="E91" i="12"/>
  <c r="B87" i="12"/>
  <c r="E87" i="12"/>
  <c r="B122" i="12"/>
  <c r="E122" i="12"/>
  <c r="B118" i="12"/>
  <c r="E118" i="12"/>
  <c r="B145" i="12"/>
  <c r="B148" i="12"/>
  <c r="E148" i="12"/>
  <c r="B177" i="12"/>
  <c r="F177" i="12"/>
  <c r="B173" i="12"/>
  <c r="F173" i="12"/>
  <c r="B197" i="12"/>
  <c r="G197" i="12"/>
  <c r="B226" i="12"/>
  <c r="F226" i="12"/>
  <c r="B222" i="12"/>
  <c r="F222" i="12"/>
  <c r="B248" i="12"/>
  <c r="F248" i="12"/>
  <c r="B251" i="12"/>
  <c r="F251" i="12"/>
  <c r="B288" i="12"/>
  <c r="H288" i="12"/>
  <c r="B284" i="12"/>
  <c r="H284" i="12"/>
  <c r="B280" i="12"/>
  <c r="H280" i="12"/>
  <c r="B311" i="12"/>
  <c r="D311" i="12"/>
  <c r="C311" i="12" s="1"/>
  <c r="B338" i="12"/>
  <c r="G338" i="12"/>
  <c r="B334" i="12"/>
  <c r="G334" i="12"/>
  <c r="B359" i="12"/>
  <c r="E359" i="12"/>
  <c r="E42" i="3"/>
  <c r="E86" i="12" s="1"/>
  <c r="D42" i="3"/>
  <c r="D53" i="12" s="1"/>
  <c r="M42" i="3"/>
  <c r="I42" i="3"/>
  <c r="L42" i="3"/>
  <c r="H42" i="3"/>
  <c r="O42" i="3"/>
  <c r="E358" i="12" s="1"/>
  <c r="K42" i="3"/>
  <c r="G42" i="3"/>
  <c r="D360" i="12" l="1"/>
  <c r="D362" i="12"/>
  <c r="F338" i="12"/>
  <c r="D338" i="12"/>
  <c r="E338" i="12"/>
  <c r="C338" i="12"/>
  <c r="C280" i="12"/>
  <c r="G280" i="12"/>
  <c r="D280" i="12"/>
  <c r="F280" i="12"/>
  <c r="E280" i="12"/>
  <c r="E335" i="12"/>
  <c r="D335" i="12"/>
  <c r="C335" i="12"/>
  <c r="F335" i="12"/>
  <c r="G285" i="12"/>
  <c r="D285" i="12"/>
  <c r="F285" i="12"/>
  <c r="C285" i="12"/>
  <c r="E285" i="12"/>
  <c r="D287" i="12"/>
  <c r="E287" i="12"/>
  <c r="C287" i="12"/>
  <c r="F287" i="12"/>
  <c r="G287" i="12"/>
  <c r="D359" i="12"/>
  <c r="C359" i="12"/>
  <c r="C288" i="12"/>
  <c r="E288" i="12"/>
  <c r="F288" i="12"/>
  <c r="G288" i="12"/>
  <c r="D288" i="12"/>
  <c r="F255" i="12"/>
  <c r="D358" i="12"/>
  <c r="E363" i="12"/>
  <c r="C358" i="12"/>
  <c r="G340" i="12"/>
  <c r="D333" i="12"/>
  <c r="E333" i="12"/>
  <c r="C333" i="12"/>
  <c r="F333" i="12"/>
  <c r="D313" i="12"/>
  <c r="C308" i="12"/>
  <c r="C313" i="12" s="1"/>
  <c r="T34" i="23" s="1"/>
  <c r="E286" i="12"/>
  <c r="F286" i="12"/>
  <c r="C286" i="12"/>
  <c r="D286" i="12"/>
  <c r="G286" i="12"/>
  <c r="F179" i="12"/>
  <c r="C53" i="12"/>
  <c r="C62" i="12" s="1"/>
  <c r="D62" i="12"/>
  <c r="D337" i="12"/>
  <c r="E337" i="12"/>
  <c r="F337" i="12"/>
  <c r="C337" i="12"/>
  <c r="D283" i="12"/>
  <c r="E283" i="12"/>
  <c r="G283" i="12"/>
  <c r="C283" i="12"/>
  <c r="F283" i="12"/>
  <c r="F229" i="12"/>
  <c r="E125" i="12"/>
  <c r="D339" i="12"/>
  <c r="E339" i="12"/>
  <c r="F339" i="12"/>
  <c r="C339" i="12"/>
  <c r="F281" i="12"/>
  <c r="C281" i="12"/>
  <c r="G281" i="12"/>
  <c r="D281" i="12"/>
  <c r="E281" i="12"/>
  <c r="F289" i="12"/>
  <c r="C289" i="12"/>
  <c r="G289" i="12"/>
  <c r="D289" i="12"/>
  <c r="E289" i="12"/>
  <c r="G200" i="12"/>
  <c r="D334" i="12"/>
  <c r="E334" i="12"/>
  <c r="F334" i="12"/>
  <c r="C334" i="12"/>
  <c r="E284" i="12"/>
  <c r="C284" i="12"/>
  <c r="F284" i="12"/>
  <c r="D284" i="12"/>
  <c r="G284" i="12"/>
  <c r="E152" i="12"/>
  <c r="D336" i="12"/>
  <c r="E336" i="12"/>
  <c r="F336" i="12"/>
  <c r="C336" i="12"/>
  <c r="E282" i="12"/>
  <c r="F282" i="12"/>
  <c r="D282" i="12"/>
  <c r="G282" i="12"/>
  <c r="C282" i="12"/>
  <c r="F279" i="12"/>
  <c r="F290" i="12" s="1"/>
  <c r="T32" i="23" s="1"/>
  <c r="G279" i="12"/>
  <c r="E279" i="12"/>
  <c r="C279" i="12"/>
  <c r="H290" i="12"/>
  <c r="D279" i="12"/>
  <c r="E97" i="12"/>
  <c r="D361" i="12"/>
  <c r="C361" i="12"/>
  <c r="D175" i="12"/>
  <c r="C175" i="12"/>
  <c r="E175" i="12"/>
  <c r="C89" i="12"/>
  <c r="D89" i="12"/>
  <c r="E225" i="12"/>
  <c r="C225" i="12"/>
  <c r="D225" i="12"/>
  <c r="E176" i="12"/>
  <c r="C176" i="12"/>
  <c r="D176" i="12"/>
  <c r="D248" i="12"/>
  <c r="E248" i="12"/>
  <c r="C248" i="12"/>
  <c r="C226" i="12"/>
  <c r="D226" i="12"/>
  <c r="E226" i="12"/>
  <c r="C173" i="12"/>
  <c r="D173" i="12"/>
  <c r="E173" i="12"/>
  <c r="C148" i="12"/>
  <c r="D148" i="12"/>
  <c r="C118" i="12"/>
  <c r="D118" i="12"/>
  <c r="C87" i="12"/>
  <c r="D87" i="12"/>
  <c r="C95" i="12"/>
  <c r="D95" i="12"/>
  <c r="E28" i="12"/>
  <c r="D28" i="12"/>
  <c r="C28" i="12"/>
  <c r="D90" i="12"/>
  <c r="C90" i="12"/>
  <c r="C252" i="12"/>
  <c r="D252" i="12"/>
  <c r="E252" i="12"/>
  <c r="C227" i="12"/>
  <c r="D227" i="12"/>
  <c r="E227" i="12"/>
  <c r="C174" i="12"/>
  <c r="D174" i="12"/>
  <c r="E174" i="12"/>
  <c r="D149" i="12"/>
  <c r="C149" i="12"/>
  <c r="C123" i="12"/>
  <c r="D123" i="12"/>
  <c r="D92" i="12"/>
  <c r="C92" i="12"/>
  <c r="E25" i="12"/>
  <c r="C25" i="12"/>
  <c r="D25" i="12"/>
  <c r="D147" i="12"/>
  <c r="C147" i="12"/>
  <c r="C228" i="12"/>
  <c r="D228" i="12"/>
  <c r="E228" i="12"/>
  <c r="C146" i="12"/>
  <c r="D146" i="12"/>
  <c r="C94" i="12"/>
  <c r="D94" i="12"/>
  <c r="E249" i="12"/>
  <c r="C249" i="12"/>
  <c r="D249" i="12"/>
  <c r="D224" i="12"/>
  <c r="E224" i="12"/>
  <c r="C224" i="12"/>
  <c r="F199" i="12"/>
  <c r="C199" i="12"/>
  <c r="D199" i="12"/>
  <c r="E199" i="12"/>
  <c r="E172" i="12"/>
  <c r="C172" i="12"/>
  <c r="D172" i="12"/>
  <c r="C150" i="12"/>
  <c r="D150" i="12"/>
  <c r="C124" i="12"/>
  <c r="D124" i="12"/>
  <c r="D93" i="12"/>
  <c r="C93" i="12"/>
  <c r="C30" i="12"/>
  <c r="E30" i="12"/>
  <c r="D30" i="12"/>
  <c r="E254" i="12"/>
  <c r="C254" i="12"/>
  <c r="D254" i="12"/>
  <c r="C221" i="12"/>
  <c r="D221" i="12"/>
  <c r="E221" i="12"/>
  <c r="D151" i="12"/>
  <c r="C151" i="12"/>
  <c r="C27" i="12"/>
  <c r="D27" i="12"/>
  <c r="E27" i="12"/>
  <c r="D253" i="12"/>
  <c r="E253" i="12"/>
  <c r="C253" i="12"/>
  <c r="C120" i="12"/>
  <c r="D120" i="12"/>
  <c r="D86" i="12"/>
  <c r="C86" i="12"/>
  <c r="D26" i="12"/>
  <c r="C26" i="12"/>
  <c r="E26" i="12"/>
  <c r="C250" i="12"/>
  <c r="D250" i="12"/>
  <c r="E250" i="12"/>
  <c r="C251" i="12"/>
  <c r="D251" i="12"/>
  <c r="E251" i="12"/>
  <c r="D222" i="12"/>
  <c r="E222" i="12"/>
  <c r="C222" i="12"/>
  <c r="F197" i="12"/>
  <c r="C197" i="12"/>
  <c r="D197" i="12"/>
  <c r="E197" i="12"/>
  <c r="C177" i="12"/>
  <c r="D177" i="12"/>
  <c r="E177" i="12"/>
  <c r="D145" i="12"/>
  <c r="D152" i="12" s="1"/>
  <c r="H15" i="22" s="1"/>
  <c r="J15" i="22" s="1"/>
  <c r="C145" i="12"/>
  <c r="D122" i="12"/>
  <c r="C122" i="12"/>
  <c r="C91" i="12"/>
  <c r="D91" i="12"/>
  <c r="D24" i="12"/>
  <c r="E24" i="12"/>
  <c r="C24" i="12"/>
  <c r="D117" i="12"/>
  <c r="C117" i="12"/>
  <c r="C223" i="12"/>
  <c r="D223" i="12"/>
  <c r="E223" i="12"/>
  <c r="F198" i="12"/>
  <c r="C198" i="12"/>
  <c r="D198" i="12"/>
  <c r="E198" i="12"/>
  <c r="C178" i="12"/>
  <c r="D178" i="12"/>
  <c r="E178" i="12"/>
  <c r="C119" i="12"/>
  <c r="D119" i="12"/>
  <c r="C88" i="12"/>
  <c r="D88" i="12"/>
  <c r="C96" i="12"/>
  <c r="D96" i="12"/>
  <c r="D29" i="12"/>
  <c r="E29" i="12"/>
  <c r="C29" i="12"/>
  <c r="C196" i="12"/>
  <c r="D196" i="12"/>
  <c r="E196" i="12"/>
  <c r="E200" i="12" s="1"/>
  <c r="H47" i="22" s="1"/>
  <c r="J47" i="22" s="1"/>
  <c r="F196" i="12"/>
  <c r="C121" i="12"/>
  <c r="D121" i="12"/>
  <c r="C200" i="12" l="1"/>
  <c r="H45" i="22" s="1"/>
  <c r="J45" i="22" s="1"/>
  <c r="G45" i="22" s="1"/>
  <c r="D290" i="12"/>
  <c r="T30" i="23" s="1"/>
  <c r="C290" i="12"/>
  <c r="T29" i="23" s="1"/>
  <c r="F200" i="12"/>
  <c r="H48" i="22" s="1"/>
  <c r="J48" i="22" s="1"/>
  <c r="C152" i="12"/>
  <c r="H14" i="22" s="1"/>
  <c r="G290" i="12"/>
  <c r="T33" i="23" s="1"/>
  <c r="F47" i="22"/>
  <c r="E47" i="22"/>
  <c r="C47" i="22"/>
  <c r="D47" i="22"/>
  <c r="G47" i="22"/>
  <c r="D15" i="22"/>
  <c r="G15" i="22"/>
  <c r="E15" i="22"/>
  <c r="C15" i="22"/>
  <c r="F15" i="22"/>
  <c r="C97" i="12"/>
  <c r="E229" i="12"/>
  <c r="H64" i="22" s="1"/>
  <c r="J64" i="22" s="1"/>
  <c r="C179" i="12"/>
  <c r="H28" i="22" s="1"/>
  <c r="D255" i="12"/>
  <c r="T27" i="23" s="1"/>
  <c r="D340" i="12"/>
  <c r="T36" i="23" s="1"/>
  <c r="D363" i="12"/>
  <c r="T40" i="23" s="1"/>
  <c r="D200" i="12"/>
  <c r="H46" i="22" s="1"/>
  <c r="J46" i="22" s="1"/>
  <c r="D97" i="12"/>
  <c r="D229" i="12"/>
  <c r="H63" i="22" s="1"/>
  <c r="J63" i="22" s="1"/>
  <c r="E179" i="12"/>
  <c r="H30" i="22" s="1"/>
  <c r="J30" i="22" s="1"/>
  <c r="F340" i="12"/>
  <c r="T38" i="23" s="1"/>
  <c r="E45" i="22"/>
  <c r="D45" i="22"/>
  <c r="C125" i="12"/>
  <c r="C229" i="12"/>
  <c r="H62" i="22" s="1"/>
  <c r="C255" i="12"/>
  <c r="T26" i="23" s="1"/>
  <c r="E290" i="12"/>
  <c r="T31" i="23" s="1"/>
  <c r="C340" i="12"/>
  <c r="T35" i="23" s="1"/>
  <c r="C363" i="12"/>
  <c r="T39" i="23" s="1"/>
  <c r="D125" i="12"/>
  <c r="J14" i="22"/>
  <c r="H16" i="22"/>
  <c r="D179" i="12"/>
  <c r="H29" i="22" s="1"/>
  <c r="J29" i="22" s="1"/>
  <c r="E255" i="12"/>
  <c r="T28" i="23" s="1"/>
  <c r="E340" i="12"/>
  <c r="T37" i="23" s="1"/>
  <c r="C45" i="22" l="1"/>
  <c r="H49" i="22"/>
  <c r="F45" i="22"/>
  <c r="D29" i="22"/>
  <c r="C29" i="22"/>
  <c r="E29" i="22"/>
  <c r="F29" i="22"/>
  <c r="G29" i="22"/>
  <c r="J49" i="22"/>
  <c r="E48" i="22"/>
  <c r="D48" i="22"/>
  <c r="F48" i="22"/>
  <c r="C48" i="22"/>
  <c r="G48" i="22"/>
  <c r="F63" i="22"/>
  <c r="D63" i="22"/>
  <c r="E63" i="22"/>
  <c r="C63" i="22"/>
  <c r="G63" i="22"/>
  <c r="F64" i="22"/>
  <c r="C64" i="22"/>
  <c r="E64" i="22"/>
  <c r="G64" i="22"/>
  <c r="D64" i="22"/>
  <c r="T41" i="23"/>
  <c r="D14" i="22"/>
  <c r="D16" i="22" s="1"/>
  <c r="G14" i="22"/>
  <c r="G16" i="22" s="1"/>
  <c r="J16" i="22"/>
  <c r="E14" i="22"/>
  <c r="E16" i="22" s="1"/>
  <c r="F14" i="22"/>
  <c r="F16" i="22" s="1"/>
  <c r="C14" i="22"/>
  <c r="C16" i="22" s="1"/>
  <c r="J62" i="22"/>
  <c r="H65" i="22"/>
  <c r="E46" i="22"/>
  <c r="E49" i="22" s="1"/>
  <c r="D46" i="22"/>
  <c r="D49" i="22" s="1"/>
  <c r="F46" i="22"/>
  <c r="G46" i="22"/>
  <c r="C46" i="22"/>
  <c r="E30" i="22"/>
  <c r="C30" i="22"/>
  <c r="D30" i="22"/>
  <c r="G30" i="22"/>
  <c r="F30" i="22"/>
  <c r="H31" i="22"/>
  <c r="J31" i="22" s="1"/>
  <c r="J28" i="22"/>
  <c r="D62" i="22" l="1"/>
  <c r="D65" i="22" s="1"/>
  <c r="F62" i="22"/>
  <c r="F65" i="22" s="1"/>
  <c r="C62" i="22"/>
  <c r="C65" i="22" s="1"/>
  <c r="E62" i="22"/>
  <c r="E65" i="22" s="1"/>
  <c r="G62" i="22"/>
  <c r="G65" i="22" s="1"/>
  <c r="J65" i="22"/>
  <c r="G28" i="22"/>
  <c r="G31" i="22" s="1"/>
  <c r="D28" i="22"/>
  <c r="D31" i="22" s="1"/>
  <c r="F28" i="22"/>
  <c r="F31" i="22" s="1"/>
  <c r="C28" i="22"/>
  <c r="C31" i="22" s="1"/>
  <c r="E28" i="22"/>
  <c r="E31" i="22" s="1"/>
  <c r="G49" i="22"/>
  <c r="C49" i="22"/>
  <c r="F49" i="22"/>
  <c r="D89" i="22" l="1"/>
  <c r="D88" i="22" s="1"/>
  <c r="V34" i="23" s="1"/>
  <c r="W34" i="23" s="1"/>
  <c r="D75" i="22"/>
  <c r="D97" i="22"/>
  <c r="D103" i="22"/>
  <c r="D84" i="22"/>
  <c r="D79" i="22" s="1"/>
  <c r="V29" i="23" s="1"/>
  <c r="W29" i="23" s="1"/>
  <c r="D82" i="22" l="1"/>
  <c r="V32" i="23" s="1"/>
  <c r="W32" i="23" s="1"/>
  <c r="D102" i="22"/>
  <c r="V40" i="23" s="1"/>
  <c r="W40" i="23" s="1"/>
  <c r="D80" i="22"/>
  <c r="V30" i="23" s="1"/>
  <c r="W30" i="23" s="1"/>
  <c r="D101" i="22"/>
  <c r="V39" i="23" s="1"/>
  <c r="W39" i="23" s="1"/>
  <c r="D81" i="22"/>
  <c r="V31" i="23" s="1"/>
  <c r="W31" i="23" s="1"/>
  <c r="D83" i="22"/>
  <c r="V33" i="23" s="1"/>
  <c r="W33" i="23" s="1"/>
  <c r="D95" i="22"/>
  <c r="V37" i="23" s="1"/>
  <c r="W37" i="23" s="1"/>
  <c r="D94" i="22"/>
  <c r="V36" i="23" s="1"/>
  <c r="W36" i="23" s="1"/>
  <c r="D96" i="22"/>
  <c r="V38" i="23" s="1"/>
  <c r="W38" i="23" s="1"/>
  <c r="D93" i="22"/>
  <c r="V35" i="23" s="1"/>
  <c r="W35" i="23" s="1"/>
  <c r="D74" i="22"/>
  <c r="V28" i="23" s="1"/>
  <c r="W28" i="23" s="1"/>
  <c r="D72" i="22"/>
  <c r="V26" i="23" s="1"/>
  <c r="D73" i="22"/>
  <c r="V27" i="23" s="1"/>
  <c r="W27" i="23" s="1"/>
  <c r="H29" i="23"/>
  <c r="L29" i="23"/>
  <c r="P29" i="23"/>
  <c r="E29" i="23"/>
  <c r="I29" i="23"/>
  <c r="M29" i="23"/>
  <c r="Q29" i="23"/>
  <c r="F29" i="23"/>
  <c r="J29" i="23"/>
  <c r="N29" i="23"/>
  <c r="R29" i="23"/>
  <c r="G29" i="23"/>
  <c r="K29" i="23"/>
  <c r="O29" i="23"/>
  <c r="S29" i="23"/>
  <c r="D29" i="23"/>
  <c r="G34" i="23"/>
  <c r="K34" i="23"/>
  <c r="O34" i="23"/>
  <c r="S34" i="23"/>
  <c r="I34" i="23"/>
  <c r="N34" i="23"/>
  <c r="E34" i="23"/>
  <c r="J34" i="23"/>
  <c r="P34" i="23"/>
  <c r="D34" i="23"/>
  <c r="F34" i="23"/>
  <c r="L34" i="23"/>
  <c r="Q34" i="23"/>
  <c r="H34" i="23"/>
  <c r="M34" i="23"/>
  <c r="R34" i="23"/>
  <c r="V41" i="23" l="1"/>
  <c r="W26" i="23"/>
  <c r="E36" i="23"/>
  <c r="I36" i="23"/>
  <c r="M36" i="23"/>
  <c r="Q36" i="23"/>
  <c r="D36" i="23"/>
  <c r="F36" i="23"/>
  <c r="K36" i="23"/>
  <c r="P36" i="23"/>
  <c r="G36" i="23"/>
  <c r="L36" i="23"/>
  <c r="R36" i="23"/>
  <c r="H36" i="23"/>
  <c r="N36" i="23"/>
  <c r="S36" i="23"/>
  <c r="J36" i="23"/>
  <c r="O36" i="23"/>
  <c r="H39" i="23"/>
  <c r="L39" i="23"/>
  <c r="P39" i="23"/>
  <c r="I39" i="23"/>
  <c r="N39" i="23"/>
  <c r="S39" i="23"/>
  <c r="E39" i="23"/>
  <c r="J39" i="23"/>
  <c r="O39" i="23"/>
  <c r="D39" i="23"/>
  <c r="F39" i="23"/>
  <c r="K39" i="23"/>
  <c r="Q39" i="23"/>
  <c r="G39" i="23"/>
  <c r="M39" i="23"/>
  <c r="R39" i="23"/>
  <c r="G28" i="23"/>
  <c r="K28" i="23"/>
  <c r="O28" i="23"/>
  <c r="S28" i="23"/>
  <c r="H28" i="23"/>
  <c r="L28" i="23"/>
  <c r="P28" i="23"/>
  <c r="E28" i="23"/>
  <c r="I28" i="23"/>
  <c r="M28" i="23"/>
  <c r="Q28" i="23"/>
  <c r="D28" i="23"/>
  <c r="F28" i="23"/>
  <c r="J28" i="23"/>
  <c r="N28" i="23"/>
  <c r="R28" i="23"/>
  <c r="F37" i="23"/>
  <c r="J37" i="23"/>
  <c r="N37" i="23"/>
  <c r="R37" i="23"/>
  <c r="G37" i="23"/>
  <c r="L37" i="23"/>
  <c r="Q37" i="23"/>
  <c r="H37" i="23"/>
  <c r="M37" i="23"/>
  <c r="S37" i="23"/>
  <c r="I37" i="23"/>
  <c r="O37" i="23"/>
  <c r="E37" i="23"/>
  <c r="K37" i="23"/>
  <c r="P37" i="23"/>
  <c r="D37" i="23"/>
  <c r="E30" i="23"/>
  <c r="I30" i="23"/>
  <c r="M30" i="23"/>
  <c r="Q30" i="23"/>
  <c r="F30" i="23"/>
  <c r="J30" i="23"/>
  <c r="N30" i="23"/>
  <c r="R30" i="23"/>
  <c r="G30" i="23"/>
  <c r="K30" i="23"/>
  <c r="O30" i="23"/>
  <c r="S30" i="23"/>
  <c r="H30" i="23"/>
  <c r="L30" i="23"/>
  <c r="P30" i="23"/>
  <c r="D30" i="23"/>
  <c r="H35" i="23"/>
  <c r="L35" i="23"/>
  <c r="P35" i="23"/>
  <c r="E35" i="23"/>
  <c r="J35" i="23"/>
  <c r="O35" i="23"/>
  <c r="F35" i="23"/>
  <c r="K35" i="23"/>
  <c r="Q35" i="23"/>
  <c r="G35" i="23"/>
  <c r="M35" i="23"/>
  <c r="R35" i="23"/>
  <c r="D35" i="23"/>
  <c r="I35" i="23"/>
  <c r="N35" i="23"/>
  <c r="S35" i="23"/>
  <c r="F33" i="23"/>
  <c r="J33" i="23"/>
  <c r="N33" i="23"/>
  <c r="R33" i="23"/>
  <c r="H33" i="23"/>
  <c r="M33" i="23"/>
  <c r="S33" i="23"/>
  <c r="D33" i="23"/>
  <c r="I33" i="23"/>
  <c r="O33" i="23"/>
  <c r="E33" i="23"/>
  <c r="K33" i="23"/>
  <c r="P33" i="23"/>
  <c r="G33" i="23"/>
  <c r="L33" i="23"/>
  <c r="Q33" i="23"/>
  <c r="E40" i="23"/>
  <c r="I40" i="23"/>
  <c r="M40" i="23"/>
  <c r="Q40" i="23"/>
  <c r="D40" i="23"/>
  <c r="J40" i="23"/>
  <c r="O40" i="23"/>
  <c r="F40" i="23"/>
  <c r="K40" i="23"/>
  <c r="P40" i="23"/>
  <c r="G40" i="23"/>
  <c r="L40" i="23"/>
  <c r="R40" i="23"/>
  <c r="H40" i="23"/>
  <c r="N40" i="23"/>
  <c r="S40" i="23"/>
  <c r="F27" i="23"/>
  <c r="J27" i="23"/>
  <c r="N27" i="23"/>
  <c r="R27" i="23"/>
  <c r="G27" i="23"/>
  <c r="K27" i="23"/>
  <c r="O27" i="23"/>
  <c r="S27" i="23"/>
  <c r="H27" i="23"/>
  <c r="L27" i="23"/>
  <c r="P27" i="23"/>
  <c r="E27" i="23"/>
  <c r="I27" i="23"/>
  <c r="M27" i="23"/>
  <c r="Q27" i="23"/>
  <c r="D27" i="23"/>
  <c r="G38" i="23"/>
  <c r="K38" i="23"/>
  <c r="O38" i="23"/>
  <c r="S38" i="23"/>
  <c r="H38" i="23"/>
  <c r="M38" i="23"/>
  <c r="R38" i="23"/>
  <c r="D38" i="23"/>
  <c r="I38" i="23"/>
  <c r="N38" i="23"/>
  <c r="E38" i="23"/>
  <c r="J38" i="23"/>
  <c r="P38" i="23"/>
  <c r="F38" i="23"/>
  <c r="L38" i="23"/>
  <c r="Q38" i="23"/>
  <c r="F31" i="23"/>
  <c r="J31" i="23"/>
  <c r="N31" i="23"/>
  <c r="R31" i="23"/>
  <c r="G31" i="23"/>
  <c r="K31" i="23"/>
  <c r="O31" i="23"/>
  <c r="S31" i="23"/>
  <c r="H31" i="23"/>
  <c r="L31" i="23"/>
  <c r="P31" i="23"/>
  <c r="E31" i="23"/>
  <c r="I31" i="23"/>
  <c r="M31" i="23"/>
  <c r="Q31" i="23"/>
  <c r="D31" i="23"/>
  <c r="H32" i="23"/>
  <c r="L32" i="23"/>
  <c r="E32" i="23"/>
  <c r="I32" i="23"/>
  <c r="M32" i="23"/>
  <c r="Q32" i="23"/>
  <c r="D32" i="23"/>
  <c r="K32" i="23"/>
  <c r="R32" i="23"/>
  <c r="F32" i="23"/>
  <c r="N32" i="23"/>
  <c r="S32" i="23"/>
  <c r="G32" i="23"/>
  <c r="O32" i="23"/>
  <c r="J32" i="23"/>
  <c r="P32" i="23"/>
  <c r="E26" i="23" l="1"/>
  <c r="E41" i="23" s="1"/>
  <c r="I26" i="23"/>
  <c r="I41" i="23" s="1"/>
  <c r="M26" i="23"/>
  <c r="M41" i="23" s="1"/>
  <c r="Q26" i="23"/>
  <c r="Q41" i="23" s="1"/>
  <c r="F26" i="23"/>
  <c r="F41" i="23" s="1"/>
  <c r="J26" i="23"/>
  <c r="J41" i="23" s="1"/>
  <c r="N26" i="23"/>
  <c r="N41" i="23" s="1"/>
  <c r="R26" i="23"/>
  <c r="R41" i="23" s="1"/>
  <c r="G26" i="23"/>
  <c r="G41" i="23" s="1"/>
  <c r="K26" i="23"/>
  <c r="K41" i="23" s="1"/>
  <c r="O26" i="23"/>
  <c r="O41" i="23" s="1"/>
  <c r="S26" i="23"/>
  <c r="S41" i="23" s="1"/>
  <c r="H26" i="23"/>
  <c r="H41" i="23" s="1"/>
  <c r="L26" i="23"/>
  <c r="L41" i="23" s="1"/>
  <c r="P26" i="23"/>
  <c r="P41" i="23" s="1"/>
  <c r="D26" i="23"/>
  <c r="D41" i="23" s="1"/>
  <c r="W41" i="23"/>
  <c r="C41" i="3" l="1"/>
  <c r="F23" i="12" s="1"/>
  <c r="F32" i="34"/>
  <c r="F31" i="34"/>
  <c r="F30" i="34"/>
  <c r="F29" i="34"/>
  <c r="E21" i="34"/>
  <c r="E32" i="34" s="1"/>
  <c r="D21" i="34"/>
  <c r="D32" i="34" s="1"/>
  <c r="E20" i="34"/>
  <c r="E31" i="34" s="1"/>
  <c r="D20" i="34"/>
  <c r="D31" i="34" s="1"/>
  <c r="E19" i="34"/>
  <c r="E30" i="34" s="1"/>
  <c r="D19" i="34"/>
  <c r="D30" i="34" s="1"/>
  <c r="B19" i="34"/>
  <c r="C30" i="34" s="1"/>
  <c r="E18" i="34"/>
  <c r="E29" i="34" s="1"/>
  <c r="D18" i="34"/>
  <c r="D29" i="34" s="1"/>
  <c r="B18" i="34"/>
  <c r="B29" i="34" s="1"/>
  <c r="V16" i="34"/>
  <c r="V27" i="34" s="1"/>
  <c r="V34" i="34" s="1"/>
  <c r="U16" i="34"/>
  <c r="U27" i="34" s="1"/>
  <c r="U34" i="34" s="1"/>
  <c r="T16" i="34"/>
  <c r="T27" i="34" s="1"/>
  <c r="T34" i="34" s="1"/>
  <c r="S16" i="34"/>
  <c r="S27" i="34" s="1"/>
  <c r="S34" i="34" s="1"/>
  <c r="R16" i="34"/>
  <c r="R27" i="34" s="1"/>
  <c r="R34" i="34" s="1"/>
  <c r="Q16" i="34"/>
  <c r="Q27" i="34" s="1"/>
  <c r="Q34" i="34" s="1"/>
  <c r="P16" i="34"/>
  <c r="P27" i="34" s="1"/>
  <c r="P34" i="34" s="1"/>
  <c r="O16" i="34"/>
  <c r="O27" i="34" s="1"/>
  <c r="O34" i="34" s="1"/>
  <c r="N16" i="34"/>
  <c r="N27" i="34" s="1"/>
  <c r="N34" i="34" s="1"/>
  <c r="M16" i="34"/>
  <c r="M27" i="34" s="1"/>
  <c r="M34" i="34" s="1"/>
  <c r="L16" i="34"/>
  <c r="L27" i="34" s="1"/>
  <c r="L34" i="34" s="1"/>
  <c r="K16" i="34"/>
  <c r="K27" i="34" s="1"/>
  <c r="K34" i="34" s="1"/>
  <c r="J16" i="34"/>
  <c r="J27" i="34" s="1"/>
  <c r="J34" i="34" s="1"/>
  <c r="I16" i="34"/>
  <c r="I27" i="34" s="1"/>
  <c r="I34" i="34" s="1"/>
  <c r="H16" i="34"/>
  <c r="H27" i="34" s="1"/>
  <c r="H34" i="34" s="1"/>
  <c r="G16" i="34"/>
  <c r="G27" i="34" s="1"/>
  <c r="G34" i="34" s="1"/>
  <c r="V2" i="34"/>
  <c r="V15" i="34" s="1"/>
  <c r="V26" i="34" s="1"/>
  <c r="U2" i="34"/>
  <c r="U15" i="34" s="1"/>
  <c r="U26" i="34" s="1"/>
  <c r="T2" i="34"/>
  <c r="T15" i="34" s="1"/>
  <c r="T26" i="34" s="1"/>
  <c r="S2" i="34"/>
  <c r="S15" i="34" s="1"/>
  <c r="S26" i="34" s="1"/>
  <c r="R2" i="34"/>
  <c r="R15" i="34" s="1"/>
  <c r="R26" i="34" s="1"/>
  <c r="Q2" i="34"/>
  <c r="Q15" i="34" s="1"/>
  <c r="Q26" i="34" s="1"/>
  <c r="P2" i="34"/>
  <c r="P15" i="34" s="1"/>
  <c r="P26" i="34" s="1"/>
  <c r="O2" i="34"/>
  <c r="O15" i="34" s="1"/>
  <c r="O26" i="34" s="1"/>
  <c r="N2" i="34"/>
  <c r="N15" i="34" s="1"/>
  <c r="N26" i="34" s="1"/>
  <c r="M2" i="34"/>
  <c r="M15" i="34" s="1"/>
  <c r="M26" i="34" s="1"/>
  <c r="L2" i="34"/>
  <c r="L15" i="34" s="1"/>
  <c r="L26" i="34" s="1"/>
  <c r="K2" i="34"/>
  <c r="K15" i="34" s="1"/>
  <c r="K26" i="34" s="1"/>
  <c r="J2" i="34"/>
  <c r="I2" i="34"/>
  <c r="H2" i="34"/>
  <c r="G2" i="34"/>
  <c r="E23" i="12" l="1"/>
  <c r="E31" i="12" s="1"/>
  <c r="F31" i="12"/>
  <c r="D23" i="12"/>
  <c r="D31" i="12" s="1"/>
  <c r="C23" i="12"/>
  <c r="C31" i="12" s="1"/>
  <c r="L70" i="3"/>
  <c r="N70" i="3"/>
  <c r="E70" i="3"/>
  <c r="J70" i="3"/>
  <c r="I70" i="3"/>
  <c r="D70" i="3"/>
  <c r="H70" i="3"/>
  <c r="O70" i="3"/>
  <c r="K70" i="3"/>
  <c r="C70" i="3"/>
  <c r="M70" i="3"/>
  <c r="F70" i="3"/>
  <c r="G70" i="3"/>
  <c r="C29" i="34"/>
  <c r="I15" i="34"/>
  <c r="I26" i="34" s="1"/>
  <c r="J15" i="34"/>
  <c r="J26" i="34" s="1"/>
  <c r="H15" i="34"/>
  <c r="H26" i="34" s="1"/>
  <c r="G15" i="34"/>
  <c r="G26" i="34" s="1"/>
  <c r="B30" i="34"/>
  <c r="B21" i="34"/>
  <c r="B20" i="34"/>
  <c r="P70" i="3" l="1"/>
  <c r="X7" i="34"/>
  <c r="G18" i="34" s="1"/>
  <c r="G29" i="34" s="1"/>
  <c r="J18" i="34"/>
  <c r="J29" i="34" s="1"/>
  <c r="Q18" i="34"/>
  <c r="Q29" i="34" s="1"/>
  <c r="I18" i="34"/>
  <c r="I29" i="34" s="1"/>
  <c r="T18" i="34"/>
  <c r="T29" i="34" s="1"/>
  <c r="C32" i="34"/>
  <c r="B32" i="34"/>
  <c r="C31" i="34"/>
  <c r="B31" i="34"/>
  <c r="X8" i="34"/>
  <c r="X10" i="34"/>
  <c r="X9" i="34"/>
  <c r="R18" i="34" l="1"/>
  <c r="R29" i="34" s="1"/>
  <c r="K18" i="34"/>
  <c r="K29" i="34" s="1"/>
  <c r="L18" i="34"/>
  <c r="L29" i="34" s="1"/>
  <c r="P18" i="34"/>
  <c r="P29" i="34" s="1"/>
  <c r="M18" i="34"/>
  <c r="M29" i="34" s="1"/>
  <c r="N18" i="34"/>
  <c r="N29" i="34" s="1"/>
  <c r="O18" i="34"/>
  <c r="O29" i="34" s="1"/>
  <c r="H18" i="34"/>
  <c r="H29" i="34" s="1"/>
  <c r="U18" i="34"/>
  <c r="U29" i="34" s="1"/>
  <c r="V18" i="34"/>
  <c r="V29" i="34" s="1"/>
  <c r="S18" i="34"/>
  <c r="S29" i="34" s="1"/>
  <c r="U20" i="34"/>
  <c r="U31" i="34" s="1"/>
  <c r="Q20" i="34"/>
  <c r="Q31" i="34" s="1"/>
  <c r="M20" i="34"/>
  <c r="M31" i="34" s="1"/>
  <c r="I20" i="34"/>
  <c r="I31" i="34" s="1"/>
  <c r="T20" i="34"/>
  <c r="T31" i="34" s="1"/>
  <c r="P20" i="34"/>
  <c r="P31" i="34" s="1"/>
  <c r="L20" i="34"/>
  <c r="L31" i="34" s="1"/>
  <c r="H20" i="34"/>
  <c r="H31" i="34" s="1"/>
  <c r="S20" i="34"/>
  <c r="S31" i="34" s="1"/>
  <c r="O20" i="34"/>
  <c r="O31" i="34" s="1"/>
  <c r="K20" i="34"/>
  <c r="K31" i="34" s="1"/>
  <c r="G20" i="34"/>
  <c r="G31" i="34" s="1"/>
  <c r="R20" i="34"/>
  <c r="R31" i="34" s="1"/>
  <c r="N20" i="34"/>
  <c r="N31" i="34" s="1"/>
  <c r="J20" i="34"/>
  <c r="J31" i="34" s="1"/>
  <c r="V20" i="34"/>
  <c r="V31" i="34" s="1"/>
  <c r="T21" i="34"/>
  <c r="T32" i="34" s="1"/>
  <c r="P21" i="34"/>
  <c r="P32" i="34" s="1"/>
  <c r="L21" i="34"/>
  <c r="L32" i="34" s="1"/>
  <c r="H21" i="34"/>
  <c r="H32" i="34" s="1"/>
  <c r="S21" i="34"/>
  <c r="S32" i="34" s="1"/>
  <c r="O21" i="34"/>
  <c r="O32" i="34" s="1"/>
  <c r="K21" i="34"/>
  <c r="K32" i="34" s="1"/>
  <c r="G21" i="34"/>
  <c r="G32" i="34" s="1"/>
  <c r="V21" i="34"/>
  <c r="V32" i="34" s="1"/>
  <c r="R21" i="34"/>
  <c r="R32" i="34" s="1"/>
  <c r="N21" i="34"/>
  <c r="N32" i="34" s="1"/>
  <c r="J21" i="34"/>
  <c r="J32" i="34" s="1"/>
  <c r="I21" i="34"/>
  <c r="I32" i="34" s="1"/>
  <c r="U21" i="34"/>
  <c r="U32" i="34" s="1"/>
  <c r="Q21" i="34"/>
  <c r="Q32" i="34" s="1"/>
  <c r="M21" i="34"/>
  <c r="M32" i="34" s="1"/>
  <c r="V19" i="34"/>
  <c r="V30" i="34" s="1"/>
  <c r="R19" i="34"/>
  <c r="R30" i="34" s="1"/>
  <c r="N19" i="34"/>
  <c r="N30" i="34" s="1"/>
  <c r="J19" i="34"/>
  <c r="J30" i="34" s="1"/>
  <c r="U19" i="34"/>
  <c r="U30" i="34" s="1"/>
  <c r="Q19" i="34"/>
  <c r="Q30" i="34" s="1"/>
  <c r="M19" i="34"/>
  <c r="M30" i="34" s="1"/>
  <c r="I19" i="34"/>
  <c r="I30" i="34" s="1"/>
  <c r="T19" i="34"/>
  <c r="T30" i="34" s="1"/>
  <c r="P19" i="34"/>
  <c r="P30" i="34" s="1"/>
  <c r="L19" i="34"/>
  <c r="L30" i="34" s="1"/>
  <c r="H19" i="34"/>
  <c r="H30" i="34" s="1"/>
  <c r="K19" i="34"/>
  <c r="K30" i="34" s="1"/>
  <c r="G19" i="34"/>
  <c r="G30" i="34" s="1"/>
  <c r="S19" i="34"/>
  <c r="S30" i="34" s="1"/>
  <c r="O19" i="34"/>
  <c r="O30" i="34" s="1"/>
  <c r="S33" i="34" l="1"/>
  <c r="P33" i="34"/>
  <c r="Q33" i="34"/>
  <c r="L33" i="34"/>
  <c r="T33" i="34"/>
  <c r="V33" i="34"/>
  <c r="O33" i="34"/>
  <c r="H33" i="34"/>
  <c r="G33" i="34"/>
  <c r="M33" i="34"/>
  <c r="N33" i="34"/>
  <c r="J33" i="34"/>
  <c r="I33" i="34"/>
  <c r="R33" i="34"/>
  <c r="K33" i="34"/>
  <c r="U33" i="34"/>
  <c r="G35" i="34" l="1"/>
  <c r="U35" i="34"/>
  <c r="H35" i="34"/>
  <c r="K35" i="34"/>
  <c r="O35" i="34"/>
  <c r="Q35" i="34"/>
  <c r="I35" i="34"/>
  <c r="J35" i="34"/>
  <c r="L35" i="34"/>
  <c r="N35" i="34"/>
  <c r="R35" i="34"/>
  <c r="M35" i="34"/>
  <c r="V35" i="34"/>
  <c r="P35" i="34"/>
  <c r="T35" i="34"/>
  <c r="S35" i="34"/>
  <c r="J37" i="34"/>
  <c r="W34" i="34"/>
  <c r="O36" i="32" l="1"/>
  <c r="O34" i="32"/>
  <c r="O32" i="32"/>
  <c r="O30" i="32"/>
  <c r="O28" i="32"/>
  <c r="O26" i="32"/>
  <c r="O24" i="32"/>
  <c r="O22" i="32"/>
  <c r="O20" i="32"/>
  <c r="O18" i="32"/>
  <c r="O16" i="32"/>
  <c r="O14" i="32"/>
  <c r="O12" i="32"/>
  <c r="O10" i="32"/>
  <c r="O8" i="32"/>
  <c r="O6" i="32"/>
  <c r="K31" i="31"/>
  <c r="F7" i="31" s="1"/>
  <c r="K30" i="31"/>
  <c r="G7" i="31" s="1"/>
  <c r="K29" i="31"/>
  <c r="H7" i="31" s="1"/>
  <c r="K25" i="31"/>
  <c r="F6" i="31" s="1"/>
  <c r="K24" i="31"/>
  <c r="G6" i="31" s="1"/>
  <c r="K23" i="31"/>
  <c r="K19" i="31"/>
  <c r="K18" i="31"/>
  <c r="G5" i="31" s="1"/>
  <c r="K17" i="31"/>
  <c r="H5" i="31" s="1"/>
  <c r="K13" i="31"/>
  <c r="K12" i="31"/>
  <c r="G4" i="31" s="1"/>
  <c r="K11" i="31"/>
  <c r="H4" i="31" s="1"/>
  <c r="H6" i="31"/>
  <c r="F5" i="31"/>
  <c r="F4" i="31"/>
  <c r="O15" i="30"/>
  <c r="O14" i="30"/>
  <c r="G14" i="30"/>
  <c r="O13" i="30"/>
  <c r="I13" i="30"/>
  <c r="H13" i="30"/>
  <c r="O12" i="30"/>
  <c r="I12" i="30"/>
  <c r="H12" i="30"/>
  <c r="O11" i="30"/>
  <c r="O10" i="30"/>
  <c r="H10" i="30"/>
  <c r="O9" i="30"/>
  <c r="O8" i="30"/>
  <c r="O7" i="30"/>
  <c r="O6" i="30"/>
  <c r="O5" i="30"/>
  <c r="O4" i="30"/>
  <c r="O3" i="30"/>
  <c r="S45" i="27"/>
  <c r="S61" i="27" s="1"/>
  <c r="R45" i="27"/>
  <c r="R61" i="27" s="1"/>
  <c r="Q45" i="27"/>
  <c r="Q61" i="27" s="1"/>
  <c r="P45" i="27"/>
  <c r="P61" i="27" s="1"/>
  <c r="O45" i="27"/>
  <c r="O61" i="27" s="1"/>
  <c r="N45" i="27"/>
  <c r="N61" i="27" s="1"/>
  <c r="M45" i="27"/>
  <c r="M61" i="27" s="1"/>
  <c r="L45" i="27"/>
  <c r="L61" i="27" s="1"/>
  <c r="K45" i="27"/>
  <c r="K61" i="27" s="1"/>
  <c r="J45" i="27"/>
  <c r="J61" i="27" s="1"/>
  <c r="I45" i="27"/>
  <c r="I61" i="27" s="1"/>
  <c r="H45" i="27"/>
  <c r="H61" i="27" s="1"/>
  <c r="F45" i="27"/>
  <c r="F61" i="27" s="1"/>
  <c r="D45" i="27"/>
  <c r="D61" i="27" s="1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D39" i="27"/>
  <c r="F38" i="27"/>
  <c r="E38" i="27"/>
  <c r="F37" i="27"/>
  <c r="E37" i="27"/>
  <c r="E35" i="27"/>
  <c r="V27" i="27"/>
  <c r="S46" i="27" s="1"/>
  <c r="U27" i="27"/>
  <c r="R46" i="27" s="1"/>
  <c r="T27" i="27"/>
  <c r="Q46" i="27" s="1"/>
  <c r="S27" i="27"/>
  <c r="P46" i="27" s="1"/>
  <c r="R27" i="27"/>
  <c r="O46" i="27" s="1"/>
  <c r="Q27" i="27"/>
  <c r="N46" i="27" s="1"/>
  <c r="P27" i="27"/>
  <c r="M46" i="27" s="1"/>
  <c r="O27" i="27"/>
  <c r="L46" i="27" s="1"/>
  <c r="N27" i="27"/>
  <c r="K46" i="27" s="1"/>
  <c r="M27" i="27"/>
  <c r="J46" i="27" s="1"/>
  <c r="L27" i="27"/>
  <c r="I46" i="27" s="1"/>
  <c r="K27" i="27"/>
  <c r="H46" i="27" s="1"/>
  <c r="J27" i="27"/>
  <c r="G46" i="27" s="1"/>
  <c r="I27" i="27"/>
  <c r="F46" i="27" s="1"/>
  <c r="H27" i="27"/>
  <c r="E46" i="27" s="1"/>
  <c r="G27" i="27"/>
  <c r="D46" i="27" s="1"/>
  <c r="V26" i="27"/>
  <c r="U26" i="27"/>
  <c r="T26" i="27"/>
  <c r="S26" i="27"/>
  <c r="R26" i="27"/>
  <c r="Q26" i="27"/>
  <c r="P26" i="27"/>
  <c r="O26" i="27"/>
  <c r="N26" i="27"/>
  <c r="M26" i="27"/>
  <c r="L26" i="27"/>
  <c r="K26" i="27"/>
  <c r="I26" i="27"/>
  <c r="G26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V23" i="27"/>
  <c r="S43" i="27" s="1"/>
  <c r="U23" i="27"/>
  <c r="R43" i="27" s="1"/>
  <c r="T23" i="27"/>
  <c r="Q43" i="27" s="1"/>
  <c r="S23" i="27"/>
  <c r="P43" i="27" s="1"/>
  <c r="R23" i="27"/>
  <c r="O43" i="27" s="1"/>
  <c r="Q23" i="27"/>
  <c r="N43" i="27" s="1"/>
  <c r="P23" i="27"/>
  <c r="M43" i="27" s="1"/>
  <c r="O23" i="27"/>
  <c r="L43" i="27" s="1"/>
  <c r="N23" i="27"/>
  <c r="K43" i="27" s="1"/>
  <c r="M23" i="27"/>
  <c r="J43" i="27" s="1"/>
  <c r="L23" i="27"/>
  <c r="I43" i="27" s="1"/>
  <c r="K23" i="27"/>
  <c r="H43" i="27" s="1"/>
  <c r="J23" i="27"/>
  <c r="G43" i="27" s="1"/>
  <c r="I23" i="27"/>
  <c r="F43" i="27" s="1"/>
  <c r="H23" i="27"/>
  <c r="E43" i="27" s="1"/>
  <c r="G23" i="27"/>
  <c r="D43" i="27" s="1"/>
  <c r="V19" i="27"/>
  <c r="U19" i="27"/>
  <c r="T19" i="27"/>
  <c r="S19" i="27"/>
  <c r="R19" i="27"/>
  <c r="Q19" i="27"/>
  <c r="P19" i="27"/>
  <c r="O19" i="27"/>
  <c r="N19" i="27"/>
  <c r="M19" i="27"/>
  <c r="J59" i="27" s="1"/>
  <c r="L19" i="27"/>
  <c r="K19" i="27"/>
  <c r="I19" i="27"/>
  <c r="C19" i="27"/>
  <c r="C40" i="27" s="1"/>
  <c r="C59" i="27" s="1"/>
  <c r="B19" i="27"/>
  <c r="B40" i="27" s="1"/>
  <c r="B59" i="27" s="1"/>
  <c r="A19" i="27"/>
  <c r="A40" i="27" s="1"/>
  <c r="A59" i="27" s="1"/>
  <c r="V18" i="27"/>
  <c r="U18" i="27"/>
  <c r="T18" i="27"/>
  <c r="S18" i="27"/>
  <c r="R18" i="27"/>
  <c r="P18" i="27"/>
  <c r="O18" i="27"/>
  <c r="N18" i="27"/>
  <c r="L18" i="27"/>
  <c r="K18" i="27"/>
  <c r="D18" i="27"/>
  <c r="C18" i="27"/>
  <c r="C39" i="27" s="1"/>
  <c r="C58" i="27" s="1"/>
  <c r="B18" i="27"/>
  <c r="B39" i="27" s="1"/>
  <c r="B58" i="27" s="1"/>
  <c r="A18" i="27"/>
  <c r="A39" i="27" s="1"/>
  <c r="A58" i="27" s="1"/>
  <c r="Q17" i="27"/>
  <c r="M17" i="27"/>
  <c r="I17" i="27"/>
  <c r="F17" i="27"/>
  <c r="E17" i="27"/>
  <c r="P17" i="27" s="1"/>
  <c r="M57" i="27" s="1"/>
  <c r="C17" i="27"/>
  <c r="C38" i="27" s="1"/>
  <c r="C57" i="27" s="1"/>
  <c r="B17" i="27"/>
  <c r="B38" i="27" s="1"/>
  <c r="B57" i="27" s="1"/>
  <c r="A17" i="27"/>
  <c r="A38" i="27" s="1"/>
  <c r="A57" i="27" s="1"/>
  <c r="Q16" i="27"/>
  <c r="M16" i="27"/>
  <c r="I16" i="27"/>
  <c r="F16" i="27"/>
  <c r="E16" i="27"/>
  <c r="N16" i="27" s="1"/>
  <c r="K56" i="27" s="1"/>
  <c r="C16" i="27"/>
  <c r="C37" i="27" s="1"/>
  <c r="C56" i="27" s="1"/>
  <c r="B16" i="27"/>
  <c r="B37" i="27" s="1"/>
  <c r="B56" i="27" s="1"/>
  <c r="A16" i="27"/>
  <c r="A37" i="27" s="1"/>
  <c r="A56" i="27" s="1"/>
  <c r="V15" i="27"/>
  <c r="U15" i="27"/>
  <c r="T15" i="27"/>
  <c r="S15" i="27"/>
  <c r="R15" i="27"/>
  <c r="Q15" i="27"/>
  <c r="P15" i="27"/>
  <c r="O15" i="27"/>
  <c r="N15" i="27"/>
  <c r="M15" i="27"/>
  <c r="L15" i="27"/>
  <c r="K15" i="27"/>
  <c r="I15" i="27"/>
  <c r="C15" i="27"/>
  <c r="C36" i="27" s="1"/>
  <c r="C55" i="27" s="1"/>
  <c r="B15" i="27"/>
  <c r="B36" i="27" s="1"/>
  <c r="B55" i="27" s="1"/>
  <c r="A15" i="27"/>
  <c r="A36" i="27" s="1"/>
  <c r="A55" i="27" s="1"/>
  <c r="U14" i="27"/>
  <c r="T14" i="27"/>
  <c r="S14" i="27"/>
  <c r="Q14" i="27"/>
  <c r="M14" i="27"/>
  <c r="K14" i="27"/>
  <c r="I14" i="27"/>
  <c r="E14" i="27"/>
  <c r="O14" i="27" s="1"/>
  <c r="C14" i="27"/>
  <c r="C35" i="27" s="1"/>
  <c r="C54" i="27" s="1"/>
  <c r="B14" i="27"/>
  <c r="B35" i="27" s="1"/>
  <c r="B54" i="27" s="1"/>
  <c r="A14" i="27"/>
  <c r="A35" i="27" s="1"/>
  <c r="A54" i="27" s="1"/>
  <c r="V13" i="27"/>
  <c r="U13" i="27"/>
  <c r="T13" i="27"/>
  <c r="S13" i="27"/>
  <c r="R13" i="27"/>
  <c r="Q13" i="27"/>
  <c r="P13" i="27"/>
  <c r="O13" i="27"/>
  <c r="N13" i="27"/>
  <c r="M13" i="27"/>
  <c r="L13" i="27"/>
  <c r="K13" i="27"/>
  <c r="I13" i="27"/>
  <c r="C13" i="27"/>
  <c r="C34" i="27" s="1"/>
  <c r="C53" i="27" s="1"/>
  <c r="B13" i="27"/>
  <c r="B34" i="27" s="1"/>
  <c r="B53" i="27" s="1"/>
  <c r="A13" i="27"/>
  <c r="A34" i="27" s="1"/>
  <c r="A53" i="27" s="1"/>
  <c r="V12" i="27"/>
  <c r="U12" i="27"/>
  <c r="T12" i="27"/>
  <c r="S12" i="27"/>
  <c r="R12" i="27"/>
  <c r="Q12" i="27"/>
  <c r="P12" i="27"/>
  <c r="O12" i="27"/>
  <c r="N12" i="27"/>
  <c r="M12" i="27"/>
  <c r="L12" i="27"/>
  <c r="K12" i="27"/>
  <c r="I12" i="27"/>
  <c r="G12" i="27"/>
  <c r="C12" i="27"/>
  <c r="C33" i="27" s="1"/>
  <c r="C52" i="27" s="1"/>
  <c r="B12" i="27"/>
  <c r="B33" i="27" s="1"/>
  <c r="B52" i="27" s="1"/>
  <c r="A12" i="27"/>
  <c r="A33" i="27" s="1"/>
  <c r="A52" i="27" s="1"/>
  <c r="V11" i="27"/>
  <c r="U11" i="27"/>
  <c r="T11" i="27"/>
  <c r="S11" i="27"/>
  <c r="R11" i="27"/>
  <c r="Q11" i="27"/>
  <c r="P11" i="27"/>
  <c r="O11" i="27"/>
  <c r="N11" i="27"/>
  <c r="M11" i="27"/>
  <c r="L11" i="27"/>
  <c r="K11" i="27"/>
  <c r="I11" i="27"/>
  <c r="C11" i="27"/>
  <c r="C32" i="27" s="1"/>
  <c r="C51" i="27" s="1"/>
  <c r="B11" i="27"/>
  <c r="B32" i="27" s="1"/>
  <c r="B51" i="27" s="1"/>
  <c r="A11" i="27"/>
  <c r="A32" i="27" s="1"/>
  <c r="A51" i="27" s="1"/>
  <c r="V10" i="27"/>
  <c r="U10" i="27"/>
  <c r="T10" i="27"/>
  <c r="S10" i="27"/>
  <c r="R10" i="27"/>
  <c r="Q10" i="27"/>
  <c r="P10" i="27"/>
  <c r="O10" i="27"/>
  <c r="N10" i="27"/>
  <c r="M10" i="27"/>
  <c r="L10" i="27"/>
  <c r="K10" i="27"/>
  <c r="I10" i="27"/>
  <c r="C10" i="27"/>
  <c r="C31" i="27" s="1"/>
  <c r="C50" i="27" s="1"/>
  <c r="B10" i="27"/>
  <c r="B31" i="27" s="1"/>
  <c r="B50" i="27" s="1"/>
  <c r="A10" i="27"/>
  <c r="A31" i="27" s="1"/>
  <c r="A50" i="27" s="1"/>
  <c r="V9" i="27"/>
  <c r="U9" i="27"/>
  <c r="R49" i="27" s="1"/>
  <c r="T9" i="27"/>
  <c r="S9" i="27"/>
  <c r="P49" i="27" s="1"/>
  <c r="R9" i="27"/>
  <c r="Q9" i="27"/>
  <c r="P9" i="27"/>
  <c r="O9" i="27"/>
  <c r="N9" i="27"/>
  <c r="M9" i="27"/>
  <c r="L9" i="27"/>
  <c r="K9" i="27"/>
  <c r="H49" i="27" s="1"/>
  <c r="I9" i="27"/>
  <c r="C9" i="27"/>
  <c r="C30" i="27" s="1"/>
  <c r="C49" i="27" s="1"/>
  <c r="B9" i="27"/>
  <c r="B30" i="27" s="1"/>
  <c r="B49" i="27" s="1"/>
  <c r="A9" i="27"/>
  <c r="A30" i="27" s="1"/>
  <c r="A49" i="27" s="1"/>
  <c r="V8" i="27"/>
  <c r="U8" i="27"/>
  <c r="R48" i="27" s="1"/>
  <c r="T8" i="27"/>
  <c r="Q48" i="27" s="1"/>
  <c r="S8" i="27"/>
  <c r="R8" i="27"/>
  <c r="Q8" i="27"/>
  <c r="P8" i="27"/>
  <c r="O8" i="27"/>
  <c r="N8" i="27"/>
  <c r="M8" i="27"/>
  <c r="L8" i="27"/>
  <c r="I48" i="27" s="1"/>
  <c r="K8" i="27"/>
  <c r="I8" i="27"/>
  <c r="G8" i="27"/>
  <c r="C8" i="27"/>
  <c r="C29" i="27" s="1"/>
  <c r="C48" i="27" s="1"/>
  <c r="B8" i="27"/>
  <c r="B29" i="27" s="1"/>
  <c r="B48" i="27" s="1"/>
  <c r="A8" i="27"/>
  <c r="A29" i="27" s="1"/>
  <c r="A48" i="27" s="1"/>
  <c r="V7" i="27"/>
  <c r="U7" i="27"/>
  <c r="T7" i="27"/>
  <c r="S7" i="27"/>
  <c r="R7" i="27"/>
  <c r="Q7" i="27"/>
  <c r="P7" i="27"/>
  <c r="O7" i="27"/>
  <c r="N7" i="27"/>
  <c r="M7" i="27"/>
  <c r="L7" i="27"/>
  <c r="K7" i="27"/>
  <c r="I7" i="27"/>
  <c r="C7" i="27"/>
  <c r="C28" i="27" s="1"/>
  <c r="C47" i="27" s="1"/>
  <c r="B7" i="27"/>
  <c r="B28" i="27" s="1"/>
  <c r="B47" i="27" s="1"/>
  <c r="A7" i="27"/>
  <c r="A28" i="27" s="1"/>
  <c r="A47" i="27" s="1"/>
  <c r="J5" i="27"/>
  <c r="J7" i="27" s="1"/>
  <c r="H5" i="27"/>
  <c r="H11" i="27" s="1"/>
  <c r="G19" i="27"/>
  <c r="E34" i="26"/>
  <c r="F32" i="26" s="1"/>
  <c r="E25" i="26"/>
  <c r="E15" i="26"/>
  <c r="F14" i="26" s="1"/>
  <c r="F7" i="26" s="1"/>
  <c r="H7" i="26"/>
  <c r="G7" i="26"/>
  <c r="E7" i="26"/>
  <c r="H6" i="26"/>
  <c r="G6" i="26"/>
  <c r="E6" i="26"/>
  <c r="H5" i="26"/>
  <c r="G5" i="26"/>
  <c r="E5" i="26"/>
  <c r="H4" i="26"/>
  <c r="G4" i="26"/>
  <c r="E4" i="26"/>
  <c r="L14" i="27" l="1"/>
  <c r="N17" i="27"/>
  <c r="J7" i="26"/>
  <c r="I7" i="26" s="1"/>
  <c r="F21" i="26"/>
  <c r="F22" i="26"/>
  <c r="F23" i="26"/>
  <c r="F29" i="26"/>
  <c r="F4" i="26" s="1"/>
  <c r="J4" i="26" s="1"/>
  <c r="I4" i="26" s="1"/>
  <c r="F30" i="26"/>
  <c r="F31" i="26"/>
  <c r="F33" i="26"/>
  <c r="F24" i="26"/>
  <c r="J9" i="27"/>
  <c r="G49" i="27" s="1"/>
  <c r="R17" i="27"/>
  <c r="O57" i="27" s="1"/>
  <c r="P14" i="27"/>
  <c r="M54" i="27" s="1"/>
  <c r="V17" i="27"/>
  <c r="J18" i="27"/>
  <c r="G58" i="27" s="1"/>
  <c r="I47" i="27"/>
  <c r="J11" i="27"/>
  <c r="G51" i="27" s="1"/>
  <c r="H52" i="27"/>
  <c r="H47" i="27"/>
  <c r="L47" i="27"/>
  <c r="P47" i="27"/>
  <c r="R55" i="27"/>
  <c r="K59" i="27"/>
  <c r="F49" i="27"/>
  <c r="F55" i="27"/>
  <c r="J56" i="27"/>
  <c r="N57" i="27"/>
  <c r="F59" i="27"/>
  <c r="F48" i="27"/>
  <c r="I54" i="27"/>
  <c r="S51" i="27"/>
  <c r="N55" i="27"/>
  <c r="H14" i="27"/>
  <c r="G45" i="27"/>
  <c r="G61" i="27" s="1"/>
  <c r="J26" i="27"/>
  <c r="J19" i="27"/>
  <c r="G59" i="27" s="1"/>
  <c r="G7" i="27"/>
  <c r="D47" i="27" s="1"/>
  <c r="H8" i="27"/>
  <c r="J10" i="27"/>
  <c r="G11" i="27"/>
  <c r="D51" i="27" s="1"/>
  <c r="H12" i="27"/>
  <c r="E52" i="27" s="1"/>
  <c r="J15" i="27"/>
  <c r="V16" i="27"/>
  <c r="S56" i="27" s="1"/>
  <c r="R16" i="27"/>
  <c r="O56" i="27" s="1"/>
  <c r="P16" i="27"/>
  <c r="M56" i="27" s="1"/>
  <c r="L16" i="27"/>
  <c r="J16" i="27"/>
  <c r="G56" i="27" s="1"/>
  <c r="O16" i="27"/>
  <c r="L56" i="27" s="1"/>
  <c r="M47" i="27"/>
  <c r="K48" i="27"/>
  <c r="K49" i="27"/>
  <c r="J50" i="27"/>
  <c r="D52" i="27"/>
  <c r="Q53" i="27"/>
  <c r="H9" i="27"/>
  <c r="E49" i="27" s="1"/>
  <c r="M53" i="27"/>
  <c r="G10" i="27"/>
  <c r="D50" i="27" s="1"/>
  <c r="J13" i="27"/>
  <c r="G53" i="27" s="1"/>
  <c r="J14" i="27"/>
  <c r="G54" i="27" s="1"/>
  <c r="N14" i="27"/>
  <c r="R14" i="27"/>
  <c r="V14" i="27"/>
  <c r="G15" i="27"/>
  <c r="U16" i="27"/>
  <c r="R56" i="27" s="1"/>
  <c r="T16" i="27"/>
  <c r="Q56" i="27" s="1"/>
  <c r="K16" i="27"/>
  <c r="H56" i="27" s="1"/>
  <c r="J17" i="27"/>
  <c r="G57" i="27" s="1"/>
  <c r="J47" i="27"/>
  <c r="N47" i="27"/>
  <c r="R47" i="27"/>
  <c r="Q47" i="27"/>
  <c r="O48" i="27"/>
  <c r="O49" i="27"/>
  <c r="N50" i="27"/>
  <c r="K51" i="27"/>
  <c r="J55" i="27"/>
  <c r="K58" i="27"/>
  <c r="E45" i="27"/>
  <c r="E61" i="27" s="1"/>
  <c r="H18" i="27"/>
  <c r="E58" i="27" s="1"/>
  <c r="H17" i="27"/>
  <c r="E57" i="27" s="1"/>
  <c r="H26" i="27"/>
  <c r="H19" i="27"/>
  <c r="E59" i="27" s="1"/>
  <c r="H16" i="27"/>
  <c r="E56" i="27" s="1"/>
  <c r="H13" i="27"/>
  <c r="E53" i="27" s="1"/>
  <c r="U17" i="27"/>
  <c r="T17" i="27"/>
  <c r="Q57" i="27" s="1"/>
  <c r="S17" i="27"/>
  <c r="P57" i="27" s="1"/>
  <c r="K17" i="27"/>
  <c r="H57" i="27" s="1"/>
  <c r="P59" i="27"/>
  <c r="H59" i="27"/>
  <c r="D59" i="27"/>
  <c r="P54" i="27"/>
  <c r="L54" i="27"/>
  <c r="H54" i="27"/>
  <c r="P53" i="27"/>
  <c r="L53" i="27"/>
  <c r="H53" i="27"/>
  <c r="P55" i="27"/>
  <c r="L55" i="27"/>
  <c r="H55" i="27"/>
  <c r="D55" i="27"/>
  <c r="P50" i="27"/>
  <c r="L50" i="27"/>
  <c r="H50" i="27"/>
  <c r="H48" i="27"/>
  <c r="D48" i="27"/>
  <c r="L59" i="27"/>
  <c r="L58" i="27"/>
  <c r="H58" i="27"/>
  <c r="P51" i="27"/>
  <c r="L51" i="27"/>
  <c r="H51" i="27"/>
  <c r="L49" i="27"/>
  <c r="P48" i="27"/>
  <c r="L48" i="27"/>
  <c r="F50" i="27"/>
  <c r="P52" i="27"/>
  <c r="H7" i="27"/>
  <c r="E47" i="27" s="1"/>
  <c r="G18" i="27"/>
  <c r="G17" i="27"/>
  <c r="J8" i="27"/>
  <c r="G48" i="27" s="1"/>
  <c r="G9" i="27"/>
  <c r="H10" i="27"/>
  <c r="E50" i="27" s="1"/>
  <c r="J12" i="27"/>
  <c r="G52" i="27" s="1"/>
  <c r="G13" i="27"/>
  <c r="G14" i="27"/>
  <c r="H15" i="27"/>
  <c r="E55" i="27" s="1"/>
  <c r="G16" i="27"/>
  <c r="S16" i="27"/>
  <c r="Q18" i="27"/>
  <c r="N58" i="27" s="1"/>
  <c r="M18" i="27"/>
  <c r="J58" i="27" s="1"/>
  <c r="I18" i="27"/>
  <c r="K47" i="27"/>
  <c r="O47" i="27"/>
  <c r="S47" i="27"/>
  <c r="R50" i="27"/>
  <c r="O51" i="27"/>
  <c r="L52" i="27"/>
  <c r="I53" i="27"/>
  <c r="Q54" i="27"/>
  <c r="S57" i="27"/>
  <c r="P58" i="27"/>
  <c r="O17" i="27"/>
  <c r="I59" i="27"/>
  <c r="Q59" i="27"/>
  <c r="M59" i="27"/>
  <c r="F47" i="27"/>
  <c r="Q49" i="27"/>
  <c r="G50" i="27"/>
  <c r="K50" i="27"/>
  <c r="O50" i="27"/>
  <c r="S50" i="27"/>
  <c r="I52" i="27"/>
  <c r="M52" i="27"/>
  <c r="Q52" i="27"/>
  <c r="F53" i="27"/>
  <c r="J53" i="27"/>
  <c r="N53" i="27"/>
  <c r="R53" i="27"/>
  <c r="F54" i="27"/>
  <c r="J54" i="27"/>
  <c r="N54" i="27"/>
  <c r="R54" i="27"/>
  <c r="K55" i="27"/>
  <c r="O55" i="27"/>
  <c r="S55" i="27"/>
  <c r="F56" i="27"/>
  <c r="J57" i="27"/>
  <c r="Q58" i="27"/>
  <c r="L17" i="27"/>
  <c r="I57" i="27" s="1"/>
  <c r="R59" i="27"/>
  <c r="N59" i="27"/>
  <c r="G47" i="27"/>
  <c r="M48" i="27"/>
  <c r="S48" i="27"/>
  <c r="I49" i="27"/>
  <c r="M49" i="27"/>
  <c r="S49" i="27"/>
  <c r="E51" i="27"/>
  <c r="I51" i="27"/>
  <c r="M51" i="27"/>
  <c r="Q51" i="27"/>
  <c r="F52" i="27"/>
  <c r="J52" i="27"/>
  <c r="N52" i="27"/>
  <c r="R52" i="27"/>
  <c r="K53" i="27"/>
  <c r="O53" i="27"/>
  <c r="S53" i="27"/>
  <c r="O54" i="27"/>
  <c r="S54" i="27"/>
  <c r="N56" i="27"/>
  <c r="K57" i="27"/>
  <c r="I58" i="27"/>
  <c r="M58" i="27"/>
  <c r="R58" i="27"/>
  <c r="O59" i="27"/>
  <c r="S59" i="27"/>
  <c r="E48" i="27"/>
  <c r="J48" i="27"/>
  <c r="N48" i="27"/>
  <c r="J49" i="27"/>
  <c r="N49" i="27"/>
  <c r="I50" i="27"/>
  <c r="M50" i="27"/>
  <c r="Q50" i="27"/>
  <c r="F51" i="27"/>
  <c r="J51" i="27"/>
  <c r="N51" i="27"/>
  <c r="R51" i="27"/>
  <c r="K52" i="27"/>
  <c r="O52" i="27"/>
  <c r="S52" i="27"/>
  <c r="I55" i="27"/>
  <c r="M55" i="27"/>
  <c r="Q55" i="27"/>
  <c r="F57" i="27"/>
  <c r="R57" i="27"/>
  <c r="F58" i="27"/>
  <c r="O58" i="27"/>
  <c r="S58" i="27"/>
  <c r="F13" i="26"/>
  <c r="F6" i="26" s="1"/>
  <c r="J6" i="26" s="1"/>
  <c r="I6" i="26" s="1"/>
  <c r="F20" i="26"/>
  <c r="F19" i="26"/>
  <c r="F5" i="26" s="1"/>
  <c r="J5" i="26" s="1"/>
  <c r="I5" i="26" s="1"/>
  <c r="I8" i="26" l="1"/>
  <c r="D58" i="27"/>
  <c r="H62" i="27"/>
  <c r="D53" i="27"/>
  <c r="D56" i="27"/>
  <c r="E54" i="27"/>
  <c r="E62" i="27" s="1"/>
  <c r="D54" i="27"/>
  <c r="P56" i="27"/>
  <c r="P62" i="27" s="1"/>
  <c r="Q62" i="27"/>
  <c r="M62" i="27"/>
  <c r="O62" i="27"/>
  <c r="J62" i="27"/>
  <c r="I56" i="27"/>
  <c r="I62" i="27" s="1"/>
  <c r="G55" i="27"/>
  <c r="G62" i="27" s="1"/>
  <c r="F62" i="27"/>
  <c r="D49" i="27"/>
  <c r="L57" i="27"/>
  <c r="L62" i="27" s="1"/>
  <c r="R62" i="27"/>
  <c r="K54" i="27"/>
  <c r="K62" i="27" s="1"/>
  <c r="S62" i="27"/>
  <c r="D57" i="27"/>
  <c r="N62" i="27"/>
  <c r="F63" i="27" l="1"/>
  <c r="F55" i="23"/>
  <c r="F57" i="23" s="1"/>
  <c r="C20" i="38" s="1"/>
  <c r="S63" i="27"/>
  <c r="S55" i="23"/>
  <c r="S57" i="23" s="1"/>
  <c r="C111" i="38" s="1"/>
  <c r="H63" i="27"/>
  <c r="H55" i="23"/>
  <c r="H57" i="23" s="1"/>
  <c r="C34" i="38" s="1"/>
  <c r="N63" i="27"/>
  <c r="N55" i="23"/>
  <c r="N57" i="23" s="1"/>
  <c r="C76" i="38" s="1"/>
  <c r="J63" i="27"/>
  <c r="J55" i="23"/>
  <c r="J57" i="23" s="1"/>
  <c r="C48" i="38" s="1"/>
  <c r="O63" i="27"/>
  <c r="O55" i="23"/>
  <c r="O57" i="23" s="1"/>
  <c r="C83" i="38" s="1"/>
  <c r="R63" i="27"/>
  <c r="R55" i="23"/>
  <c r="R57" i="23" s="1"/>
  <c r="C104" i="38" s="1"/>
  <c r="M63" i="27"/>
  <c r="M55" i="23"/>
  <c r="M57" i="23" s="1"/>
  <c r="C69" i="38" s="1"/>
  <c r="P63" i="27"/>
  <c r="P55" i="23"/>
  <c r="P57" i="23" s="1"/>
  <c r="C90" i="38" s="1"/>
  <c r="I63" i="27"/>
  <c r="I55" i="23"/>
  <c r="I57" i="23" s="1"/>
  <c r="C41" i="38" s="1"/>
  <c r="K63" i="27"/>
  <c r="K55" i="23"/>
  <c r="K57" i="23" s="1"/>
  <c r="C55" i="38" s="1"/>
  <c r="L63" i="27"/>
  <c r="L55" i="23"/>
  <c r="L57" i="23" s="1"/>
  <c r="C62" i="38" s="1"/>
  <c r="Q63" i="27"/>
  <c r="Q55" i="23"/>
  <c r="Q57" i="23" s="1"/>
  <c r="C97" i="38" s="1"/>
  <c r="G63" i="27"/>
  <c r="G55" i="23"/>
  <c r="G57" i="23" s="1"/>
  <c r="C27" i="38" s="1"/>
  <c r="E63" i="27"/>
  <c r="E55" i="23"/>
  <c r="E57" i="23" s="1"/>
  <c r="C13" i="38" s="1"/>
  <c r="D13" i="40" s="1"/>
  <c r="D62" i="27"/>
  <c r="R5" i="38" l="1"/>
  <c r="R6" i="38" s="1"/>
  <c r="C77" i="38"/>
  <c r="K5" i="38"/>
  <c r="K6" i="38" s="1"/>
  <c r="M11" i="38" s="1"/>
  <c r="C35" i="38"/>
  <c r="L5" i="38"/>
  <c r="L6" i="38" s="1"/>
  <c r="D63" i="27"/>
  <c r="D55" i="23"/>
  <c r="D57" i="23" s="1"/>
  <c r="C6" i="38" s="1"/>
  <c r="V5" i="38"/>
  <c r="V6" i="38" s="1"/>
  <c r="C105" i="38"/>
  <c r="O5" i="38"/>
  <c r="O6" i="38" s="1"/>
  <c r="C56" i="38"/>
  <c r="W5" i="38"/>
  <c r="W6" i="38" s="1"/>
  <c r="C112" i="38"/>
  <c r="P5" i="38"/>
  <c r="P6" i="38" s="1"/>
  <c r="C63" i="38"/>
  <c r="S5" i="38"/>
  <c r="S6" i="38" s="1"/>
  <c r="C84" i="38"/>
  <c r="Q5" i="38"/>
  <c r="Q6" i="38" s="1"/>
  <c r="C70" i="38"/>
  <c r="C42" i="38"/>
  <c r="M5" i="38"/>
  <c r="M6" i="38" s="1"/>
  <c r="T5" i="38"/>
  <c r="T6" i="38" s="1"/>
  <c r="C91" i="38"/>
  <c r="E13" i="40"/>
  <c r="J5" i="38"/>
  <c r="J6" i="38" s="1"/>
  <c r="L11" i="38" s="1"/>
  <c r="C21" i="38"/>
  <c r="U5" i="38"/>
  <c r="U6" i="38" s="1"/>
  <c r="C98" i="38"/>
  <c r="N5" i="38"/>
  <c r="N6" i="38" s="1"/>
  <c r="C49" i="38"/>
  <c r="C28" i="38"/>
  <c r="F13" i="40"/>
  <c r="I5" i="38"/>
  <c r="C14" i="38"/>
  <c r="G65" i="27"/>
  <c r="C13" i="40" l="1"/>
  <c r="C7" i="38"/>
  <c r="H5" i="38"/>
  <c r="H6" i="38" s="1"/>
  <c r="I6" i="38"/>
  <c r="K11" i="38" s="1"/>
  <c r="X5" i="38"/>
  <c r="X6" i="38" s="1"/>
  <c r="H11" i="38" l="1"/>
  <c r="N11" i="38"/>
  <c r="K12" i="38"/>
  <c r="H12" i="38" l="1"/>
  <c r="I12" i="38" s="1"/>
  <c r="I11" i="38"/>
  <c r="L12" i="38"/>
  <c r="M12" i="38"/>
  <c r="N12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Rango [0-15]</t>
        </r>
      </text>
    </comment>
    <comment ref="D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Rango [16-30]</t>
        </r>
      </text>
    </comment>
    <comment ref="E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Rango [31-60]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CEIIS1</author>
  </authors>
  <commentList>
    <comment ref="G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Pecho, Espalda y 2 Mangas</t>
        </r>
      </text>
    </comment>
    <comment ref="H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Pecho, Espalda, 2 Mangas, Capucha y Canguro</t>
        </r>
      </text>
    </comment>
    <comment ref="I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 xml:space="preserve">2 Pechos, Espalda, 2 Mangas y Espalda Interior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1hora*26días
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4horas*26días</t>
        </r>
      </text>
    </comment>
    <comment ref="E6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2horas*30días</t>
        </r>
      </text>
    </comment>
    <comment ref="E7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2horas*26días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CEIIS1</author>
  </authors>
  <commentList>
    <comment ref="D1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Pecho, Espalda y 2 Mangas</t>
        </r>
      </text>
    </comment>
    <comment ref="E1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Pecho, Espalda, 2 Mangas, Capucha y Canguro</t>
        </r>
      </text>
    </comment>
    <comment ref="F12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 xml:space="preserve">2 Pechos, Espalda, 2 Mangas y Espalda Interior
</t>
        </r>
      </text>
    </comment>
    <comment ref="D33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Pecho, Espalda y 2 Mangas</t>
        </r>
      </text>
    </comment>
    <comment ref="E33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Pecho, Espalda, 2 Mangas, Capucha y Canguro</t>
        </r>
      </text>
    </comment>
    <comment ref="F33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 xml:space="preserve">2 Pechos, Espalda, 2 Mangas y Espalda Interior
</t>
        </r>
      </text>
    </comment>
  </commentList>
</comments>
</file>

<file path=xl/sharedStrings.xml><?xml version="1.0" encoding="utf-8"?>
<sst xmlns="http://schemas.openxmlformats.org/spreadsheetml/2006/main" count="3987" uniqueCount="617">
  <si>
    <t>EC27</t>
  </si>
  <si>
    <t>EC26</t>
  </si>
  <si>
    <t>EC25</t>
  </si>
  <si>
    <t>EC24</t>
  </si>
  <si>
    <t>EC29</t>
  </si>
  <si>
    <t>EC28</t>
  </si>
  <si>
    <t>Apoyo</t>
  </si>
  <si>
    <t>AA2</t>
  </si>
  <si>
    <t>AA3</t>
  </si>
  <si>
    <t>AA1</t>
  </si>
  <si>
    <t>EC14</t>
  </si>
  <si>
    <t>EC13</t>
  </si>
  <si>
    <t>EC16</t>
  </si>
  <si>
    <t>EC15</t>
  </si>
  <si>
    <t>EC18</t>
  </si>
  <si>
    <t>EC17</t>
  </si>
  <si>
    <t>OPERATIVO</t>
  </si>
  <si>
    <t>EC19</t>
  </si>
  <si>
    <t>EC20</t>
  </si>
  <si>
    <t>EC21</t>
  </si>
  <si>
    <t>EC22</t>
  </si>
  <si>
    <t>EC23</t>
  </si>
  <si>
    <t>EC09</t>
  </si>
  <si>
    <t>EC08</t>
  </si>
  <si>
    <t>EC07</t>
  </si>
  <si>
    <t>EC06</t>
  </si>
  <si>
    <t>EC05</t>
  </si>
  <si>
    <t>EC04</t>
  </si>
  <si>
    <t>EC03</t>
  </si>
  <si>
    <t>EC02</t>
  </si>
  <si>
    <t>EC11</t>
  </si>
  <si>
    <t>EC12</t>
  </si>
  <si>
    <t>EC10</t>
  </si>
  <si>
    <t>ACTIVIDADES DE GERENCIA GENERAL</t>
  </si>
  <si>
    <t>INDUCTOR</t>
  </si>
  <si>
    <t>EC01</t>
  </si>
  <si>
    <t>TIPO DE ELEMENTO DE COSTO</t>
  </si>
  <si>
    <t>CAO2</t>
  </si>
  <si>
    <t>CAO1</t>
  </si>
  <si>
    <t>INDUCTORES</t>
  </si>
  <si>
    <t xml:space="preserve">CENTRO DE ACTIVIDAD </t>
  </si>
  <si>
    <t>OTROS COSTOS</t>
  </si>
  <si>
    <t>AE4</t>
  </si>
  <si>
    <t>AE2</t>
  </si>
  <si>
    <t>AE3</t>
  </si>
  <si>
    <t>AE1</t>
  </si>
  <si>
    <t>Operativo</t>
  </si>
  <si>
    <t>Estratégico</t>
  </si>
  <si>
    <t>PERSONAL</t>
  </si>
  <si>
    <t>CAA1</t>
  </si>
  <si>
    <t>APOYO</t>
  </si>
  <si>
    <t>CENTRO DE ACTIVIDAD ESTRATÉGICO</t>
  </si>
  <si>
    <t>TIPO</t>
  </si>
  <si>
    <t>Agua</t>
  </si>
  <si>
    <t>SERVICIOS BÁSICOS</t>
  </si>
  <si>
    <t>ELEMENTO DE COSTO</t>
  </si>
  <si>
    <t>I12</t>
  </si>
  <si>
    <t>I10</t>
  </si>
  <si>
    <t>I11</t>
  </si>
  <si>
    <t>I16</t>
  </si>
  <si>
    <t>TRANSPORTE</t>
  </si>
  <si>
    <t>I19</t>
  </si>
  <si>
    <t>I18</t>
  </si>
  <si>
    <t>I01</t>
  </si>
  <si>
    <t>I02</t>
  </si>
  <si>
    <t>I03</t>
  </si>
  <si>
    <t>I04</t>
  </si>
  <si>
    <t>I05</t>
  </si>
  <si>
    <t>I06</t>
  </si>
  <si>
    <t>I08</t>
  </si>
  <si>
    <t>I07</t>
  </si>
  <si>
    <t>I09</t>
  </si>
  <si>
    <t>CODIGO</t>
  </si>
  <si>
    <t>AO6</t>
  </si>
  <si>
    <t>AO11</t>
  </si>
  <si>
    <t>AO7</t>
  </si>
  <si>
    <t>AO8</t>
  </si>
  <si>
    <t>I20</t>
  </si>
  <si>
    <t>AO9</t>
  </si>
  <si>
    <t>AO10</t>
  </si>
  <si>
    <t>I25</t>
  </si>
  <si>
    <t>I26</t>
  </si>
  <si>
    <t>I27</t>
  </si>
  <si>
    <t>I28</t>
  </si>
  <si>
    <t>AO1</t>
  </si>
  <si>
    <t>ESTRATÉGICO</t>
  </si>
  <si>
    <t>I21</t>
  </si>
  <si>
    <t>AO2</t>
  </si>
  <si>
    <t>I22</t>
  </si>
  <si>
    <t xml:space="preserve">Servicio de internet </t>
  </si>
  <si>
    <t>AO3</t>
  </si>
  <si>
    <t>I23</t>
  </si>
  <si>
    <t>AO4</t>
  </si>
  <si>
    <t>I24</t>
  </si>
  <si>
    <t>AO5</t>
  </si>
  <si>
    <t>I29</t>
  </si>
  <si>
    <t>TOTAL</t>
  </si>
  <si>
    <t>GERENCIA GENERAL</t>
  </si>
  <si>
    <t>x</t>
  </si>
  <si>
    <t>I13</t>
  </si>
  <si>
    <t>I14</t>
  </si>
  <si>
    <t>I15</t>
  </si>
  <si>
    <t>I17</t>
  </si>
  <si>
    <t>Gerencia General</t>
  </si>
  <si>
    <t>Energía Eléctrica</t>
  </si>
  <si>
    <t>Teléfono</t>
  </si>
  <si>
    <t>Útiles de escritorio</t>
  </si>
  <si>
    <t xml:space="preserve">                                 </t>
  </si>
  <si>
    <t>CAE1</t>
  </si>
  <si>
    <t>ELEMENTOS DE COSTOS</t>
  </si>
  <si>
    <t>CENTRO DE ACTIVIDADES</t>
  </si>
  <si>
    <t>I N D U C T O R E S</t>
  </si>
  <si>
    <t xml:space="preserve">Produccion Mensual (paquetes) </t>
  </si>
  <si>
    <t>COSTO DE LOS ELEMENTOS DE COSTO POR ACTIVIDAD POR CENTRO DE ACTIVIDAD</t>
  </si>
  <si>
    <t>COSTO DE LAS ACTIVIDADES ESTRATÉGICAS A LOS CENTRO DE ACTIVIDAD DE APOYO Y OPERATIVO</t>
  </si>
  <si>
    <t>CENTRO DE ACTIVIDADES OPERATIVAS</t>
  </si>
  <si>
    <t>ELEMENTOS   DE   COSTOS</t>
  </si>
  <si>
    <t>COSTO</t>
  </si>
  <si>
    <t>COSTO DE LA ACTIVIDADES DE APOYO A LOS CENTROS DE ACTIVIDAD OPERATIVOS</t>
  </si>
  <si>
    <t>PROCESO II</t>
  </si>
  <si>
    <t>PROCESO III</t>
  </si>
  <si>
    <t>PROCESO IV</t>
  </si>
  <si>
    <t>IDENTIFICACIÓN DE INDUCTORES</t>
  </si>
  <si>
    <t>COSTO UNITARIO</t>
  </si>
  <si>
    <t>COSTO DE LAS ACTIVIDADES OPERATIVAS A LOS OBJETOS DE COSTO</t>
  </si>
  <si>
    <t>CÁLCULO DEL COSTO UNITARIO DE LOS OBJETOS DE COSTO</t>
  </si>
  <si>
    <t xml:space="preserve">Costo Total </t>
  </si>
  <si>
    <t>PROCESO 5: CALCULO DEL COSTO DE CADA OBJETO DE COSTO</t>
  </si>
  <si>
    <t xml:space="preserve">                        PROCESO 4E: CALCULO DEL COSTO DEL ELEMENTO DE COSTO DE ACTIVIDAD OPERATIVA A CADA ORDEN DE TRABAJO</t>
  </si>
  <si>
    <t xml:space="preserve">                        PROCESO 4D: CALCULO DEL COSTO DEL ELEMENTO DE COSTO DE ACTIVIDAD DE APOYO A ACTIVIDADES OPERATIVAS </t>
  </si>
  <si>
    <t xml:space="preserve">                        PROCESO 4C: CALCULO DEL COSTO DEL ELEMENTO DE COSTO DE ACTIVIDAD ESTRATÉGICA A ACTIVIDADES DE APOYO  Y ACTIVIDADES OPERATIVAS </t>
  </si>
  <si>
    <t xml:space="preserve">                        PROCESO 4B: CALCULO DEL COSTO DEL ELEMENTO DE COSTO DE CADA CENTRO DE ACTIVIDAD  A CADA ACTIVIDAD DEL CENTRO DE ACTIVIDAD</t>
  </si>
  <si>
    <t xml:space="preserve">                        PROCESO 4A: CALCULO DEL ELEMENTO DE COSTO A CADA CENTRO DE ACTIVIDAD</t>
  </si>
  <si>
    <t>PROCESO 3: CALCULO DEL COSTO DE LA MANO DE OBRA DIRECTA A CADA ORDEN DE TRABAJO</t>
  </si>
  <si>
    <t>PROCESO 2: CALCULO DEL COSTO DE LOS SERVICIOS DIRECTOS A CADA ORDEN DE TRABAJO</t>
  </si>
  <si>
    <t>PROCESO 1: CALCULO DEL COSTO DE LOS MATERIALES DIRECTOS A CADA ORDEN DE TRABAJO</t>
  </si>
  <si>
    <t>METODOLOGIA DE COSTEO ABC: SISTEMA DE COSTEO ABC POR ÓRDENES DE TRABAJO</t>
  </si>
  <si>
    <t>METODOLOGIA DE COSTEO ABC</t>
  </si>
  <si>
    <t>Administración</t>
  </si>
  <si>
    <t>ACTIVIDADES DE ÁREA DE DISEÑO</t>
  </si>
  <si>
    <t>Digitalizar firmas y símbolos</t>
  </si>
  <si>
    <t>Unir firmas e imprimir</t>
  </si>
  <si>
    <t>Diseñar en CorelDraw símbolos pedidos</t>
  </si>
  <si>
    <t>ACTIVIDADES DE ÁREA DE CORTE</t>
  </si>
  <si>
    <t>Tender las telas sobre mesa de corte</t>
  </si>
  <si>
    <t>Marcar la tela superficial con tiza de sastre</t>
  </si>
  <si>
    <t>Cortar con la máquina cada conjunto de telas</t>
  </si>
  <si>
    <t>Embolsar para envío a Bordado y/o Estampado (externo)</t>
  </si>
  <si>
    <t>CAO3</t>
  </si>
  <si>
    <t>ACTIVIDADES DE ÁREA DE ACABADO</t>
  </si>
  <si>
    <t>Limpiar con el piqueteador cada prenda</t>
  </si>
  <si>
    <t>CAO4</t>
  </si>
  <si>
    <t>ACTIVIDADES DE ÁREA DE EMPAQUETADO Y ROTULADO</t>
  </si>
  <si>
    <t>Doblar la prenda</t>
  </si>
  <si>
    <t>Desetiquetar cada parte de las prendas</t>
  </si>
  <si>
    <t>Etiquetar con nombre del cliente cada prenda</t>
  </si>
  <si>
    <t>Etiquetar por prenda, talla y cliente con etiqueta de seguimiento</t>
  </si>
  <si>
    <t>Embolsar para envío final</t>
  </si>
  <si>
    <t>AO12</t>
  </si>
  <si>
    <t>AO13</t>
  </si>
  <si>
    <t>CAA4</t>
  </si>
  <si>
    <t>ACTIVIDADES DE ÁREA DE CALIDAD</t>
  </si>
  <si>
    <t>Revisar medidas del molde</t>
  </si>
  <si>
    <t>Revisar los bordados de cada prenda (si es que lo lleva)</t>
  </si>
  <si>
    <t>Revisar los estampados de cada prenda (si es que lo lleva)</t>
  </si>
  <si>
    <t>Revisar confección y uniones</t>
  </si>
  <si>
    <t>AA4</t>
  </si>
  <si>
    <t>Tiza para corte</t>
  </si>
  <si>
    <t>Mantenimiento</t>
  </si>
  <si>
    <t>Depreciación Mesa para Corte</t>
  </si>
  <si>
    <t>Depreciación Computadora</t>
  </si>
  <si>
    <t>Depreciación Cortadora</t>
  </si>
  <si>
    <t>Depreciación Etiquetadora</t>
  </si>
  <si>
    <t>Impresión de firmas</t>
  </si>
  <si>
    <t>CAE2</t>
  </si>
  <si>
    <t>CAE3</t>
  </si>
  <si>
    <t>CAA2</t>
  </si>
  <si>
    <t>CAA3</t>
  </si>
  <si>
    <t>Administrar cuentas bancarias</t>
  </si>
  <si>
    <t>Aprobar las órdenes de compra</t>
  </si>
  <si>
    <t>Revisar informes mensuales</t>
  </si>
  <si>
    <t>ACTIVIDADES DE GERENCIA DE PRODUCCIÓN</t>
  </si>
  <si>
    <t>Analizar los indicadores de producción</t>
  </si>
  <si>
    <t>ACTIVIDADES DE GERENCIA DE VENTAS</t>
  </si>
  <si>
    <t>Realizar el control de ventas</t>
  </si>
  <si>
    <t>ACTIVIDADES DE ÁREA ADMINISTRACIÓN</t>
  </si>
  <si>
    <t>AA5</t>
  </si>
  <si>
    <t>AA6</t>
  </si>
  <si>
    <t>Realizar el pago de planilla</t>
  </si>
  <si>
    <t>Controlar asistencia de trabajadores</t>
  </si>
  <si>
    <t>Analizar volúmenes de producción y emitir órdenes de producción</t>
  </si>
  <si>
    <t>ACTIVIDADES DE GERENCIA DE MARKETING</t>
  </si>
  <si>
    <t>Realizar visitas a colegios, universidades y otras instituciones</t>
  </si>
  <si>
    <t>AE5</t>
  </si>
  <si>
    <t>Realizar publicaciones en redes sociales</t>
  </si>
  <si>
    <t>AE6</t>
  </si>
  <si>
    <t>ACTIVIDADES DE ÁREA DE TESORERÍA Y CONTABILIDAD</t>
  </si>
  <si>
    <t>Realizar estados financieros</t>
  </si>
  <si>
    <t>Realizar los pagos a los proveedores</t>
  </si>
  <si>
    <t>Realizar el costeo</t>
  </si>
  <si>
    <t>AA7</t>
  </si>
  <si>
    <t>AA8</t>
  </si>
  <si>
    <t>AA9</t>
  </si>
  <si>
    <t>AA10</t>
  </si>
  <si>
    <t>AA11</t>
  </si>
  <si>
    <t>CAA5</t>
  </si>
  <si>
    <t>ACTIVIDADES DE ÁREA DE PRE Y POST VENTA</t>
  </si>
  <si>
    <t>AA12</t>
  </si>
  <si>
    <t>Realizar el contrato</t>
  </si>
  <si>
    <t>Entregar el pedido</t>
  </si>
  <si>
    <t>CAE4</t>
  </si>
  <si>
    <t>ACTIVIDADES DE GERENCIA DE LOGÍSTICA</t>
  </si>
  <si>
    <t>AE7</t>
  </si>
  <si>
    <t>AE8</t>
  </si>
  <si>
    <t>Realizar la compra de materiales</t>
  </si>
  <si>
    <t>Trasladar los materiales hacia la planta de producción</t>
  </si>
  <si>
    <t>Realizar el traslado del producto en proceso al servicio directo</t>
  </si>
  <si>
    <t>Gerencia de Ventas</t>
  </si>
  <si>
    <t>Gerencia de Marketing</t>
  </si>
  <si>
    <t>Gerencia de Producción</t>
  </si>
  <si>
    <t>Tesorería y Contabilidad</t>
  </si>
  <si>
    <t>Calidad</t>
  </si>
  <si>
    <t>Diseño</t>
  </si>
  <si>
    <t>Corte</t>
  </si>
  <si>
    <t>Acabado</t>
  </si>
  <si>
    <t>Pre y Post Venta</t>
  </si>
  <si>
    <t>Empaquetado y Rotulado</t>
  </si>
  <si>
    <t>Matriz de sueldos de MOD</t>
  </si>
  <si>
    <t>Considerando 30 días al mes (De lunes a Domingo) y 26 (De lunes a Sábado)</t>
  </si>
  <si>
    <t>CÓDIGO</t>
  </si>
  <si>
    <t>DESCRIPCIÓN</t>
  </si>
  <si>
    <t xml:space="preserve">PERSONAL </t>
  </si>
  <si>
    <t>ENCARGADO</t>
  </si>
  <si>
    <t>Horas Máxima de Dedicación</t>
  </si>
  <si>
    <t>Remuneración</t>
  </si>
  <si>
    <t>Cargas</t>
  </si>
  <si>
    <t>Beneficios</t>
  </si>
  <si>
    <t>Operario D1</t>
  </si>
  <si>
    <t>PAVEL</t>
  </si>
  <si>
    <t>Operario C1</t>
  </si>
  <si>
    <t>GROOVER</t>
  </si>
  <si>
    <t>Operario A1</t>
  </si>
  <si>
    <t>SERGIO</t>
  </si>
  <si>
    <t>Operario ER1</t>
  </si>
  <si>
    <t>NOTAS IMPORTANTES A CONSIDERAR</t>
  </si>
  <si>
    <t>NOTA: Se cambio a periodo de Costeo 3 meses</t>
  </si>
  <si>
    <t xml:space="preserve">* </t>
  </si>
  <si>
    <t>Según dato de los dueños no reciben ningún tipo de beneficio ni hay un cargo adicional. Solo es la remuneración por sus actividades</t>
  </si>
  <si>
    <t>El Sr. Sergio trabaja a medio tiempo de lunes a domingo. Recibe 500 de sueldo. Trabaja al día  4 horas. De las cuales dedica 2 horas al acabado y 2 horas al empaquetado y rotulado</t>
  </si>
  <si>
    <t>Sueldo</t>
  </si>
  <si>
    <t>Horas</t>
  </si>
  <si>
    <t>&gt;&gt;&gt;</t>
  </si>
  <si>
    <t>Como trabaja en el área de Acabado y área de Empaquetado se procede a dividir el sueldo entre 2 (Asignará 2 horas a cada uno diariamente)</t>
  </si>
  <si>
    <t>&gt;&gt;&gt;&gt; MOD</t>
  </si>
  <si>
    <t>Repartiremos su sueldo proporcional a la cantidad de horas que dedica a cada labor</t>
  </si>
  <si>
    <t>Logística</t>
  </si>
  <si>
    <t>Los sueldos han sido distribuidos de acuerdo a la cantidad de horas que cada encargado le dedica al día. Estas horas que han servido para la distribución no son las HORAS EFECTIVAS de trabajo</t>
  </si>
  <si>
    <t>CONSUMO DE MATERIALES DIRECTOS POR ORDEN DE TRABAJO</t>
  </si>
  <si>
    <t>Materiales</t>
  </si>
  <si>
    <t>Descripción</t>
  </si>
  <si>
    <t>Unidad Consumo</t>
  </si>
  <si>
    <t>Cantidad Unitaria de Consumo</t>
  </si>
  <si>
    <t>OT 1</t>
  </si>
  <si>
    <t>OT2</t>
  </si>
  <si>
    <t>OT3</t>
  </si>
  <si>
    <t>OT4</t>
  </si>
  <si>
    <t>OT 5</t>
  </si>
  <si>
    <t>OT 6</t>
  </si>
  <si>
    <t>OT 7</t>
  </si>
  <si>
    <t>OT 8</t>
  </si>
  <si>
    <t>OT 9</t>
  </si>
  <si>
    <t>OT 10</t>
  </si>
  <si>
    <t>OT 11</t>
  </si>
  <si>
    <t>OT 12</t>
  </si>
  <si>
    <t>OT 13</t>
  </si>
  <si>
    <t>OT 14</t>
  </si>
  <si>
    <t>OT 15</t>
  </si>
  <si>
    <t>OT 16</t>
  </si>
  <si>
    <t>CASACAS</t>
  </si>
  <si>
    <t>POLOS</t>
  </si>
  <si>
    <t>POLERAS</t>
  </si>
  <si>
    <t>Terminado</t>
  </si>
  <si>
    <t>CALCULO DEL COSTO UNITARIO DE MATERIAL DIRECTO POR ORDEN DE TRABAJO</t>
  </si>
  <si>
    <t>Cto S/. UCS</t>
  </si>
  <si>
    <t>CALCULO DEL COSTO TOTAL DE MATERIAL DIRECTO POR ORDEN DE TRABAJO</t>
  </si>
  <si>
    <t>CANTIDAD</t>
  </si>
  <si>
    <t>COSTO CMD</t>
  </si>
  <si>
    <t>CuMD</t>
  </si>
  <si>
    <t>Costo producción terminada</t>
  </si>
  <si>
    <t>Matriz de Tiempos Efectivos por cada tipo de producto</t>
  </si>
  <si>
    <t>UM</t>
  </si>
  <si>
    <t>MinutosH</t>
  </si>
  <si>
    <t>Cálculo de minutos efectivos por prenda</t>
  </si>
  <si>
    <t>Cálculo de los tiempos efectivos</t>
  </si>
  <si>
    <t>minutos</t>
  </si>
  <si>
    <t>cantidad</t>
  </si>
  <si>
    <t>min/unidad</t>
  </si>
  <si>
    <t>En el proceso de Diseño, los encargados nos mencionaron que se demoran 2 horas para 25 polos o 25 casacas o 25 poleras</t>
  </si>
  <si>
    <t>polos</t>
  </si>
  <si>
    <t>poleras</t>
  </si>
  <si>
    <t>casacas</t>
  </si>
  <si>
    <t>En el proceso de Corte, los encargados nos mencionaron que se demoraban 4 horas para 25 polos y 6 horas para 25 casacas o 25 poleras</t>
  </si>
  <si>
    <t>*</t>
  </si>
  <si>
    <t>En el proceso de acabado, que consiste en cortar los hilos, se demora 1 horas para 25 polos o 25 casacas o 25 poleras</t>
  </si>
  <si>
    <t>En el proceso de empaquetado y rotulado, se demora 2 horas para 25 polos o 25 casacas o 25 poleras</t>
  </si>
  <si>
    <t>Elección de Características del Producto</t>
  </si>
  <si>
    <t>PRODUCTOS</t>
  </si>
  <si>
    <t>Característica a Escoger</t>
  </si>
  <si>
    <t>Tipo</t>
  </si>
  <si>
    <t>Estampado Pecho</t>
  </si>
  <si>
    <t>Sí</t>
  </si>
  <si>
    <t>No</t>
  </si>
  <si>
    <t>Bordado</t>
  </si>
  <si>
    <t>Broche</t>
  </si>
  <si>
    <t>Estampado Espalda</t>
  </si>
  <si>
    <t>Tela</t>
  </si>
  <si>
    <t>Frech Terry 24/1</t>
  </si>
  <si>
    <t>Franela Perchada 24/1</t>
  </si>
  <si>
    <t>Cierre</t>
  </si>
  <si>
    <t xml:space="preserve">Tela </t>
  </si>
  <si>
    <t>Algodón tacto</t>
  </si>
  <si>
    <t>Jersey</t>
  </si>
  <si>
    <t>Estampado Interno</t>
  </si>
  <si>
    <t>Insignia</t>
  </si>
  <si>
    <t xml:space="preserve">Cuello </t>
  </si>
  <si>
    <t>V</t>
  </si>
  <si>
    <t>Redondo</t>
  </si>
  <si>
    <t>TABLA MAESTRO DE MATERIALES</t>
  </si>
  <si>
    <t>PRODUCTO</t>
  </si>
  <si>
    <t>Código de Materiales</t>
  </si>
  <si>
    <t>UCO</t>
  </si>
  <si>
    <t>UCS</t>
  </si>
  <si>
    <t>Cto S/. UCO</t>
  </si>
  <si>
    <t>Conversion</t>
  </si>
  <si>
    <t>MD01</t>
  </si>
  <si>
    <t>Bolsas para empaquetado</t>
  </si>
  <si>
    <t>Bolsas</t>
  </si>
  <si>
    <t>X</t>
  </si>
  <si>
    <t>ciento</t>
  </si>
  <si>
    <t xml:space="preserve">unidad </t>
  </si>
  <si>
    <t>1 ciento = 100 unid</t>
  </si>
  <si>
    <t>MD02</t>
  </si>
  <si>
    <t>Broches</t>
  </si>
  <si>
    <t>millar</t>
  </si>
  <si>
    <t>1millar = 1000 unid</t>
  </si>
  <si>
    <t>MD03</t>
  </si>
  <si>
    <t>docena</t>
  </si>
  <si>
    <t>1docena = 12 unid</t>
  </si>
  <si>
    <t>MD04</t>
  </si>
  <si>
    <t>Etiqueta de la marca</t>
  </si>
  <si>
    <t>Etiqueta</t>
  </si>
  <si>
    <t>MD05</t>
  </si>
  <si>
    <t>Etiqueta de los nombre</t>
  </si>
  <si>
    <t>MD06</t>
  </si>
  <si>
    <t>Etiqueta de los piezas (Etiquetas de Transferencia Térmica)</t>
  </si>
  <si>
    <t>Rollo</t>
  </si>
  <si>
    <t>1rollo = 1500 unid</t>
  </si>
  <si>
    <t>MD07</t>
  </si>
  <si>
    <t>Hilo de costura</t>
  </si>
  <si>
    <t>Hilo</t>
  </si>
  <si>
    <t>MD08</t>
  </si>
  <si>
    <t>Hilo pasador</t>
  </si>
  <si>
    <t>MD09</t>
  </si>
  <si>
    <t>Rib</t>
  </si>
  <si>
    <t>kg</t>
  </si>
  <si>
    <t>metro</t>
  </si>
  <si>
    <t>1kg = 1.8mt</t>
  </si>
  <si>
    <t>MD10</t>
  </si>
  <si>
    <t>fardos</t>
  </si>
  <si>
    <t>1fardo = 34 mt</t>
  </si>
  <si>
    <t>MD11</t>
  </si>
  <si>
    <t>MD12</t>
  </si>
  <si>
    <t>Jersey 30/1</t>
  </si>
  <si>
    <t>1fardo = 20 kg</t>
  </si>
  <si>
    <t>MD13</t>
  </si>
  <si>
    <t>No se compra "Hilos para Bordados". Esto ya viene incluido en el costo del Servicio Directo de "BORDADO"</t>
  </si>
  <si>
    <t>Los broches y los cierres no se colocan en la empresa. En el Servicio Directo de Confección, se le agrega estos elementos a las casacas</t>
  </si>
  <si>
    <t>&gt;&gt;&gt; El costo de esta operación ya viene incluido en el costo del servicio directo "Confección para Casaca"</t>
  </si>
  <si>
    <t>Es importante resaltar que no hay un uso permanente de almacén de materiales ya que se realizan compras por cada pedido que se tiene y esta se consume en su totalidad.</t>
  </si>
  <si>
    <t>Total            (3 meses)</t>
  </si>
  <si>
    <t>Área de Diseño</t>
  </si>
  <si>
    <t>Área de Corte</t>
  </si>
  <si>
    <t>Área de acabado</t>
  </si>
  <si>
    <t>Área de empaquetado y rotulado</t>
  </si>
  <si>
    <t>Total            (1 mes)</t>
  </si>
  <si>
    <t>TABLA DE ÓRDENES DE TRABAJO</t>
  </si>
  <si>
    <t>Código</t>
  </si>
  <si>
    <t xml:space="preserve">Fecha de pedido </t>
  </si>
  <si>
    <t>Fecha de Entrega</t>
  </si>
  <si>
    <t>Producto</t>
  </si>
  <si>
    <t>Detalle 1</t>
  </si>
  <si>
    <t>Detalle 2</t>
  </si>
  <si>
    <t>Detalle 3</t>
  </si>
  <si>
    <t>Detalle 4</t>
  </si>
  <si>
    <t>Detalle 5</t>
  </si>
  <si>
    <t>TALLAS</t>
  </si>
  <si>
    <t>SITUACIÓN</t>
  </si>
  <si>
    <t>XS</t>
  </si>
  <si>
    <t>S</t>
  </si>
  <si>
    <t>M</t>
  </si>
  <si>
    <t>L</t>
  </si>
  <si>
    <t>XL</t>
  </si>
  <si>
    <t>OT1</t>
  </si>
  <si>
    <t>Prendas Colegio: Americano</t>
  </si>
  <si>
    <t>TERMINADO</t>
  </si>
  <si>
    <t>Prendas Colegio: Sophiano College</t>
  </si>
  <si>
    <t xml:space="preserve">TERMINADO </t>
  </si>
  <si>
    <t>Prendas Colegio: Juan 23</t>
  </si>
  <si>
    <t>Prendas Universidad Nacional de Ingeniería</t>
  </si>
  <si>
    <t/>
  </si>
  <si>
    <t>OT5</t>
  </si>
  <si>
    <t xml:space="preserve">Prendas San German </t>
  </si>
  <si>
    <t>OT6</t>
  </si>
  <si>
    <t>Prendas IEP Fray Luis de León</t>
  </si>
  <si>
    <t>OT7</t>
  </si>
  <si>
    <t>Prendas  Federico Villareal</t>
  </si>
  <si>
    <t>Algodón Tacto</t>
  </si>
  <si>
    <t>OT8</t>
  </si>
  <si>
    <t>Prendas Saco Oliveros</t>
  </si>
  <si>
    <t>OT9</t>
  </si>
  <si>
    <t>Prendas Colegios Pamer</t>
  </si>
  <si>
    <t>OT10</t>
  </si>
  <si>
    <t>Prendas Colegio Marianistas (0602)</t>
  </si>
  <si>
    <t>OT11</t>
  </si>
  <si>
    <t>Prendas Ingenieros UNI</t>
  </si>
  <si>
    <t>OT12</t>
  </si>
  <si>
    <t>Prendas Colegios Cruz Saco</t>
  </si>
  <si>
    <t>OT13</t>
  </si>
  <si>
    <t>Prendas Colegio Hijos de Maria</t>
  </si>
  <si>
    <t>OT14</t>
  </si>
  <si>
    <t>Prendas GE San Luis Gonzaga</t>
  </si>
  <si>
    <t>OT15</t>
  </si>
  <si>
    <t>Prendas IEP Nobel Trujillo</t>
  </si>
  <si>
    <t>Si</t>
  </si>
  <si>
    <t>OT16</t>
  </si>
  <si>
    <t>Prendas Colegio Adviento College</t>
  </si>
  <si>
    <t>SD01</t>
  </si>
  <si>
    <t>SD02</t>
  </si>
  <si>
    <t>SD03</t>
  </si>
  <si>
    <t>SD04</t>
  </si>
  <si>
    <t>SD05</t>
  </si>
  <si>
    <t>SD06</t>
  </si>
  <si>
    <t>SD07</t>
  </si>
  <si>
    <t>Código de Servicios Directos</t>
  </si>
  <si>
    <t>cantidad maxima</t>
  </si>
  <si>
    <t>Estampado pecho</t>
  </si>
  <si>
    <t>Estampado espalda</t>
  </si>
  <si>
    <t>Estampado interno</t>
  </si>
  <si>
    <t xml:space="preserve">Bordado </t>
  </si>
  <si>
    <t>confeccion polo</t>
  </si>
  <si>
    <t>confeccion casaca</t>
  </si>
  <si>
    <t>confeccion polera</t>
  </si>
  <si>
    <t>TABLA MAESTRO DE SERVICIOS DIRECTOS</t>
  </si>
  <si>
    <t>Casaca</t>
  </si>
  <si>
    <t>Polera</t>
  </si>
  <si>
    <t>Polo</t>
  </si>
  <si>
    <t>PROCESO 4: CALCULO DEL COSTO DE LOS COSTOS INDIRECTOS, GASTOS DE VENTAS Y DE ADMINISTRACIÓN A CADA ORDEN DE TRABAJO</t>
  </si>
  <si>
    <t>Contabilidad y Tesorería</t>
  </si>
  <si>
    <t>Groover trabaja al día aproximadamente 10 horas. De las cuales dedica 4 horas a corte, 2 horas a la Gerencia General, 1 horas a la Gerencia de Producción, 1 hora al Área de Administración y 1 hora al área Logistica.</t>
  </si>
  <si>
    <t>Marketing</t>
  </si>
  <si>
    <t>Pavel trabaja al día aproximadamente 10 horas. De las cuales dedica 1 hora al diseño, 2 horas al área de logística, 1 hora a la Gerencia de Ventas, 2 horas a la Gerencia de Marketing  y 4 horas al área de Pre y Post Venta.</t>
  </si>
  <si>
    <t>TIEMPO EFECTIVO EN MINUTOS DE OPERARIO POR ORDEN DE TRABAJO</t>
  </si>
  <si>
    <t>OT 2</t>
  </si>
  <si>
    <t>OT 3</t>
  </si>
  <si>
    <t>OT 4</t>
  </si>
  <si>
    <t>TOTAL (MinutosHEfectivo)</t>
  </si>
  <si>
    <t>COSTO MINUTO DE LOS OPERARIOS</t>
  </si>
  <si>
    <t>Tasa (Soles / MinutosHEfectivo)</t>
  </si>
  <si>
    <t>COSTO MANO DE OBRA DIRECTA POR ORDEN DE TRABAJO</t>
  </si>
  <si>
    <t>Costo TOTAL</t>
  </si>
  <si>
    <t>TOTAL PLANILLA</t>
  </si>
  <si>
    <t>Cantidad de Productos Terminados</t>
  </si>
  <si>
    <t>CuMOD</t>
  </si>
  <si>
    <t>Costo producción terminada MOD</t>
  </si>
  <si>
    <t>CONSUMO DE SERVICIOS DIRECTOS POR ORDEN DE TRABAJO</t>
  </si>
  <si>
    <t>Servicios Directos</t>
  </si>
  <si>
    <t>COSTO SERVICIO DIRECTO POR ORDEN DE TRABAJO</t>
  </si>
  <si>
    <t>Orden de Trabajo</t>
  </si>
  <si>
    <t>Costo total de SD</t>
  </si>
  <si>
    <t>Costo unitario SD</t>
  </si>
  <si>
    <t>* Tanto las poleras como las casacas pueden llevar bordados esto se detalla en el pedido. Mientras que los polos no llevan.</t>
  </si>
  <si>
    <t>* Se ha separado el servicio directo de "confección" debido a que hay una ligera variación en el costo dependiendo el producto: polo, casaca o polera</t>
  </si>
  <si>
    <t>* En la confección del polo, se realiza de manera adicional la insignia.</t>
  </si>
  <si>
    <t>Sueldo de Groover</t>
  </si>
  <si>
    <t>Sueldo de Pavel</t>
  </si>
  <si>
    <t>Sueldo de Yessica</t>
  </si>
  <si>
    <t xml:space="preserve">INSUMOS </t>
  </si>
  <si>
    <t>Depreciación de molde</t>
  </si>
  <si>
    <t>Transporte de materia prima</t>
  </si>
  <si>
    <t>Transporte de producto en proceso a servicio de terceros</t>
  </si>
  <si>
    <t>Transporte del producto terminado al cliente</t>
  </si>
  <si>
    <t>Transporte para visitar al cliente</t>
  </si>
  <si>
    <t>BOLSAS</t>
  </si>
  <si>
    <t>Bolsas(empaque por lote)</t>
  </si>
  <si>
    <t>Bolsas (empaque para confección)</t>
  </si>
  <si>
    <t>Bolsas (empaque para bordado)</t>
  </si>
  <si>
    <t>PUBLICIDAD</t>
  </si>
  <si>
    <t>Volantes</t>
  </si>
  <si>
    <t>Afiches</t>
  </si>
  <si>
    <t>Dominio y Hosting</t>
  </si>
  <si>
    <t>DEPRECIACIÓN MANTENIMIENTO</t>
  </si>
  <si>
    <t>Piqueteador</t>
  </si>
  <si>
    <t>Alquiler del Local</t>
  </si>
  <si>
    <t>Formato de Contrato</t>
  </si>
  <si>
    <t>Sueldo de Groover (Sin considerar CA Corte)</t>
  </si>
  <si>
    <t>Sueldo de Pavel (Sin considerar CA Diseño)</t>
  </si>
  <si>
    <t>Horas diarias dedicadas por Groover a cada C.A.</t>
  </si>
  <si>
    <t>Horas diarias dedicadas por Pavel a cada C.A.</t>
  </si>
  <si>
    <t>Horas diarias dedicadas por Yessica a cada C.A.</t>
  </si>
  <si>
    <t>% de uso</t>
  </si>
  <si>
    <t>% Asignación</t>
  </si>
  <si>
    <t>N° de personas en el C.A.</t>
  </si>
  <si>
    <t>Flat Parcial</t>
  </si>
  <si>
    <t>% de Importancia</t>
  </si>
  <si>
    <t>Proporción de Consumo de Kwh</t>
  </si>
  <si>
    <t>MONTO A REPARTIR</t>
  </si>
  <si>
    <t>AO14</t>
  </si>
  <si>
    <t>AO15</t>
  </si>
  <si>
    <t>CAO5</t>
  </si>
  <si>
    <t>CA03</t>
  </si>
  <si>
    <t>º</t>
  </si>
  <si>
    <t>CENTRO DE ACTIVIDAD GERENCIA DE VENTAS</t>
  </si>
  <si>
    <t>ELEMENTO DE  COSTO</t>
  </si>
  <si>
    <t>GERENCIA DE MARKETING</t>
  </si>
  <si>
    <t>GERENCIA DE PRODUCCION</t>
  </si>
  <si>
    <t>ADMINISTRACION</t>
  </si>
  <si>
    <t>TESORERIA Y CONTABILIDAD</t>
  </si>
  <si>
    <t>CALIDAD</t>
  </si>
  <si>
    <t>LOGISTICA</t>
  </si>
  <si>
    <t>DISEÑO</t>
  </si>
  <si>
    <t>CORTE</t>
  </si>
  <si>
    <t>ACABADO</t>
  </si>
  <si>
    <t>EMPAQUETADO Y ROTULADO</t>
  </si>
  <si>
    <t>PRE Y POST VENTAS</t>
  </si>
  <si>
    <t>COD</t>
  </si>
  <si>
    <t>ACTIVIDAD</t>
  </si>
  <si>
    <t>total</t>
  </si>
  <si>
    <t>GERENCIA DE VENTAS</t>
  </si>
  <si>
    <t>nivel de actividad</t>
  </si>
  <si>
    <t>% de asignacion</t>
  </si>
  <si>
    <t>flat total</t>
  </si>
  <si>
    <t># de horas dedicadas</t>
  </si>
  <si>
    <t>% de dedicacion</t>
  </si>
  <si>
    <t>% porcentaje de dedicacion</t>
  </si>
  <si>
    <t>IMPORTANCIA (%)</t>
  </si>
  <si>
    <t>CENTRO DE ACTIVIDADES DE APOYO</t>
  </si>
  <si>
    <t>IMPORTANCIA</t>
  </si>
  <si>
    <t>CENTROS DE ACTIVIDAD DE APOYO</t>
  </si>
  <si>
    <t>AREA ADMINISTRATIVA</t>
  </si>
  <si>
    <t># De Trabajadores</t>
  </si>
  <si>
    <t># de prendas por pedido</t>
  </si>
  <si>
    <t># de firmas por pedido</t>
  </si>
  <si>
    <t xml:space="preserve"># diseños por prenda </t>
  </si>
  <si>
    <t># de partes por prenda</t>
  </si>
  <si>
    <t># prendras por pedido</t>
  </si>
  <si>
    <t># prendras por pedido x dificultad</t>
  </si>
  <si>
    <t># de bolsas a utilizar por pedido</t>
  </si>
  <si>
    <t>relacion de distancia</t>
  </si>
  <si>
    <t>Nota: Lo que se ha hallado es el Costo Integral de cada producto</t>
  </si>
  <si>
    <t>PRECIO DE VENTA</t>
  </si>
  <si>
    <t>Precio de Base</t>
  </si>
  <si>
    <t>Si lleva se adiciona</t>
  </si>
  <si>
    <t>PRECIO</t>
  </si>
  <si>
    <t>Venta</t>
  </si>
  <si>
    <t>sin IGV</t>
  </si>
  <si>
    <t>con IGV</t>
  </si>
  <si>
    <t>Detalles OT1</t>
  </si>
  <si>
    <t>Detalles OT2</t>
  </si>
  <si>
    <t>Detalles OT3</t>
  </si>
  <si>
    <t>Detalles OT4</t>
  </si>
  <si>
    <t>Detalles OT5</t>
  </si>
  <si>
    <t>Detalles OT6</t>
  </si>
  <si>
    <t>Detalles OT7</t>
  </si>
  <si>
    <t>Detalles OT8</t>
  </si>
  <si>
    <t>Detalles OT9</t>
  </si>
  <si>
    <t>Detalles OT10</t>
  </si>
  <si>
    <t>Detalles OT11</t>
  </si>
  <si>
    <t>Detalles OT12</t>
  </si>
  <si>
    <t>Detalles OT13</t>
  </si>
  <si>
    <t>Detalles OT14</t>
  </si>
  <si>
    <t>Detalles OT15</t>
  </si>
  <si>
    <t>Detalles OT16</t>
  </si>
  <si>
    <t>CASACA</t>
  </si>
  <si>
    <t>NO</t>
  </si>
  <si>
    <t>estampado espalda</t>
  </si>
  <si>
    <t>POLERA</t>
  </si>
  <si>
    <t>ANÁLISIS DE RENTABILIDAD POR ORDEN DE TRABAJO</t>
  </si>
  <si>
    <t>ESTADO DE LA ORDEN</t>
  </si>
  <si>
    <t>TERMINADA Y VENDIDA</t>
  </si>
  <si>
    <t xml:space="preserve"> VENTA</t>
  </si>
  <si>
    <t>COSTO DE VENTA</t>
  </si>
  <si>
    <t>MARGEN NETO</t>
  </si>
  <si>
    <t xml:space="preserve">OT1 </t>
  </si>
  <si>
    <t>Ventas</t>
  </si>
  <si>
    <t>Costo de Ventas</t>
  </si>
  <si>
    <t>Valor de Venta por OT</t>
  </si>
  <si>
    <t>Comparación de Costos</t>
  </si>
  <si>
    <t>N° Prendas</t>
  </si>
  <si>
    <t>Número de Prendas</t>
  </si>
  <si>
    <t>COSTO UNITARIO (Tradicional)</t>
  </si>
  <si>
    <t>COSTO UNITARIO (ABC)</t>
  </si>
  <si>
    <t>Tradicional</t>
  </si>
  <si>
    <t>ABC</t>
  </si>
  <si>
    <t xml:space="preserve"> - Se consideró un periodo de costeo de 1 mes</t>
  </si>
  <si>
    <t xml:space="preserve"> - Se consideró un periodo de costeo de 3 meses</t>
  </si>
  <si>
    <t xml:space="preserve"> - Solo se trabajó con la información proporcionada por lo que se tuvo pocos elementos de costos para distribuir los indirectos a los productos</t>
  </si>
  <si>
    <t xml:space="preserve"> - Al desagregarse en actividades, se encontraron mayor cantidad de elementos de costos lo que influye en el precio</t>
  </si>
  <si>
    <t>Costo Integral (Modelo III ABC) VS Costo de Venta (Costeo Tradicional)</t>
  </si>
  <si>
    <t xml:space="preserve"> - Al utilizar el Modelo de Costo ABC, se desagrega el proceso de reparto de elementos de costos. Por esto es que el cálculo es más representativo y real. Además esto es </t>
  </si>
  <si>
    <t>NOTA: Se concluye que los costos de ventas por el costeo ABC es más preciso. Es mayor el costo en algunos casos debido a que se les ha asignado todos los gastos de venta y los gastos de administración. De tal manera que el costo unitario es más real y es una prueba "más ácida"ya que muestra a partir de que valor de venta se obtiene una utilidad neta</t>
  </si>
  <si>
    <t>Obtención en el modelo: Costo Integral</t>
  </si>
  <si>
    <t>ACTIVIDADES DE ÁREA LOGÍSTICA</t>
  </si>
  <si>
    <t>RENTABILIDAD POR PRODUCTO</t>
  </si>
  <si>
    <t>Monto</t>
  </si>
  <si>
    <t>%</t>
  </si>
  <si>
    <t>Valor de Venta</t>
  </si>
  <si>
    <t>Margen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</si>
</sst>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-* #,##0.00_-;\-* #,##0.00_-;_-* &quot;-&quot;??_-;_-@_-"/>
    <numFmt numFmtId="165" formatCode="_ &quot;S/.&quot;\ * #,##0.00_ ;_ &quot;S/.&quot;\ * \-#,##0.00_ ;_ &quot;S/.&quot;\ * &quot;-&quot;??_ ;_ @_ "/>
    <numFmt numFmtId="166" formatCode="#,##0.00_ ;[Red]\-#,##0.00\ "/>
    <numFmt numFmtId="167" formatCode="0.0%"/>
    <numFmt numFmtId="168" formatCode="0.0"/>
  </numFmts>
  <fonts count="6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0"/>
      <name val="Cambria"/>
      <family val="1"/>
      <scheme val="major"/>
    </font>
    <font>
      <sz val="10"/>
      <color theme="0"/>
      <name val="Cambria"/>
      <family val="1"/>
      <scheme val="major"/>
    </font>
    <font>
      <sz val="10"/>
      <color theme="7" tint="-0.249977111117893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9"/>
      <name val="Cambria"/>
      <family val="1"/>
      <scheme val="major"/>
    </font>
    <font>
      <sz val="9"/>
      <color theme="0"/>
      <name val="Cambria"/>
      <family val="1"/>
      <scheme val="major"/>
    </font>
    <font>
      <sz val="9"/>
      <color theme="7" tint="-0.249977111117893"/>
      <name val="Cambria"/>
      <family val="1"/>
      <scheme val="major"/>
    </font>
    <font>
      <b/>
      <sz val="10"/>
      <color theme="5" tint="-0.249977111117893"/>
      <name val="Cambria"/>
      <family val="1"/>
    </font>
    <font>
      <b/>
      <sz val="9"/>
      <color theme="0"/>
      <name val="Cambria"/>
      <family val="1"/>
      <scheme val="major"/>
    </font>
    <font>
      <b/>
      <sz val="10"/>
      <color theme="4"/>
      <name val="Cambria"/>
      <family val="1"/>
      <scheme val="major"/>
    </font>
    <font>
      <b/>
      <sz val="11"/>
      <color theme="0"/>
      <name val="Cambria"/>
      <family val="1"/>
    </font>
    <font>
      <b/>
      <sz val="10"/>
      <color theme="0"/>
      <name val="Arial"/>
      <family val="2"/>
    </font>
    <font>
      <b/>
      <sz val="18"/>
      <color theme="4" tint="-0.249977111117893"/>
      <name val="Cambria"/>
      <family val="1"/>
      <scheme val="major"/>
    </font>
    <font>
      <b/>
      <sz val="18"/>
      <color theme="5" tint="-0.249977111117893"/>
      <name val="Cambria"/>
      <family val="1"/>
      <scheme val="major"/>
    </font>
    <font>
      <sz val="10"/>
      <color theme="5" tint="-0.249977111117893"/>
      <name val="Arial"/>
      <family val="2"/>
    </font>
    <font>
      <b/>
      <sz val="18"/>
      <color rgb="FF588824"/>
      <name val="Cambria"/>
      <family val="1"/>
      <scheme val="major"/>
    </font>
    <font>
      <sz val="10"/>
      <color rgb="FF588824"/>
      <name val="Arial"/>
      <family val="2"/>
    </font>
    <font>
      <b/>
      <sz val="12"/>
      <color theme="0"/>
      <name val="Cambria"/>
      <family val="1"/>
      <scheme val="major"/>
    </font>
    <font>
      <b/>
      <sz val="16"/>
      <color theme="5" tint="-0.249977111117893"/>
      <name val="Cambria"/>
      <family val="1"/>
      <scheme val="major"/>
    </font>
    <font>
      <sz val="10"/>
      <color rgb="FFD2A000"/>
      <name val="Arial"/>
      <family val="2"/>
    </font>
    <font>
      <b/>
      <sz val="18"/>
      <color rgb="FFB88C00"/>
      <name val="Cambria"/>
      <family val="1"/>
      <scheme val="major"/>
    </font>
    <font>
      <b/>
      <sz val="11"/>
      <color indexed="8"/>
      <name val="Cambria"/>
      <family val="1"/>
      <scheme val="major"/>
    </font>
    <font>
      <sz val="11"/>
      <name val="Arial"/>
      <family val="2"/>
    </font>
    <font>
      <b/>
      <sz val="18"/>
      <color rgb="FF00B0F0"/>
      <name val="Cambria"/>
      <family val="1"/>
      <scheme val="major"/>
    </font>
    <font>
      <sz val="10"/>
      <color rgb="FF00B0F0"/>
      <name val="Arial"/>
      <family val="2"/>
    </font>
    <font>
      <b/>
      <sz val="18"/>
      <color rgb="FF006600"/>
      <name val="Cambria"/>
      <family val="1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36"/>
      <color theme="8" tint="-0.249977111117893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Eras Medium ITC"/>
      <family val="2"/>
    </font>
    <font>
      <sz val="10"/>
      <color theme="1"/>
      <name val="Eras Medium ITC"/>
      <family val="2"/>
    </font>
    <font>
      <sz val="22"/>
      <color rgb="FFFF0000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7" tint="0.39997558519241921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EFFE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1F2CE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rgb="FFFFF1C5"/>
        <bgColor indexed="64"/>
      </patternFill>
    </fill>
    <fill>
      <patternFill patternType="solid">
        <fgColor rgb="FFE1F7FF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FF3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double">
        <color theme="5" tint="-0.24994659260841701"/>
      </bottom>
      <diagonal/>
    </border>
    <border>
      <left/>
      <right/>
      <top/>
      <bottom style="double">
        <color rgb="FF588824"/>
      </bottom>
      <diagonal/>
    </border>
    <border>
      <left/>
      <right/>
      <top/>
      <bottom style="double">
        <color theme="4" tint="-0.249946592608417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00B0F0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rgb="FF006600"/>
      </bottom>
      <diagonal/>
    </border>
    <border>
      <left/>
      <right/>
      <top style="double">
        <color rgb="FF006600"/>
      </top>
      <bottom style="double">
        <color rgb="FF0066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11">
    <xf numFmtId="0" fontId="0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0" fontId="8" fillId="0" borderId="0"/>
    <xf numFmtId="0" fontId="5" fillId="0" borderId="0"/>
    <xf numFmtId="0" fontId="40" fillId="0" borderId="0"/>
    <xf numFmtId="0" fontId="4" fillId="0" borderId="0"/>
    <xf numFmtId="0" fontId="48" fillId="0" borderId="0"/>
    <xf numFmtId="43" fontId="48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</cellStyleXfs>
  <cellXfs count="562">
    <xf numFmtId="0" fontId="0" fillId="0" borderId="0" xfId="0">
      <alignment vertical="center"/>
    </xf>
    <xf numFmtId="0" fontId="0" fillId="0" borderId="1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2" xfId="0" applyNumberFormat="1" applyFont="1" applyFill="1" applyBorder="1" applyAlignment="1" applyProtection="1">
      <alignment wrapText="1"/>
    </xf>
    <xf numFmtId="0" fontId="0" fillId="0" borderId="3" xfId="0" applyNumberFormat="1" applyFont="1" applyFill="1" applyBorder="1" applyAlignment="1" applyProtection="1">
      <alignment wrapText="1"/>
    </xf>
    <xf numFmtId="0" fontId="7" fillId="0" borderId="5" xfId="0" applyNumberFormat="1" applyFont="1" applyFill="1" applyBorder="1" applyAlignment="1" applyProtection="1">
      <alignment horizontal="center"/>
    </xf>
    <xf numFmtId="0" fontId="7" fillId="0" borderId="5" xfId="0" applyNumberFormat="1" applyFont="1" applyFill="1" applyBorder="1" applyAlignment="1" applyProtection="1">
      <alignment horizontal="left"/>
    </xf>
    <xf numFmtId="0" fontId="0" fillId="0" borderId="0" xfId="0" applyFont="1">
      <alignment vertical="center"/>
    </xf>
    <xf numFmtId="0" fontId="7" fillId="0" borderId="0" xfId="0" applyNumberFormat="1" applyFont="1" applyFill="1" applyBorder="1" applyAlignment="1" applyProtection="1">
      <alignment horizontal="left"/>
    </xf>
    <xf numFmtId="0" fontId="7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left"/>
    </xf>
    <xf numFmtId="0" fontId="0" fillId="0" borderId="0" xfId="0" applyFont="1" applyBorder="1">
      <alignment vertical="center"/>
    </xf>
    <xf numFmtId="0" fontId="7" fillId="0" borderId="5" xfId="0" applyNumberFormat="1" applyFont="1" applyFill="1" applyBorder="1" applyAlignment="1" applyProtection="1"/>
    <xf numFmtId="0" fontId="7" fillId="0" borderId="6" xfId="0" applyNumberFormat="1" applyFont="1" applyFill="1" applyBorder="1" applyAlignment="1" applyProtection="1">
      <alignment horizontal="left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NumberFormat="1" applyFill="1" applyBorder="1" applyAlignment="1" applyProtection="1">
      <alignment wrapText="1"/>
    </xf>
    <xf numFmtId="0" fontId="0" fillId="2" borderId="0" xfId="0" applyFill="1">
      <alignment vertical="center"/>
    </xf>
    <xf numFmtId="0" fontId="0" fillId="0" borderId="0" xfId="0" applyNumberFormat="1" applyFill="1" applyBorder="1" applyAlignment="1" applyProtection="1">
      <alignment horizontal="left" vertical="center"/>
    </xf>
    <xf numFmtId="0" fontId="0" fillId="0" borderId="0" xfId="0" applyFill="1" applyBorder="1" applyAlignment="1">
      <alignment horizontal="center"/>
    </xf>
    <xf numFmtId="0" fontId="6" fillId="0" borderId="0" xfId="0" applyNumberFormat="1" applyFont="1" applyFill="1" applyBorder="1" applyAlignment="1" applyProtection="1">
      <alignment wrapText="1"/>
    </xf>
    <xf numFmtId="0" fontId="0" fillId="3" borderId="0" xfId="0" applyFill="1" applyBorder="1">
      <alignment vertical="center"/>
    </xf>
    <xf numFmtId="0" fontId="0" fillId="3" borderId="0" xfId="0" applyFill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3" borderId="0" xfId="0" applyFont="1" applyFill="1" applyBorder="1">
      <alignment vertical="center"/>
    </xf>
    <xf numFmtId="0" fontId="6" fillId="0" borderId="0" xfId="0" applyFont="1">
      <alignment vertical="center"/>
    </xf>
    <xf numFmtId="0" fontId="6" fillId="3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0" xfId="0" applyNumberFormat="1" applyFont="1" applyFill="1" applyBorder="1" applyAlignment="1" applyProtection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3" borderId="0" xfId="0" applyFont="1" applyFill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Border="1" applyAlignment="1">
      <alignment vertical="center"/>
    </xf>
    <xf numFmtId="0" fontId="9" fillId="4" borderId="5" xfId="0" applyNumberFormat="1" applyFont="1" applyFill="1" applyBorder="1" applyAlignment="1" applyProtection="1">
      <alignment horizontal="center"/>
    </xf>
    <xf numFmtId="0" fontId="13" fillId="4" borderId="5" xfId="0" applyNumberFormat="1" applyFont="1" applyFill="1" applyBorder="1" applyAlignment="1" applyProtection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2" xfId="0" applyNumberFormat="1" applyFont="1" applyFill="1" applyBorder="1" applyAlignment="1" applyProtection="1">
      <alignment wrapText="1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2" fillId="5" borderId="5" xfId="0" applyNumberFormat="1" applyFont="1" applyFill="1" applyBorder="1" applyAlignment="1" applyProtection="1">
      <alignment horizontal="center"/>
    </xf>
    <xf numFmtId="0" fontId="22" fillId="6" borderId="5" xfId="0" applyNumberFormat="1" applyFont="1" applyFill="1" applyBorder="1" applyAlignment="1" applyProtection="1">
      <alignment horizontal="center"/>
    </xf>
    <xf numFmtId="0" fontId="22" fillId="7" borderId="5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>
      <alignment wrapText="1"/>
    </xf>
    <xf numFmtId="0" fontId="11" fillId="0" borderId="3" xfId="0" applyNumberFormat="1" applyFont="1" applyFill="1" applyBorder="1" applyAlignment="1" applyProtection="1">
      <alignment wrapText="1"/>
    </xf>
    <xf numFmtId="0" fontId="0" fillId="3" borderId="0" xfId="0" applyNumberFormat="1" applyFont="1" applyFill="1" applyBorder="1" applyAlignment="1" applyProtection="1">
      <alignment wrapText="1"/>
    </xf>
    <xf numFmtId="0" fontId="0" fillId="3" borderId="0" xfId="0" applyFill="1" applyBorder="1" applyAlignment="1">
      <alignment horizontal="center" vertical="center"/>
    </xf>
    <xf numFmtId="2" fontId="0" fillId="15" borderId="5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13" fillId="4" borderId="5" xfId="0" applyNumberFormat="1" applyFont="1" applyFill="1" applyBorder="1" applyAlignment="1" applyProtection="1">
      <alignment horizont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 applyFill="1" applyBorder="1" applyAlignment="1">
      <alignment horizontal="center" vertical="center"/>
    </xf>
    <xf numFmtId="9" fontId="0" fillId="0" borderId="5" xfId="2" applyFont="1" applyBorder="1" applyAlignment="1">
      <alignment vertical="center"/>
    </xf>
    <xf numFmtId="2" fontId="0" fillId="0" borderId="5" xfId="0" applyNumberFormat="1" applyBorder="1">
      <alignment vertical="center"/>
    </xf>
    <xf numFmtId="0" fontId="12" fillId="0" borderId="0" xfId="0" applyFont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23" fillId="21" borderId="5" xfId="0" applyNumberFormat="1" applyFont="1" applyFill="1" applyBorder="1" applyAlignment="1" applyProtection="1">
      <alignment horizontal="center"/>
    </xf>
    <xf numFmtId="0" fontId="21" fillId="22" borderId="8" xfId="0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14" fillId="5" borderId="5" xfId="0" applyNumberFormat="1" applyFont="1" applyFill="1" applyBorder="1" applyAlignment="1" applyProtection="1">
      <alignment horizontal="center" vertical="center"/>
    </xf>
    <xf numFmtId="0" fontId="14" fillId="7" borderId="5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2" fontId="6" fillId="0" borderId="0" xfId="0" applyNumberFormat="1" applyFont="1" applyFill="1">
      <alignment vertical="center"/>
    </xf>
    <xf numFmtId="0" fontId="21" fillId="22" borderId="5" xfId="0" applyFont="1" applyFill="1" applyBorder="1" applyAlignment="1">
      <alignment horizontal="center" vertical="center"/>
    </xf>
    <xf numFmtId="9" fontId="0" fillId="0" borderId="5" xfId="2" applyFont="1" applyBorder="1" applyAlignment="1">
      <alignment horizontal="right" vertical="center"/>
    </xf>
    <xf numFmtId="0" fontId="15" fillId="5" borderId="5" xfId="0" applyFont="1" applyFill="1" applyBorder="1" applyAlignment="1">
      <alignment horizontal="center" vertical="center"/>
    </xf>
    <xf numFmtId="0" fontId="33" fillId="23" borderId="15" xfId="0" applyFont="1" applyFill="1" applyBorder="1">
      <alignment vertical="center"/>
    </xf>
    <xf numFmtId="0" fontId="32" fillId="8" borderId="16" xfId="0" applyFont="1" applyFill="1" applyBorder="1" applyAlignment="1">
      <alignment vertical="center"/>
    </xf>
    <xf numFmtId="0" fontId="28" fillId="8" borderId="16" xfId="0" applyFont="1" applyFill="1" applyBorder="1">
      <alignment vertical="center"/>
    </xf>
    <xf numFmtId="0" fontId="30" fillId="20" borderId="17" xfId="0" applyFont="1" applyFill="1" applyBorder="1">
      <alignment vertical="center"/>
    </xf>
    <xf numFmtId="0" fontId="30" fillId="20" borderId="17" xfId="0" applyNumberFormat="1" applyFont="1" applyFill="1" applyBorder="1" applyAlignment="1" applyProtection="1">
      <alignment wrapText="1"/>
    </xf>
    <xf numFmtId="0" fontId="0" fillId="9" borderId="18" xfId="0" applyFont="1" applyFill="1" applyBorder="1">
      <alignment vertical="center"/>
    </xf>
    <xf numFmtId="0" fontId="0" fillId="9" borderId="18" xfId="0" applyNumberFormat="1" applyFont="1" applyFill="1" applyBorder="1" applyAlignment="1" applyProtection="1">
      <alignment wrapText="1"/>
    </xf>
    <xf numFmtId="0" fontId="14" fillId="6" borderId="5" xfId="0" applyNumberFormat="1" applyFont="1" applyFill="1" applyBorder="1" applyAlignment="1" applyProtection="1">
      <alignment horizontal="center" vertical="center"/>
    </xf>
    <xf numFmtId="0" fontId="36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6" fillId="10" borderId="5" xfId="3" applyFont="1" applyFill="1" applyBorder="1" applyAlignment="1">
      <alignment horizontal="center" vertical="center"/>
    </xf>
    <xf numFmtId="9" fontId="6" fillId="10" borderId="8" xfId="2" applyFont="1" applyFill="1" applyBorder="1" applyAlignment="1">
      <alignment horizontal="right" vertical="center"/>
    </xf>
    <xf numFmtId="4" fontId="25" fillId="6" borderId="14" xfId="3" applyNumberFormat="1" applyFont="1" applyFill="1" applyBorder="1" applyAlignment="1">
      <alignment horizontal="right" vertical="center"/>
    </xf>
    <xf numFmtId="4" fontId="25" fillId="7" borderId="14" xfId="3" applyNumberFormat="1" applyFont="1" applyFill="1" applyBorder="1" applyAlignment="1">
      <alignment horizontal="right"/>
    </xf>
    <xf numFmtId="9" fontId="8" fillId="12" borderId="8" xfId="2" applyFont="1" applyFill="1" applyBorder="1" applyAlignment="1">
      <alignment horizontal="right"/>
    </xf>
    <xf numFmtId="0" fontId="14" fillId="18" borderId="5" xfId="3" applyFont="1" applyFill="1" applyBorder="1" applyAlignment="1">
      <alignment horizontal="center" vertical="center"/>
    </xf>
    <xf numFmtId="0" fontId="6" fillId="4" borderId="5" xfId="3" applyFont="1" applyFill="1" applyBorder="1" applyAlignment="1">
      <alignment horizontal="center"/>
    </xf>
    <xf numFmtId="4" fontId="6" fillId="23" borderId="5" xfId="3" applyNumberFormat="1" applyFont="1" applyFill="1" applyBorder="1" applyAlignment="1">
      <alignment horizontal="right"/>
    </xf>
    <xf numFmtId="0" fontId="14" fillId="17" borderId="19" xfId="3" applyFont="1" applyFill="1" applyBorder="1" applyAlignment="1">
      <alignment horizontal="center" vertical="center"/>
    </xf>
    <xf numFmtId="4" fontId="0" fillId="8" borderId="19" xfId="3" applyNumberFormat="1" applyFont="1" applyFill="1" applyBorder="1" applyAlignment="1">
      <alignment horizontal="right" vertical="center"/>
    </xf>
    <xf numFmtId="4" fontId="6" fillId="4" borderId="19" xfId="3" applyNumberFormat="1" applyFont="1" applyFill="1" applyBorder="1" applyAlignment="1">
      <alignment horizontal="right" vertical="center"/>
    </xf>
    <xf numFmtId="0" fontId="12" fillId="4" borderId="21" xfId="3" applyFont="1" applyFill="1" applyBorder="1" applyAlignment="1">
      <alignment horizontal="center" vertical="center"/>
    </xf>
    <xf numFmtId="4" fontId="0" fillId="23" borderId="20" xfId="3" applyNumberFormat="1" applyFont="1" applyFill="1" applyBorder="1" applyAlignment="1">
      <alignment horizontal="right" vertical="center"/>
    </xf>
    <xf numFmtId="4" fontId="6" fillId="4" borderId="20" xfId="3" applyNumberFormat="1" applyFont="1" applyFill="1" applyBorder="1" applyAlignment="1">
      <alignment horizontal="right" vertical="center"/>
    </xf>
    <xf numFmtId="4" fontId="0" fillId="12" borderId="19" xfId="3" applyNumberFormat="1" applyFont="1" applyFill="1" applyBorder="1" applyAlignment="1">
      <alignment horizontal="right" vertical="center"/>
    </xf>
    <xf numFmtId="0" fontId="0" fillId="0" borderId="5" xfId="2" applyNumberFormat="1" applyFont="1" applyBorder="1" applyAlignment="1">
      <alignment horizontal="right" vertical="center"/>
    </xf>
    <xf numFmtId="0" fontId="0" fillId="0" borderId="0" xfId="2" applyNumberFormat="1" applyFont="1" applyBorder="1" applyAlignment="1">
      <alignment horizontal="right" vertical="center"/>
    </xf>
    <xf numFmtId="0" fontId="6" fillId="12" borderId="5" xfId="3" applyFont="1" applyFill="1" applyBorder="1" applyAlignment="1">
      <alignment horizontal="center" vertical="center"/>
    </xf>
    <xf numFmtId="2" fontId="14" fillId="7" borderId="5" xfId="0" applyNumberFormat="1" applyFont="1" applyFill="1" applyBorder="1" applyAlignment="1">
      <alignment horizontal="right" vertical="center"/>
    </xf>
    <xf numFmtId="0" fontId="38" fillId="24" borderId="22" xfId="0" applyFont="1" applyFill="1" applyBorder="1">
      <alignment vertical="center"/>
    </xf>
    <xf numFmtId="0" fontId="14" fillId="19" borderId="20" xfId="3" applyFont="1" applyFill="1" applyBorder="1" applyAlignment="1">
      <alignment horizontal="center" vertical="center"/>
    </xf>
    <xf numFmtId="4" fontId="0" fillId="8" borderId="23" xfId="3" applyNumberFormat="1" applyFont="1" applyFill="1" applyBorder="1" applyAlignment="1">
      <alignment horizontal="right" vertical="center"/>
    </xf>
    <xf numFmtId="4" fontId="0" fillId="8" borderId="24" xfId="3" applyNumberFormat="1" applyFont="1" applyFill="1" applyBorder="1" applyAlignment="1">
      <alignment horizontal="right" vertical="center"/>
    </xf>
    <xf numFmtId="4" fontId="0" fillId="23" borderId="5" xfId="3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4" fontId="8" fillId="24" borderId="20" xfId="3" applyNumberFormat="1" applyFill="1" applyBorder="1" applyAlignment="1">
      <alignment vertical="center"/>
    </xf>
    <xf numFmtId="4" fontId="6" fillId="12" borderId="19" xfId="3" applyNumberFormat="1" applyFont="1" applyFill="1" applyBorder="1" applyAlignment="1">
      <alignment vertical="center"/>
    </xf>
    <xf numFmtId="4" fontId="6" fillId="12" borderId="25" xfId="3" applyNumberFormat="1" applyFont="1" applyFill="1" applyBorder="1" applyAlignment="1">
      <alignment vertical="center"/>
    </xf>
    <xf numFmtId="4" fontId="6" fillId="12" borderId="26" xfId="3" applyNumberFormat="1" applyFont="1" applyFill="1" applyBorder="1" applyAlignment="1">
      <alignment vertical="center"/>
    </xf>
    <xf numFmtId="4" fontId="6" fillId="4" borderId="5" xfId="0" applyNumberFormat="1" applyFont="1" applyFill="1" applyBorder="1" applyAlignment="1">
      <alignment vertical="center"/>
    </xf>
    <xf numFmtId="4" fontId="6" fillId="12" borderId="5" xfId="0" applyNumberFormat="1" applyFont="1" applyFill="1" applyBorder="1" applyAlignment="1">
      <alignment vertical="center"/>
    </xf>
    <xf numFmtId="0" fontId="0" fillId="25" borderId="27" xfId="0" applyFont="1" applyFill="1" applyBorder="1">
      <alignment vertical="center"/>
    </xf>
    <xf numFmtId="0" fontId="6" fillId="4" borderId="5" xfId="3" applyFont="1" applyFill="1" applyBorder="1" applyAlignment="1">
      <alignment horizontal="left" vertical="center"/>
    </xf>
    <xf numFmtId="0" fontId="0" fillId="0" borderId="28" xfId="0" applyBorder="1">
      <alignment vertical="center"/>
    </xf>
    <xf numFmtId="0" fontId="5" fillId="0" borderId="0" xfId="4"/>
    <xf numFmtId="0" fontId="41" fillId="0" borderId="0" xfId="5" applyFont="1" applyAlignment="1">
      <alignment horizontal="left" vertical="center"/>
    </xf>
    <xf numFmtId="0" fontId="40" fillId="0" borderId="0" xfId="5"/>
    <xf numFmtId="0" fontId="41" fillId="0" borderId="0" xfId="5" applyFont="1"/>
    <xf numFmtId="0" fontId="0" fillId="26" borderId="0" xfId="0" applyFill="1">
      <alignment vertical="center"/>
    </xf>
    <xf numFmtId="0" fontId="0" fillId="0" borderId="5" xfId="0" applyNumberFormat="1" applyFont="1" applyFill="1" applyBorder="1" applyAlignment="1" applyProtection="1">
      <alignment wrapText="1"/>
    </xf>
    <xf numFmtId="0" fontId="0" fillId="0" borderId="5" xfId="0" applyFont="1" applyBorder="1">
      <alignment vertical="center"/>
    </xf>
    <xf numFmtId="0" fontId="4" fillId="0" borderId="0" xfId="6"/>
    <xf numFmtId="0" fontId="4" fillId="0" borderId="5" xfId="6" applyBorder="1"/>
    <xf numFmtId="0" fontId="4" fillId="0" borderId="5" xfId="6" applyBorder="1" applyAlignment="1">
      <alignment horizontal="center"/>
    </xf>
    <xf numFmtId="166" fontId="4" fillId="0" borderId="5" xfId="6" applyNumberFormat="1" applyBorder="1" applyAlignment="1">
      <alignment horizontal="center" vertical="center"/>
    </xf>
    <xf numFmtId="166" fontId="4" fillId="27" borderId="5" xfId="6" applyNumberFormat="1" applyFill="1" applyBorder="1"/>
    <xf numFmtId="0" fontId="4" fillId="0" borderId="5" xfId="6" applyFill="1" applyBorder="1" applyAlignment="1">
      <alignment horizontal="center"/>
    </xf>
    <xf numFmtId="0" fontId="50" fillId="0" borderId="0" xfId="6" applyFont="1"/>
    <xf numFmtId="0" fontId="4" fillId="0" borderId="0" xfId="6" applyAlignment="1"/>
    <xf numFmtId="0" fontId="42" fillId="0" borderId="0" xfId="6" applyFont="1"/>
    <xf numFmtId="0" fontId="4" fillId="0" borderId="0" xfId="6" applyAlignment="1">
      <alignment horizontal="left" vertical="center" wrapText="1"/>
    </xf>
    <xf numFmtId="0" fontId="42" fillId="0" borderId="5" xfId="6" applyFont="1" applyBorder="1"/>
    <xf numFmtId="0" fontId="4" fillId="28" borderId="5" xfId="6" applyFill="1" applyBorder="1"/>
    <xf numFmtId="0" fontId="4" fillId="0" borderId="0" xfId="6" applyBorder="1"/>
    <xf numFmtId="0" fontId="4" fillId="0" borderId="8" xfId="6" applyFill="1" applyBorder="1"/>
    <xf numFmtId="0" fontId="4" fillId="0" borderId="11" xfId="6" applyBorder="1"/>
    <xf numFmtId="0" fontId="48" fillId="0" borderId="0" xfId="7" applyAlignment="1">
      <alignment horizontal="center"/>
    </xf>
    <xf numFmtId="0" fontId="4" fillId="0" borderId="0" xfId="6" applyAlignment="1">
      <alignment horizontal="center"/>
    </xf>
    <xf numFmtId="0" fontId="6" fillId="2" borderId="5" xfId="7" applyFont="1" applyFill="1" applyBorder="1" applyAlignment="1">
      <alignment horizontal="center"/>
    </xf>
    <xf numFmtId="0" fontId="41" fillId="0" borderId="9" xfId="6" applyFont="1" applyFill="1" applyBorder="1" applyAlignment="1">
      <alignment horizontal="center" vertical="center"/>
    </xf>
    <xf numFmtId="0" fontId="41" fillId="0" borderId="5" xfId="6" applyFont="1" applyFill="1" applyBorder="1" applyAlignment="1">
      <alignment horizontal="center" vertical="center"/>
    </xf>
    <xf numFmtId="0" fontId="41" fillId="0" borderId="20" xfId="6" applyFont="1" applyFill="1" applyBorder="1" applyAlignment="1">
      <alignment horizontal="center" vertical="center"/>
    </xf>
    <xf numFmtId="0" fontId="4" fillId="0" borderId="5" xfId="6" applyBorder="1" applyAlignment="1">
      <alignment horizontal="left"/>
    </xf>
    <xf numFmtId="0" fontId="46" fillId="0" borderId="5" xfId="6" applyFont="1" applyFill="1" applyBorder="1" applyAlignment="1">
      <alignment horizontal="center" vertical="center"/>
    </xf>
    <xf numFmtId="0" fontId="4" fillId="0" borderId="9" xfId="6" applyBorder="1"/>
    <xf numFmtId="0" fontId="4" fillId="0" borderId="20" xfId="6" applyBorder="1"/>
    <xf numFmtId="43" fontId="8" fillId="0" borderId="5" xfId="8" applyNumberFormat="1" applyFont="1" applyBorder="1" applyAlignment="1">
      <alignment horizontal="center" vertical="center"/>
    </xf>
    <xf numFmtId="0" fontId="4" fillId="19" borderId="5" xfId="6" applyFill="1" applyBorder="1" applyAlignment="1">
      <alignment horizontal="center"/>
    </xf>
    <xf numFmtId="0" fontId="4" fillId="19" borderId="5" xfId="6" applyFill="1" applyBorder="1" applyAlignment="1">
      <alignment horizontal="left"/>
    </xf>
    <xf numFmtId="0" fontId="46" fillId="19" borderId="5" xfId="6" applyFont="1" applyFill="1" applyBorder="1" applyAlignment="1">
      <alignment horizontal="center" vertical="center"/>
    </xf>
    <xf numFmtId="0" fontId="45" fillId="19" borderId="9" xfId="6" applyFont="1" applyFill="1" applyBorder="1" applyAlignment="1">
      <alignment horizontal="center" vertical="center"/>
    </xf>
    <xf numFmtId="0" fontId="45" fillId="19" borderId="5" xfId="6" applyFont="1" applyFill="1" applyBorder="1" applyAlignment="1">
      <alignment horizontal="center" vertical="center"/>
    </xf>
    <xf numFmtId="0" fontId="4" fillId="19" borderId="20" xfId="6" applyFill="1" applyBorder="1"/>
    <xf numFmtId="43" fontId="8" fillId="19" borderId="5" xfId="8" applyNumberFormat="1" applyFont="1" applyFill="1" applyBorder="1" applyAlignment="1">
      <alignment horizontal="center" vertical="center"/>
    </xf>
    <xf numFmtId="0" fontId="45" fillId="27" borderId="9" xfId="6" applyFont="1" applyFill="1" applyBorder="1" applyAlignment="1">
      <alignment horizontal="center" vertical="center"/>
    </xf>
    <xf numFmtId="2" fontId="4" fillId="0" borderId="5" xfId="6" applyNumberFormat="1" applyBorder="1"/>
    <xf numFmtId="0" fontId="45" fillId="27" borderId="20" xfId="6" applyFont="1" applyFill="1" applyBorder="1" applyAlignment="1">
      <alignment horizontal="center" vertical="center"/>
    </xf>
    <xf numFmtId="0" fontId="4" fillId="16" borderId="5" xfId="6" applyFill="1" applyBorder="1" applyAlignment="1">
      <alignment horizontal="center"/>
    </xf>
    <xf numFmtId="0" fontId="4" fillId="16" borderId="5" xfId="6" applyFill="1" applyBorder="1" applyAlignment="1">
      <alignment horizontal="left"/>
    </xf>
    <xf numFmtId="0" fontId="46" fillId="16" borderId="5" xfId="6" applyFont="1" applyFill="1" applyBorder="1" applyAlignment="1">
      <alignment horizontal="center" vertical="center"/>
    </xf>
    <xf numFmtId="0" fontId="45" fillId="16" borderId="9" xfId="6" applyFont="1" applyFill="1" applyBorder="1" applyAlignment="1">
      <alignment horizontal="center" vertical="center"/>
    </xf>
    <xf numFmtId="2" fontId="4" fillId="16" borderId="5" xfId="6" applyNumberFormat="1" applyFill="1" applyBorder="1"/>
    <xf numFmtId="2" fontId="4" fillId="16" borderId="20" xfId="6" applyNumberFormat="1" applyFill="1" applyBorder="1"/>
    <xf numFmtId="43" fontId="8" fillId="16" borderId="5" xfId="8" applyNumberFormat="1" applyFont="1" applyFill="1" applyBorder="1" applyAlignment="1">
      <alignment horizontal="center" vertical="center"/>
    </xf>
    <xf numFmtId="0" fontId="4" fillId="29" borderId="5" xfId="6" applyFill="1" applyBorder="1" applyAlignment="1">
      <alignment horizontal="center"/>
    </xf>
    <xf numFmtId="0" fontId="4" fillId="29" borderId="5" xfId="6" applyFill="1" applyBorder="1" applyAlignment="1">
      <alignment horizontal="left"/>
    </xf>
    <xf numFmtId="0" fontId="46" fillId="29" borderId="5" xfId="6" applyFont="1" applyFill="1" applyBorder="1" applyAlignment="1">
      <alignment horizontal="center" vertical="center"/>
    </xf>
    <xf numFmtId="2" fontId="4" fillId="29" borderId="5" xfId="6" applyNumberFormat="1" applyFill="1" applyBorder="1"/>
    <xf numFmtId="0" fontId="45" fillId="29" borderId="5" xfId="6" applyFont="1" applyFill="1" applyBorder="1" applyAlignment="1">
      <alignment horizontal="center" vertical="center"/>
    </xf>
    <xf numFmtId="0" fontId="45" fillId="29" borderId="20" xfId="6" applyFont="1" applyFill="1" applyBorder="1" applyAlignment="1">
      <alignment horizontal="center" vertical="center"/>
    </xf>
    <xf numFmtId="43" fontId="8" fillId="29" borderId="5" xfId="8" applyNumberFormat="1" applyFont="1" applyFill="1" applyBorder="1" applyAlignment="1">
      <alignment horizontal="center" vertical="center"/>
    </xf>
    <xf numFmtId="0" fontId="52" fillId="0" borderId="7" xfId="6" applyFont="1" applyFill="1" applyBorder="1" applyAlignment="1">
      <alignment horizontal="center"/>
    </xf>
    <xf numFmtId="0" fontId="48" fillId="0" borderId="0" xfId="7" applyBorder="1" applyAlignment="1">
      <alignment horizontal="center"/>
    </xf>
    <xf numFmtId="0" fontId="4" fillId="0" borderId="0" xfId="6" applyBorder="1" applyAlignment="1">
      <alignment horizontal="center"/>
    </xf>
    <xf numFmtId="0" fontId="4" fillId="0" borderId="8" xfId="6" applyBorder="1"/>
    <xf numFmtId="2" fontId="53" fillId="0" borderId="5" xfId="6" applyNumberFormat="1" applyFont="1" applyFill="1" applyBorder="1" applyAlignment="1">
      <alignment horizontal="center"/>
    </xf>
    <xf numFmtId="0" fontId="4" fillId="28" borderId="5" xfId="6" applyFill="1" applyBorder="1" applyAlignment="1">
      <alignment horizontal="center"/>
    </xf>
    <xf numFmtId="0" fontId="45" fillId="27" borderId="5" xfId="6" applyFont="1" applyFill="1" applyBorder="1" applyAlignment="1">
      <alignment horizontal="center" vertical="center"/>
    </xf>
    <xf numFmtId="2" fontId="8" fillId="0" borderId="5" xfId="8" applyNumberFormat="1" applyFont="1" applyBorder="1" applyAlignment="1">
      <alignment horizontal="center"/>
    </xf>
    <xf numFmtId="0" fontId="45" fillId="27" borderId="8" xfId="6" applyFont="1" applyFill="1" applyBorder="1" applyAlignment="1">
      <alignment horizontal="center" vertical="center"/>
    </xf>
    <xf numFmtId="0" fontId="4" fillId="30" borderId="5" xfId="6" applyFill="1" applyBorder="1" applyAlignment="1">
      <alignment horizontal="center"/>
    </xf>
    <xf numFmtId="2" fontId="4" fillId="0" borderId="8" xfId="6" applyNumberFormat="1" applyBorder="1"/>
    <xf numFmtId="0" fontId="6" fillId="2" borderId="5" xfId="7" applyFont="1" applyFill="1" applyBorder="1" applyAlignment="1">
      <alignment horizontal="center" vertical="center" wrapText="1"/>
    </xf>
    <xf numFmtId="40" fontId="8" fillId="26" borderId="5" xfId="8" applyNumberFormat="1" applyFont="1" applyFill="1" applyBorder="1" applyAlignment="1">
      <alignment horizontal="center"/>
    </xf>
    <xf numFmtId="0" fontId="4" fillId="0" borderId="5" xfId="6" applyBorder="1" applyAlignment="1">
      <alignment horizontal="center" vertical="center" wrapText="1"/>
    </xf>
    <xf numFmtId="40" fontId="4" fillId="0" borderId="5" xfId="6" applyNumberFormat="1" applyBorder="1" applyAlignment="1">
      <alignment horizontal="center" vertical="center" wrapText="1"/>
    </xf>
    <xf numFmtId="2" fontId="45" fillId="29" borderId="5" xfId="6" applyNumberFormat="1" applyFont="1" applyFill="1" applyBorder="1" applyAlignment="1">
      <alignment horizontal="center" vertical="center"/>
    </xf>
    <xf numFmtId="40" fontId="4" fillId="0" borderId="0" xfId="6" applyNumberFormat="1" applyAlignment="1">
      <alignment horizontal="center"/>
    </xf>
    <xf numFmtId="0" fontId="4" fillId="0" borderId="5" xfId="6" applyBorder="1" applyAlignment="1">
      <alignment horizontal="center" vertical="center"/>
    </xf>
    <xf numFmtId="0" fontId="42" fillId="11" borderId="5" xfId="6" applyFont="1" applyFill="1" applyBorder="1" applyAlignment="1">
      <alignment horizontal="center" vertical="center"/>
    </xf>
    <xf numFmtId="0" fontId="45" fillId="0" borderId="5" xfId="6" applyFont="1" applyBorder="1" applyAlignment="1">
      <alignment horizontal="center" vertical="center"/>
    </xf>
    <xf numFmtId="0" fontId="45" fillId="0" borderId="0" xfId="6" applyFont="1" applyBorder="1" applyAlignment="1">
      <alignment horizontal="center" vertical="center"/>
    </xf>
    <xf numFmtId="0" fontId="8" fillId="2" borderId="8" xfId="7" applyFont="1" applyFill="1" applyBorder="1" applyAlignment="1"/>
    <xf numFmtId="0" fontId="8" fillId="2" borderId="12" xfId="7" applyFont="1" applyFill="1" applyBorder="1" applyAlignment="1"/>
    <xf numFmtId="0" fontId="8" fillId="2" borderId="9" xfId="7" applyFont="1" applyFill="1" applyBorder="1" applyAlignment="1"/>
    <xf numFmtId="0" fontId="4" fillId="2" borderId="8" xfId="6" applyFont="1" applyFill="1" applyBorder="1" applyAlignment="1"/>
    <xf numFmtId="0" fontId="4" fillId="2" borderId="12" xfId="6" applyFont="1" applyFill="1" applyBorder="1" applyAlignment="1"/>
    <xf numFmtId="0" fontId="4" fillId="2" borderId="9" xfId="6" applyFont="1" applyFill="1" applyBorder="1" applyAlignment="1"/>
    <xf numFmtId="0" fontId="4" fillId="2" borderId="5" xfId="6" applyFont="1" applyFill="1" applyBorder="1" applyAlignment="1"/>
    <xf numFmtId="0" fontId="4" fillId="0" borderId="0" xfId="6" applyFill="1"/>
    <xf numFmtId="0" fontId="4" fillId="0" borderId="5" xfId="6" applyFill="1" applyBorder="1"/>
    <xf numFmtId="0" fontId="41" fillId="0" borderId="0" xfId="6" applyFont="1"/>
    <xf numFmtId="0" fontId="6" fillId="2" borderId="5" xfId="7" applyFont="1" applyFill="1" applyBorder="1" applyAlignment="1">
      <alignment vertical="center" wrapText="1"/>
    </xf>
    <xf numFmtId="0" fontId="52" fillId="29" borderId="5" xfId="6" applyFont="1" applyFill="1" applyBorder="1" applyAlignment="1">
      <alignment horizontal="left"/>
    </xf>
    <xf numFmtId="0" fontId="45" fillId="0" borderId="20" xfId="6" applyFont="1" applyBorder="1" applyAlignment="1">
      <alignment horizontal="center" vertical="center"/>
    </xf>
    <xf numFmtId="0" fontId="53" fillId="0" borderId="9" xfId="6" applyFont="1" applyFill="1" applyBorder="1" applyAlignment="1">
      <alignment horizontal="center"/>
    </xf>
    <xf numFmtId="2" fontId="53" fillId="0" borderId="9" xfId="6" applyNumberFormat="1" applyFont="1" applyFill="1" applyBorder="1" applyAlignment="1">
      <alignment horizontal="center"/>
    </xf>
    <xf numFmtId="0" fontId="52" fillId="31" borderId="5" xfId="6" applyFont="1" applyFill="1" applyBorder="1" applyAlignment="1">
      <alignment horizontal="left"/>
    </xf>
    <xf numFmtId="0" fontId="45" fillId="0" borderId="7" xfId="6" applyFont="1" applyFill="1" applyBorder="1" applyAlignment="1">
      <alignment horizontal="center" vertical="center"/>
    </xf>
    <xf numFmtId="0" fontId="52" fillId="27" borderId="10" xfId="6" applyFont="1" applyFill="1" applyBorder="1" applyAlignment="1">
      <alignment horizontal="left"/>
    </xf>
    <xf numFmtId="2" fontId="4" fillId="0" borderId="20" xfId="6" applyNumberFormat="1" applyBorder="1"/>
    <xf numFmtId="0" fontId="4" fillId="0" borderId="8" xfId="6" applyBorder="1" applyAlignment="1">
      <alignment horizontal="center"/>
    </xf>
    <xf numFmtId="0" fontId="52" fillId="27" borderId="5" xfId="6" applyFont="1" applyFill="1" applyBorder="1" applyAlignment="1">
      <alignment horizontal="left"/>
    </xf>
    <xf numFmtId="0" fontId="52" fillId="16" borderId="5" xfId="6" applyFont="1" applyFill="1" applyBorder="1" applyAlignment="1">
      <alignment horizontal="left"/>
    </xf>
    <xf numFmtId="0" fontId="4" fillId="3" borderId="0" xfId="6" applyFill="1"/>
    <xf numFmtId="0" fontId="4" fillId="3" borderId="0" xfId="6" applyFill="1" applyAlignment="1">
      <alignment horizontal="center"/>
    </xf>
    <xf numFmtId="166" fontId="4" fillId="16" borderId="12" xfId="6" applyNumberFormat="1" applyFill="1" applyBorder="1"/>
    <xf numFmtId="0" fontId="8" fillId="2" borderId="5" xfId="7" applyFont="1" applyFill="1" applyBorder="1" applyAlignment="1">
      <alignment horizontal="center"/>
    </xf>
    <xf numFmtId="0" fontId="8" fillId="2" borderId="5" xfId="7" applyFont="1" applyFill="1" applyBorder="1" applyAlignment="1">
      <alignment horizontal="center" vertical="center"/>
    </xf>
    <xf numFmtId="0" fontId="4" fillId="0" borderId="5" xfId="6" applyBorder="1" applyAlignment="1"/>
    <xf numFmtId="0" fontId="4" fillId="0" borderId="5" xfId="6" applyBorder="1" applyAlignment="1">
      <alignment horizontal="left" vertical="center"/>
    </xf>
    <xf numFmtId="16" fontId="4" fillId="0" borderId="5" xfId="6" applyNumberFormat="1" applyBorder="1" applyAlignment="1">
      <alignment horizontal="left" vertical="center"/>
    </xf>
    <xf numFmtId="0" fontId="4" fillId="26" borderId="5" xfId="6" applyFill="1" applyBorder="1" applyAlignment="1">
      <alignment horizontal="left" vertical="center"/>
    </xf>
    <xf numFmtId="0" fontId="45" fillId="0" borderId="5" xfId="6" applyFont="1" applyBorder="1" applyAlignment="1">
      <alignment horizontal="center"/>
    </xf>
    <xf numFmtId="0" fontId="4" fillId="33" borderId="5" xfId="6" applyFill="1" applyBorder="1" applyAlignment="1">
      <alignment horizontal="center"/>
    </xf>
    <xf numFmtId="0" fontId="4" fillId="0" borderId="5" xfId="6" applyFill="1" applyBorder="1" applyAlignment="1"/>
    <xf numFmtId="0" fontId="56" fillId="0" borderId="5" xfId="0" applyFont="1" applyBorder="1" applyAlignment="1"/>
    <xf numFmtId="0" fontId="55" fillId="34" borderId="5" xfId="0" applyFont="1" applyFill="1" applyBorder="1" applyAlignment="1">
      <alignment horizontal="center" vertical="center"/>
    </xf>
    <xf numFmtId="2" fontId="56" fillId="0" borderId="5" xfId="0" applyNumberFormat="1" applyFont="1" applyBorder="1" applyAlignment="1">
      <alignment horizontal="center" vertical="center"/>
    </xf>
    <xf numFmtId="0" fontId="9" fillId="0" borderId="10" xfId="0" applyNumberFormat="1" applyFont="1" applyFill="1" applyBorder="1" applyAlignment="1" applyProtection="1">
      <alignment horizontal="center" vertical="center"/>
    </xf>
    <xf numFmtId="0" fontId="3" fillId="0" borderId="5" xfId="6" applyFont="1" applyBorder="1"/>
    <xf numFmtId="0" fontId="49" fillId="0" borderId="0" xfId="7" applyFont="1"/>
    <xf numFmtId="0" fontId="8" fillId="0" borderId="0" xfId="7" applyFont="1"/>
    <xf numFmtId="0" fontId="3" fillId="0" borderId="0" xfId="9"/>
    <xf numFmtId="0" fontId="3" fillId="2" borderId="5" xfId="9" applyFont="1" applyFill="1" applyBorder="1" applyAlignment="1">
      <alignment horizontal="center"/>
    </xf>
    <xf numFmtId="0" fontId="8" fillId="2" borderId="5" xfId="7" applyFont="1" applyFill="1" applyBorder="1" applyAlignment="1">
      <alignment horizontal="center" vertical="center" wrapText="1"/>
    </xf>
    <xf numFmtId="0" fontId="3" fillId="0" borderId="5" xfId="9" applyBorder="1"/>
    <xf numFmtId="0" fontId="3" fillId="0" borderId="5" xfId="9" applyBorder="1" applyAlignment="1">
      <alignment horizontal="center"/>
    </xf>
    <xf numFmtId="166" fontId="3" fillId="0" borderId="5" xfId="9" applyNumberFormat="1" applyBorder="1" applyAlignment="1">
      <alignment horizontal="center" vertical="center"/>
    </xf>
    <xf numFmtId="0" fontId="3" fillId="0" borderId="5" xfId="9" applyFill="1" applyBorder="1" applyAlignment="1">
      <alignment horizontal="center"/>
    </xf>
    <xf numFmtId="166" fontId="3" fillId="0" borderId="0" xfId="9" applyNumberFormat="1" applyFill="1" applyBorder="1" applyAlignment="1">
      <alignment horizontal="center" vertical="center"/>
    </xf>
    <xf numFmtId="0" fontId="8" fillId="0" borderId="0" xfId="7" applyFont="1" applyBorder="1"/>
    <xf numFmtId="0" fontId="8" fillId="0" borderId="0" xfId="7" applyFont="1" applyFill="1" applyBorder="1"/>
    <xf numFmtId="0" fontId="6" fillId="2" borderId="8" xfId="7" applyFont="1" applyFill="1" applyBorder="1" applyAlignment="1">
      <alignment horizontal="center"/>
    </xf>
    <xf numFmtId="0" fontId="6" fillId="2" borderId="8" xfId="7" applyFont="1" applyFill="1" applyBorder="1" applyAlignment="1">
      <alignment horizontal="center" vertical="center" wrapText="1"/>
    </xf>
    <xf numFmtId="166" fontId="3" fillId="26" borderId="5" xfId="9" applyNumberFormat="1" applyFill="1" applyBorder="1" applyAlignment="1">
      <alignment horizontal="center" vertical="center"/>
    </xf>
    <xf numFmtId="0" fontId="3" fillId="0" borderId="0" xfId="9" applyBorder="1"/>
    <xf numFmtId="0" fontId="3" fillId="0" borderId="0" xfId="9" applyBorder="1" applyAlignment="1">
      <alignment horizontal="center"/>
    </xf>
    <xf numFmtId="166" fontId="3" fillId="0" borderId="0" xfId="9" applyNumberFormat="1" applyBorder="1" applyAlignment="1">
      <alignment horizontal="center" vertical="center"/>
    </xf>
    <xf numFmtId="166" fontId="45" fillId="32" borderId="5" xfId="9" applyNumberFormat="1" applyFont="1" applyFill="1" applyBorder="1" applyAlignment="1">
      <alignment horizontal="center" vertical="center"/>
    </xf>
    <xf numFmtId="166" fontId="3" fillId="32" borderId="5" xfId="9" applyNumberFormat="1" applyFill="1" applyBorder="1" applyAlignment="1">
      <alignment horizontal="center"/>
    </xf>
    <xf numFmtId="0" fontId="3" fillId="29" borderId="5" xfId="9" applyFill="1" applyBorder="1" applyAlignment="1">
      <alignment horizontal="center" vertical="center" wrapText="1"/>
    </xf>
    <xf numFmtId="166" fontId="3" fillId="32" borderId="5" xfId="9" applyNumberFormat="1" applyFill="1" applyBorder="1" applyAlignment="1">
      <alignment horizontal="center" vertical="center"/>
    </xf>
    <xf numFmtId="166" fontId="45" fillId="29" borderId="5" xfId="9" applyNumberFormat="1" applyFont="1" applyFill="1" applyBorder="1" applyAlignment="1">
      <alignment horizontal="center" vertical="center"/>
    </xf>
    <xf numFmtId="2" fontId="45" fillId="29" borderId="5" xfId="9" applyNumberFormat="1" applyFont="1" applyFill="1" applyBorder="1" applyAlignment="1">
      <alignment horizontal="center" vertical="center"/>
    </xf>
    <xf numFmtId="0" fontId="6" fillId="0" borderId="0" xfId="7" applyFont="1" applyAlignment="1">
      <alignment horizontal="center"/>
    </xf>
    <xf numFmtId="166" fontId="3" fillId="0" borderId="0" xfId="9" applyNumberFormat="1" applyBorder="1" applyAlignment="1">
      <alignment horizontal="center"/>
    </xf>
    <xf numFmtId="166" fontId="6" fillId="0" borderId="0" xfId="7" applyNumberFormat="1" applyFont="1" applyBorder="1"/>
    <xf numFmtId="0" fontId="3" fillId="0" borderId="0" xfId="9" applyFill="1" applyBorder="1"/>
    <xf numFmtId="0" fontId="56" fillId="0" borderId="0" xfId="9" applyFont="1" applyAlignment="1"/>
    <xf numFmtId="0" fontId="3" fillId="0" borderId="0" xfId="9" applyFont="1" applyAlignment="1"/>
    <xf numFmtId="0" fontId="36" fillId="34" borderId="5" xfId="9" applyFont="1" applyFill="1" applyBorder="1" applyAlignment="1">
      <alignment horizontal="center" vertical="center"/>
    </xf>
    <xf numFmtId="0" fontId="56" fillId="34" borderId="5" xfId="9" applyFont="1" applyFill="1" applyBorder="1" applyAlignment="1">
      <alignment horizontal="center" vertical="center"/>
    </xf>
    <xf numFmtId="0" fontId="55" fillId="34" borderId="5" xfId="9" applyFont="1" applyFill="1" applyBorder="1" applyAlignment="1">
      <alignment horizontal="center" vertical="center"/>
    </xf>
    <xf numFmtId="0" fontId="56" fillId="0" borderId="33" xfId="9" applyFont="1" applyBorder="1"/>
    <xf numFmtId="0" fontId="36" fillId="0" borderId="5" xfId="9" applyFont="1" applyBorder="1" applyAlignment="1">
      <alignment horizontal="center" vertical="center"/>
    </xf>
    <xf numFmtId="0" fontId="56" fillId="0" borderId="5" xfId="9" applyFont="1" applyBorder="1"/>
    <xf numFmtId="0" fontId="56" fillId="0" borderId="5" xfId="9" applyFont="1" applyBorder="1" applyAlignment="1"/>
    <xf numFmtId="0" fontId="56" fillId="0" borderId="0" xfId="9" applyFont="1" applyAlignment="1">
      <alignment horizontal="center" vertical="center"/>
    </xf>
    <xf numFmtId="0" fontId="36" fillId="0" borderId="5" xfId="9" applyFont="1" applyBorder="1"/>
    <xf numFmtId="0" fontId="57" fillId="2" borderId="5" xfId="9" applyFont="1" applyFill="1" applyBorder="1" applyAlignment="1"/>
    <xf numFmtId="0" fontId="57" fillId="2" borderId="5" xfId="9" applyFont="1" applyFill="1" applyBorder="1" applyAlignment="1">
      <alignment horizontal="center" vertical="center"/>
    </xf>
    <xf numFmtId="0" fontId="42" fillId="0" borderId="0" xfId="9" applyFont="1"/>
    <xf numFmtId="0" fontId="2" fillId="0" borderId="5" xfId="6" applyFont="1" applyBorder="1"/>
    <xf numFmtId="0" fontId="7" fillId="0" borderId="7" xfId="0" applyNumberFormat="1" applyFont="1" applyFill="1" applyBorder="1" applyAlignment="1" applyProtection="1">
      <alignment horizontal="center"/>
    </xf>
    <xf numFmtId="0" fontId="13" fillId="4" borderId="5" xfId="0" applyNumberFormat="1" applyFont="1" applyFill="1" applyBorder="1" applyAlignment="1" applyProtection="1">
      <alignment horizontal="center"/>
    </xf>
    <xf numFmtId="0" fontId="15" fillId="6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16" fontId="1" fillId="0" borderId="5" xfId="6" applyNumberFormat="1" applyFont="1" applyBorder="1" applyAlignment="1">
      <alignment horizontal="left" vertical="center"/>
    </xf>
    <xf numFmtId="0" fontId="15" fillId="5" borderId="5" xfId="0" applyFont="1" applyFill="1" applyBorder="1" applyAlignment="1">
      <alignment vertical="center"/>
    </xf>
    <xf numFmtId="164" fontId="0" fillId="15" borderId="5" xfId="10" applyFont="1" applyFill="1" applyBorder="1" applyAlignment="1">
      <alignment horizontal="right" vertical="center"/>
    </xf>
    <xf numFmtId="0" fontId="0" fillId="2" borderId="0" xfId="0" applyNumberFormat="1" applyFont="1" applyFill="1" applyBorder="1" applyAlignment="1" applyProtection="1">
      <alignment wrapText="1"/>
    </xf>
    <xf numFmtId="0" fontId="15" fillId="5" borderId="5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vertical="center" wrapText="1"/>
    </xf>
    <xf numFmtId="0" fontId="15" fillId="5" borderId="8" xfId="0" applyFont="1" applyFill="1" applyBorder="1" applyAlignment="1">
      <alignment vertical="center"/>
    </xf>
    <xf numFmtId="0" fontId="15" fillId="5" borderId="12" xfId="0" applyFont="1" applyFill="1" applyBorder="1" applyAlignment="1">
      <alignment vertical="center"/>
    </xf>
    <xf numFmtId="0" fontId="15" fillId="5" borderId="9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vertical="center"/>
    </xf>
    <xf numFmtId="0" fontId="15" fillId="6" borderId="9" xfId="0" applyFont="1" applyFill="1" applyBorder="1" applyAlignment="1">
      <alignment vertical="center"/>
    </xf>
    <xf numFmtId="0" fontId="15" fillId="7" borderId="5" xfId="0" applyFont="1" applyFill="1" applyBorder="1" applyAlignment="1">
      <alignment vertical="center"/>
    </xf>
    <xf numFmtId="0" fontId="15" fillId="7" borderId="5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vertical="center" wrapText="1"/>
    </xf>
    <xf numFmtId="0" fontId="12" fillId="4" borderId="5" xfId="0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 applyProtection="1">
      <alignment horizontal="left" vertical="center"/>
    </xf>
    <xf numFmtId="0" fontId="15" fillId="7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9" fontId="0" fillId="0" borderId="0" xfId="2" applyFont="1" applyFill="1" applyBorder="1" applyAlignment="1" applyProtection="1">
      <alignment wrapText="1"/>
    </xf>
    <xf numFmtId="167" fontId="0" fillId="0" borderId="5" xfId="2" applyNumberFormat="1" applyFont="1" applyBorder="1" applyAlignment="1">
      <alignment horizontal="center" vertical="center"/>
    </xf>
    <xf numFmtId="0" fontId="15" fillId="7" borderId="4" xfId="0" applyFont="1" applyFill="1" applyBorder="1" applyAlignment="1">
      <alignment vertical="center"/>
    </xf>
    <xf numFmtId="0" fontId="15" fillId="7" borderId="6" xfId="0" applyFont="1" applyFill="1" applyBorder="1" applyAlignment="1">
      <alignment vertical="center"/>
    </xf>
    <xf numFmtId="0" fontId="15" fillId="6" borderId="4" xfId="0" applyFont="1" applyFill="1" applyBorder="1" applyAlignment="1">
      <alignment vertical="center"/>
    </xf>
    <xf numFmtId="0" fontId="15" fillId="6" borderId="6" xfId="0" applyFont="1" applyFill="1" applyBorder="1" applyAlignment="1">
      <alignment vertical="center"/>
    </xf>
    <xf numFmtId="0" fontId="15" fillId="6" borderId="29" xfId="0" applyFont="1" applyFill="1" applyBorder="1" applyAlignment="1">
      <alignment vertical="center"/>
    </xf>
    <xf numFmtId="0" fontId="15" fillId="6" borderId="12" xfId="0" applyFont="1" applyFill="1" applyBorder="1" applyAlignment="1">
      <alignment vertical="center"/>
    </xf>
    <xf numFmtId="0" fontId="15" fillId="7" borderId="29" xfId="0" applyFont="1" applyFill="1" applyBorder="1" applyAlignment="1">
      <alignment vertical="center"/>
    </xf>
    <xf numFmtId="0" fontId="0" fillId="0" borderId="5" xfId="0" applyFill="1" applyBorder="1" applyAlignment="1">
      <alignment horizontal="left" vertical="center"/>
    </xf>
    <xf numFmtId="2" fontId="0" fillId="0" borderId="5" xfId="0" applyNumberFormat="1" applyFill="1" applyBorder="1" applyAlignment="1">
      <alignment horizontal="center" vertical="center"/>
    </xf>
    <xf numFmtId="168" fontId="0" fillId="0" borderId="5" xfId="0" applyNumberFormat="1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9" fontId="0" fillId="0" borderId="5" xfId="2" applyFont="1" applyFill="1" applyBorder="1" applyAlignment="1">
      <alignment horizontal="center" vertical="center"/>
    </xf>
    <xf numFmtId="10" fontId="0" fillId="0" borderId="5" xfId="2" applyNumberFormat="1" applyFont="1" applyFill="1" applyBorder="1" applyAlignment="1">
      <alignment horizontal="center" vertical="center"/>
    </xf>
    <xf numFmtId="0" fontId="0" fillId="0" borderId="5" xfId="0" quotePrefix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 wrapText="1"/>
    </xf>
    <xf numFmtId="9" fontId="0" fillId="0" borderId="5" xfId="0" applyNumberFormat="1" applyFill="1" applyBorder="1" applyAlignment="1">
      <alignment horizontal="center" vertical="center"/>
    </xf>
    <xf numFmtId="167" fontId="0" fillId="0" borderId="5" xfId="2" applyNumberFormat="1" applyFont="1" applyFill="1" applyBorder="1" applyAlignment="1">
      <alignment horizontal="center" vertical="center"/>
    </xf>
    <xf numFmtId="9" fontId="0" fillId="0" borderId="5" xfId="2" applyNumberFormat="1" applyFont="1" applyFill="1" applyBorder="1" applyAlignment="1">
      <alignment horizontal="center" vertical="center"/>
    </xf>
    <xf numFmtId="2" fontId="6" fillId="0" borderId="0" xfId="0" applyNumberFormat="1" applyFont="1">
      <alignment vertical="center"/>
    </xf>
    <xf numFmtId="2" fontId="0" fillId="0" borderId="0" xfId="0" applyNumberFormat="1">
      <alignment vertical="center"/>
    </xf>
    <xf numFmtId="2" fontId="0" fillId="0" borderId="5" xfId="0" applyNumberFormat="1" applyBorder="1" applyAlignment="1">
      <alignment horizontal="right" vertical="center"/>
    </xf>
    <xf numFmtId="2" fontId="0" fillId="3" borderId="5" xfId="0" applyNumberFormat="1" applyFill="1" applyBorder="1" applyAlignment="1">
      <alignment horizontal="right" vertical="center"/>
    </xf>
    <xf numFmtId="2" fontId="6" fillId="0" borderId="5" xfId="0" applyNumberFormat="1" applyFont="1" applyBorder="1" applyAlignment="1">
      <alignment horizontal="center" vertical="center"/>
    </xf>
    <xf numFmtId="2" fontId="0" fillId="0" borderId="11" xfId="0" applyNumberFormat="1" applyBorder="1">
      <alignment vertical="center"/>
    </xf>
    <xf numFmtId="0" fontId="0" fillId="0" borderId="5" xfId="0" applyBorder="1">
      <alignment vertical="center"/>
    </xf>
    <xf numFmtId="0" fontId="58" fillId="4" borderId="5" xfId="0" applyNumberFormat="1" applyFont="1" applyFill="1" applyBorder="1" applyAlignment="1" applyProtection="1">
      <alignment horizontal="left"/>
    </xf>
    <xf numFmtId="0" fontId="58" fillId="4" borderId="5" xfId="0" applyNumberFormat="1" applyFont="1" applyFill="1" applyBorder="1" applyAlignment="1" applyProtection="1">
      <alignment horizontal="center"/>
    </xf>
    <xf numFmtId="0" fontId="0" fillId="0" borderId="5" xfId="2" applyNumberFormat="1" applyFont="1" applyBorder="1" applyAlignment="1">
      <alignment vertical="center"/>
    </xf>
    <xf numFmtId="9" fontId="0" fillId="0" borderId="5" xfId="0" applyNumberFormat="1" applyBorder="1">
      <alignment vertical="center"/>
    </xf>
    <xf numFmtId="0" fontId="14" fillId="6" borderId="7" xfId="0" applyNumberFormat="1" applyFont="1" applyFill="1" applyBorder="1" applyAlignment="1" applyProtection="1">
      <alignment horizontal="center" vertical="center"/>
    </xf>
    <xf numFmtId="0" fontId="7" fillId="0" borderId="8" xfId="0" applyNumberFormat="1" applyFont="1" applyFill="1" applyBorder="1" applyAlignment="1" applyProtection="1">
      <alignment horizontal="left"/>
    </xf>
    <xf numFmtId="0" fontId="0" fillId="0" borderId="8" xfId="0" applyBorder="1">
      <alignment vertical="center"/>
    </xf>
    <xf numFmtId="2" fontId="0" fillId="0" borderId="10" xfId="0" applyNumberFormat="1" applyBorder="1">
      <alignment vertical="center"/>
    </xf>
    <xf numFmtId="2" fontId="0" fillId="0" borderId="34" xfId="0" applyNumberFormat="1" applyBorder="1">
      <alignment vertical="center"/>
    </xf>
    <xf numFmtId="2" fontId="0" fillId="0" borderId="35" xfId="0" applyNumberFormat="1" applyBorder="1">
      <alignment vertical="center"/>
    </xf>
    <xf numFmtId="2" fontId="0" fillId="0" borderId="36" xfId="0" applyNumberFormat="1" applyBorder="1">
      <alignment vertical="center"/>
    </xf>
    <xf numFmtId="9" fontId="0" fillId="0" borderId="0" xfId="2" applyFont="1" applyAlignment="1">
      <alignment vertical="center"/>
    </xf>
    <xf numFmtId="9" fontId="14" fillId="6" borderId="5" xfId="2" applyFont="1" applyFill="1" applyBorder="1" applyAlignment="1" applyProtection="1">
      <alignment horizontal="center" vertical="top"/>
    </xf>
    <xf numFmtId="9" fontId="7" fillId="0" borderId="5" xfId="2" applyFont="1" applyFill="1" applyBorder="1" applyAlignment="1" applyProtection="1">
      <alignment horizontal="center" vertical="top"/>
    </xf>
    <xf numFmtId="9" fontId="7" fillId="0" borderId="10" xfId="2" applyFont="1" applyFill="1" applyBorder="1" applyAlignment="1" applyProtection="1">
      <alignment horizontal="center" vertical="top"/>
    </xf>
    <xf numFmtId="9" fontId="0" fillId="0" borderId="0" xfId="2" applyFont="1" applyAlignment="1">
      <alignment horizontal="center" vertical="top"/>
    </xf>
    <xf numFmtId="167" fontId="7" fillId="0" borderId="10" xfId="2" applyNumberFormat="1" applyFont="1" applyFill="1" applyBorder="1" applyAlignment="1" applyProtection="1">
      <alignment horizontal="center" vertical="top"/>
    </xf>
    <xf numFmtId="9" fontId="14" fillId="7" borderId="5" xfId="2" applyFont="1" applyFill="1" applyBorder="1" applyAlignment="1" applyProtection="1">
      <alignment horizontal="center" vertical="center"/>
    </xf>
    <xf numFmtId="4" fontId="0" fillId="8" borderId="9" xfId="3" applyNumberFormat="1" applyFont="1" applyFill="1" applyBorder="1" applyAlignment="1">
      <alignment horizontal="right" vertical="center"/>
    </xf>
    <xf numFmtId="0" fontId="15" fillId="7" borderId="5" xfId="0" applyFont="1" applyFill="1" applyBorder="1" applyAlignment="1">
      <alignment vertical="center" textRotation="90"/>
    </xf>
    <xf numFmtId="2" fontId="7" fillId="0" borderId="5" xfId="0" applyNumberFormat="1" applyFont="1" applyFill="1" applyBorder="1" applyAlignment="1" applyProtection="1">
      <alignment horizontal="center"/>
    </xf>
    <xf numFmtId="2" fontId="0" fillId="31" borderId="5" xfId="0" applyNumberFormat="1" applyFill="1" applyBorder="1">
      <alignment vertical="center"/>
    </xf>
    <xf numFmtId="166" fontId="0" fillId="0" borderId="5" xfId="0" applyNumberFormat="1" applyBorder="1" applyAlignment="1">
      <alignment horizontal="center" vertical="center"/>
    </xf>
    <xf numFmtId="2" fontId="6" fillId="36" borderId="5" xfId="0" applyNumberFormat="1" applyFont="1" applyFill="1" applyBorder="1" applyAlignment="1">
      <alignment horizontal="center" vertical="center"/>
    </xf>
    <xf numFmtId="0" fontId="6" fillId="9" borderId="0" xfId="3" applyFont="1" applyFill="1" applyBorder="1" applyAlignment="1">
      <alignment horizontal="left" vertical="center"/>
    </xf>
    <xf numFmtId="2" fontId="15" fillId="7" borderId="5" xfId="0" applyNumberFormat="1" applyFont="1" applyFill="1" applyBorder="1" applyAlignment="1">
      <alignment horizontal="center" vertical="center"/>
    </xf>
    <xf numFmtId="0" fontId="6" fillId="29" borderId="0" xfId="0" applyFont="1" applyFill="1">
      <alignment vertical="center"/>
    </xf>
    <xf numFmtId="2" fontId="15" fillId="6" borderId="5" xfId="0" applyNumberFormat="1" applyFont="1" applyFill="1" applyBorder="1" applyAlignment="1">
      <alignment horizontal="center" vertical="center"/>
    </xf>
    <xf numFmtId="0" fontId="6" fillId="31" borderId="0" xfId="0" applyFont="1" applyFill="1">
      <alignment vertical="center"/>
    </xf>
    <xf numFmtId="2" fontId="15" fillId="5" borderId="5" xfId="0" applyNumberFormat="1" applyFont="1" applyFill="1" applyBorder="1" applyAlignment="1">
      <alignment horizontal="center" vertical="center"/>
    </xf>
    <xf numFmtId="0" fontId="6" fillId="37" borderId="0" xfId="0" applyFont="1" applyFill="1">
      <alignment vertical="center"/>
    </xf>
    <xf numFmtId="164" fontId="0" fillId="15" borderId="8" xfId="10" applyFont="1" applyFill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2" fontId="0" fillId="15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15" borderId="9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/>
    <xf numFmtId="0" fontId="0" fillId="18" borderId="5" xfId="0" applyFill="1" applyBorder="1" applyAlignment="1">
      <alignment horizontal="center" vertical="center"/>
    </xf>
    <xf numFmtId="0" fontId="0" fillId="0" borderId="5" xfId="0" applyBorder="1" applyAlignment="1"/>
    <xf numFmtId="0" fontId="0" fillId="0" borderId="5" xfId="0" applyBorder="1" applyAlignment="1">
      <alignment horizontal="left" vertical="center"/>
    </xf>
    <xf numFmtId="0" fontId="0" fillId="0" borderId="5" xfId="0" applyFill="1" applyBorder="1" applyAlignment="1"/>
    <xf numFmtId="0" fontId="45" fillId="0" borderId="5" xfId="0" applyFont="1" applyBorder="1" applyAlignment="1">
      <alignment horizontal="center" vertical="center"/>
    </xf>
    <xf numFmtId="2" fontId="0" fillId="28" borderId="4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45" fillId="0" borderId="5" xfId="0" applyFon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/>
    </xf>
    <xf numFmtId="10" fontId="45" fillId="2" borderId="5" xfId="2" applyNumberFormat="1" applyFont="1" applyFill="1" applyBorder="1" applyAlignment="1">
      <alignment horizontal="center"/>
    </xf>
    <xf numFmtId="2" fontId="45" fillId="0" borderId="5" xfId="0" applyNumberFormat="1" applyFont="1" applyBorder="1" applyAlignment="1">
      <alignment horizontal="center" vertical="center"/>
    </xf>
    <xf numFmtId="0" fontId="6" fillId="0" borderId="0" xfId="0" applyFont="1" applyAlignment="1"/>
    <xf numFmtId="0" fontId="0" fillId="38" borderId="0" xfId="0" applyFill="1">
      <alignment vertical="center"/>
    </xf>
    <xf numFmtId="0" fontId="6" fillId="0" borderId="5" xfId="0" applyFont="1" applyBorder="1" applyAlignment="1">
      <alignment horizontal="center" vertical="center"/>
    </xf>
    <xf numFmtId="2" fontId="45" fillId="2" borderId="5" xfId="0" applyNumberFormat="1" applyFont="1" applyFill="1" applyBorder="1" applyAlignment="1">
      <alignment horizontal="center"/>
    </xf>
    <xf numFmtId="0" fontId="0" fillId="0" borderId="37" xfId="0" applyBorder="1">
      <alignment vertical="center"/>
    </xf>
    <xf numFmtId="0" fontId="45" fillId="0" borderId="5" xfId="0" applyFont="1" applyBorder="1" applyAlignment="1">
      <alignment horizontal="center" vertical="center"/>
    </xf>
    <xf numFmtId="0" fontId="41" fillId="0" borderId="0" xfId="5" applyFont="1" applyAlignment="1">
      <alignment vertical="top"/>
    </xf>
    <xf numFmtId="10" fontId="0" fillId="0" borderId="5" xfId="2" applyNumberFormat="1" applyFont="1" applyBorder="1" applyAlignment="1">
      <alignment vertical="center"/>
    </xf>
    <xf numFmtId="10" fontId="0" fillId="16" borderId="5" xfId="2" applyNumberFormat="1" applyFont="1" applyFill="1" applyBorder="1" applyAlignment="1">
      <alignment vertical="center"/>
    </xf>
    <xf numFmtId="10" fontId="45" fillId="2" borderId="5" xfId="2" applyNumberFormat="1" applyFont="1" applyFill="1" applyBorder="1" applyAlignment="1">
      <alignment horizontal="center" vertical="center"/>
    </xf>
    <xf numFmtId="2" fontId="45" fillId="2" borderId="5" xfId="0" applyNumberFormat="1" applyFont="1" applyFill="1" applyBorder="1" applyAlignment="1">
      <alignment horizontal="center" vertical="center"/>
    </xf>
    <xf numFmtId="0" fontId="41" fillId="2" borderId="10" xfId="6" applyFont="1" applyFill="1" applyBorder="1" applyAlignment="1">
      <alignment horizontal="center"/>
    </xf>
    <xf numFmtId="0" fontId="41" fillId="2" borderId="11" xfId="6" applyFont="1" applyFill="1" applyBorder="1" applyAlignment="1">
      <alignment horizontal="center"/>
    </xf>
    <xf numFmtId="0" fontId="41" fillId="0" borderId="0" xfId="6" applyFont="1" applyAlignment="1">
      <alignment horizontal="center"/>
    </xf>
    <xf numFmtId="0" fontId="41" fillId="2" borderId="5" xfId="6" applyFont="1" applyFill="1" applyBorder="1" applyAlignment="1">
      <alignment horizontal="center"/>
    </xf>
    <xf numFmtId="0" fontId="41" fillId="2" borderId="10" xfId="6" applyFont="1" applyFill="1" applyBorder="1" applyAlignment="1">
      <alignment horizontal="center" wrapText="1"/>
    </xf>
    <xf numFmtId="0" fontId="41" fillId="2" borderId="11" xfId="6" applyFont="1" applyFill="1" applyBorder="1" applyAlignment="1">
      <alignment horizontal="center" wrapText="1"/>
    </xf>
    <xf numFmtId="0" fontId="4" fillId="32" borderId="8" xfId="6" applyFill="1" applyBorder="1" applyAlignment="1">
      <alignment horizontal="center"/>
    </xf>
    <xf numFmtId="0" fontId="4" fillId="32" borderId="12" xfId="6" applyFill="1" applyBorder="1" applyAlignment="1">
      <alignment horizontal="center"/>
    </xf>
    <xf numFmtId="0" fontId="4" fillId="32" borderId="9" xfId="6" applyFill="1" applyBorder="1" applyAlignment="1">
      <alignment horizontal="center"/>
    </xf>
    <xf numFmtId="0" fontId="45" fillId="2" borderId="5" xfId="6" applyFont="1" applyFill="1" applyBorder="1" applyAlignment="1">
      <alignment horizontal="center" vertical="center"/>
    </xf>
    <xf numFmtId="0" fontId="8" fillId="2" borderId="5" xfId="7" applyFont="1" applyFill="1" applyBorder="1" applyAlignment="1">
      <alignment horizontal="center"/>
    </xf>
    <xf numFmtId="0" fontId="54" fillId="0" borderId="0" xfId="6" applyFont="1" applyAlignment="1">
      <alignment horizontal="center"/>
    </xf>
    <xf numFmtId="0" fontId="4" fillId="0" borderId="5" xfId="6" applyFill="1" applyBorder="1" applyAlignment="1">
      <alignment horizontal="center"/>
    </xf>
    <xf numFmtId="0" fontId="41" fillId="0" borderId="0" xfId="5" applyFont="1" applyAlignment="1"/>
    <xf numFmtId="0" fontId="41" fillId="0" borderId="0" xfId="5" applyFont="1" applyAlignment="1">
      <alignment horizontal="left"/>
    </xf>
    <xf numFmtId="0" fontId="44" fillId="26" borderId="0" xfId="5" applyFont="1" applyFill="1" applyAlignment="1">
      <alignment horizontal="center"/>
    </xf>
    <xf numFmtId="0" fontId="43" fillId="2" borderId="0" xfId="5" applyFont="1" applyFill="1" applyAlignment="1">
      <alignment horizontal="center"/>
    </xf>
    <xf numFmtId="0" fontId="41" fillId="0" borderId="0" xfId="5" applyFont="1" applyAlignment="1">
      <alignment horizontal="left" vertical="center"/>
    </xf>
    <xf numFmtId="0" fontId="41" fillId="39" borderId="0" xfId="5" applyFont="1" applyFill="1" applyAlignment="1">
      <alignment horizontal="center"/>
    </xf>
    <xf numFmtId="0" fontId="26" fillId="9" borderId="18" xfId="0" applyFont="1" applyFill="1" applyBorder="1" applyAlignment="1">
      <alignment horizontal="left" vertical="center" indent="1"/>
    </xf>
    <xf numFmtId="0" fontId="55" fillId="34" borderId="10" xfId="0" applyFont="1" applyFill="1" applyBorder="1" applyAlignment="1">
      <alignment horizontal="center" vertical="center" wrapText="1"/>
    </xf>
    <xf numFmtId="0" fontId="55" fillId="34" borderId="11" xfId="0" applyFont="1" applyFill="1" applyBorder="1" applyAlignment="1">
      <alignment horizontal="center" vertical="center" wrapText="1"/>
    </xf>
    <xf numFmtId="0" fontId="55" fillId="34" borderId="10" xfId="0" applyFont="1" applyFill="1" applyBorder="1" applyAlignment="1">
      <alignment horizontal="center" vertical="center"/>
    </xf>
    <xf numFmtId="0" fontId="55" fillId="34" borderId="11" xfId="0" applyFont="1" applyFill="1" applyBorder="1" applyAlignment="1">
      <alignment horizontal="center" vertical="center"/>
    </xf>
    <xf numFmtId="0" fontId="55" fillId="34" borderId="8" xfId="0" applyFont="1" applyFill="1" applyBorder="1" applyAlignment="1">
      <alignment horizontal="center" vertical="center"/>
    </xf>
    <xf numFmtId="0" fontId="55" fillId="34" borderId="12" xfId="0" applyFont="1" applyFill="1" applyBorder="1" applyAlignment="1">
      <alignment horizontal="center" vertical="center"/>
    </xf>
    <xf numFmtId="0" fontId="55" fillId="34" borderId="9" xfId="0" applyFont="1" applyFill="1" applyBorder="1" applyAlignment="1">
      <alignment horizontal="center" vertical="center"/>
    </xf>
    <xf numFmtId="0" fontId="55" fillId="34" borderId="5" xfId="0" applyFont="1" applyFill="1" applyBorder="1" applyAlignment="1">
      <alignment horizontal="center" vertical="center"/>
    </xf>
    <xf numFmtId="0" fontId="41" fillId="0" borderId="8" xfId="6" applyFont="1" applyFill="1" applyBorder="1" applyAlignment="1">
      <alignment horizontal="center" vertical="center"/>
    </xf>
    <xf numFmtId="0" fontId="41" fillId="0" borderId="12" xfId="6" applyFont="1" applyFill="1" applyBorder="1" applyAlignment="1">
      <alignment horizontal="center" vertical="center"/>
    </xf>
    <xf numFmtId="0" fontId="41" fillId="0" borderId="9" xfId="6" applyFont="1" applyFill="1" applyBorder="1" applyAlignment="1">
      <alignment horizontal="center" vertical="center"/>
    </xf>
    <xf numFmtId="0" fontId="47" fillId="0" borderId="6" xfId="6" applyFont="1" applyBorder="1" applyAlignment="1">
      <alignment horizontal="center" wrapText="1"/>
    </xf>
    <xf numFmtId="0" fontId="6" fillId="2" borderId="10" xfId="7" applyFont="1" applyFill="1" applyBorder="1" applyAlignment="1">
      <alignment horizontal="center" vertical="center"/>
    </xf>
    <xf numFmtId="0" fontId="6" fillId="2" borderId="7" xfId="7" applyFont="1" applyFill="1" applyBorder="1" applyAlignment="1">
      <alignment horizontal="center" vertical="center"/>
    </xf>
    <xf numFmtId="0" fontId="6" fillId="2" borderId="10" xfId="7" applyFont="1" applyFill="1" applyBorder="1" applyAlignment="1">
      <alignment horizontal="center" vertical="center" wrapText="1"/>
    </xf>
    <xf numFmtId="0" fontId="6" fillId="2" borderId="7" xfId="7" applyFont="1" applyFill="1" applyBorder="1" applyAlignment="1">
      <alignment horizontal="center" vertical="center" wrapText="1"/>
    </xf>
    <xf numFmtId="0" fontId="6" fillId="2" borderId="11" xfId="7" applyFont="1" applyFill="1" applyBorder="1" applyAlignment="1">
      <alignment horizontal="center" vertical="center" wrapText="1"/>
    </xf>
    <xf numFmtId="0" fontId="49" fillId="27" borderId="5" xfId="7" applyFont="1" applyFill="1" applyBorder="1" applyAlignment="1">
      <alignment horizontal="center" vertical="center" wrapText="1"/>
    </xf>
    <xf numFmtId="0" fontId="4" fillId="0" borderId="0" xfId="6" applyAlignment="1">
      <alignment horizontal="center" vertical="center" wrapText="1"/>
    </xf>
    <xf numFmtId="0" fontId="4" fillId="0" borderId="0" xfId="6" applyAlignment="1">
      <alignment horizontal="left" vertical="center" wrapText="1"/>
    </xf>
    <xf numFmtId="0" fontId="42" fillId="11" borderId="8" xfId="6" applyFont="1" applyFill="1" applyBorder="1" applyAlignment="1">
      <alignment horizontal="center" vertical="center"/>
    </xf>
    <xf numFmtId="0" fontId="42" fillId="11" borderId="12" xfId="6" applyFont="1" applyFill="1" applyBorder="1" applyAlignment="1">
      <alignment horizontal="center" vertical="center"/>
    </xf>
    <xf numFmtId="0" fontId="42" fillId="11" borderId="9" xfId="6" applyFont="1" applyFill="1" applyBorder="1" applyAlignment="1">
      <alignment horizontal="center" vertical="center"/>
    </xf>
    <xf numFmtId="0" fontId="6" fillId="2" borderId="5" xfId="7" applyFont="1" applyFill="1" applyBorder="1" applyAlignment="1">
      <alignment horizontal="center" vertical="center"/>
    </xf>
    <xf numFmtId="0" fontId="6" fillId="2" borderId="5" xfId="7" applyFont="1" applyFill="1" applyBorder="1" applyAlignment="1">
      <alignment horizontal="center" vertical="center" wrapText="1"/>
    </xf>
    <xf numFmtId="0" fontId="49" fillId="0" borderId="6" xfId="7" applyFont="1" applyBorder="1" applyAlignment="1">
      <alignment horizontal="center"/>
    </xf>
    <xf numFmtId="0" fontId="6" fillId="2" borderId="13" xfId="7" applyFont="1" applyFill="1" applyBorder="1" applyAlignment="1">
      <alignment horizontal="center" vertical="center" wrapText="1"/>
    </xf>
    <xf numFmtId="0" fontId="6" fillId="2" borderId="2" xfId="7" applyFont="1" applyFill="1" applyBorder="1" applyAlignment="1">
      <alignment horizontal="center" vertical="center" wrapText="1"/>
    </xf>
    <xf numFmtId="0" fontId="6" fillId="2" borderId="21" xfId="7" applyFont="1" applyFill="1" applyBorder="1" applyAlignment="1">
      <alignment horizontal="center" vertical="center" wrapText="1"/>
    </xf>
    <xf numFmtId="0" fontId="6" fillId="2" borderId="1" xfId="7" applyFont="1" applyFill="1" applyBorder="1" applyAlignment="1">
      <alignment horizontal="center" vertical="center" wrapText="1"/>
    </xf>
    <xf numFmtId="0" fontId="6" fillId="2" borderId="0" xfId="7" applyFont="1" applyFill="1" applyBorder="1" applyAlignment="1">
      <alignment horizontal="center" vertical="center" wrapText="1"/>
    </xf>
    <xf numFmtId="0" fontId="6" fillId="2" borderId="3" xfId="7" applyFont="1" applyFill="1" applyBorder="1" applyAlignment="1">
      <alignment horizontal="center" vertical="center" wrapText="1"/>
    </xf>
    <xf numFmtId="0" fontId="6" fillId="2" borderId="4" xfId="7" applyFont="1" applyFill="1" applyBorder="1" applyAlignment="1">
      <alignment horizontal="center" vertical="center" wrapText="1"/>
    </xf>
    <xf numFmtId="0" fontId="6" fillId="2" borderId="6" xfId="7" applyFont="1" applyFill="1" applyBorder="1" applyAlignment="1">
      <alignment horizontal="center" vertical="center" wrapText="1"/>
    </xf>
    <xf numFmtId="0" fontId="6" fillId="2" borderId="29" xfId="7" applyFont="1" applyFill="1" applyBorder="1" applyAlignment="1">
      <alignment horizontal="center" vertical="center" wrapText="1"/>
    </xf>
    <xf numFmtId="0" fontId="6" fillId="0" borderId="6" xfId="7" applyFont="1" applyFill="1" applyBorder="1" applyAlignment="1">
      <alignment horizontal="center"/>
    </xf>
    <xf numFmtId="0" fontId="6" fillId="2" borderId="11" xfId="7" applyFont="1" applyFill="1" applyBorder="1" applyAlignment="1">
      <alignment horizontal="center" vertical="center"/>
    </xf>
    <xf numFmtId="0" fontId="49" fillId="0" borderId="0" xfId="7" applyFont="1" applyAlignment="1">
      <alignment horizontal="center" wrapText="1"/>
    </xf>
    <xf numFmtId="0" fontId="49" fillId="0" borderId="6" xfId="7" applyFont="1" applyBorder="1" applyAlignment="1">
      <alignment horizontal="center" wrapText="1"/>
    </xf>
    <xf numFmtId="0" fontId="42" fillId="0" borderId="13" xfId="9" applyFont="1" applyBorder="1" applyAlignment="1">
      <alignment horizontal="center" vertical="center" wrapText="1"/>
    </xf>
    <xf numFmtId="0" fontId="42" fillId="0" borderId="2" xfId="9" applyFont="1" applyBorder="1" applyAlignment="1">
      <alignment horizontal="center" vertical="center" wrapText="1"/>
    </xf>
    <xf numFmtId="0" fontId="42" fillId="0" borderId="21" xfId="9" applyFont="1" applyBorder="1" applyAlignment="1">
      <alignment horizontal="center" vertical="center" wrapText="1"/>
    </xf>
    <xf numFmtId="0" fontId="42" fillId="0" borderId="1" xfId="9" applyFont="1" applyBorder="1" applyAlignment="1">
      <alignment horizontal="center" vertical="center" wrapText="1"/>
    </xf>
    <xf numFmtId="0" fontId="42" fillId="0" borderId="0" xfId="9" applyFont="1" applyBorder="1" applyAlignment="1">
      <alignment horizontal="center" vertical="center" wrapText="1"/>
    </xf>
    <xf numFmtId="0" fontId="42" fillId="0" borderId="3" xfId="9" applyFont="1" applyBorder="1" applyAlignment="1">
      <alignment horizontal="center" vertical="center" wrapText="1"/>
    </xf>
    <xf numFmtId="0" fontId="42" fillId="0" borderId="4" xfId="9" applyFont="1" applyBorder="1" applyAlignment="1">
      <alignment horizontal="center" vertical="center" wrapText="1"/>
    </xf>
    <xf numFmtId="0" fontId="42" fillId="0" borderId="6" xfId="9" applyFont="1" applyBorder="1" applyAlignment="1">
      <alignment horizontal="center" vertical="center" wrapText="1"/>
    </xf>
    <xf numFmtId="0" fontId="42" fillId="0" borderId="29" xfId="9" applyFont="1" applyBorder="1" applyAlignment="1">
      <alignment horizontal="center" vertical="center" wrapText="1"/>
    </xf>
    <xf numFmtId="0" fontId="55" fillId="34" borderId="10" xfId="9" applyFont="1" applyFill="1" applyBorder="1" applyAlignment="1">
      <alignment horizontal="center" vertical="center"/>
    </xf>
    <xf numFmtId="0" fontId="55" fillId="34" borderId="11" xfId="9" applyFont="1" applyFill="1" applyBorder="1" applyAlignment="1">
      <alignment horizontal="center" vertical="center"/>
    </xf>
    <xf numFmtId="0" fontId="49" fillId="0" borderId="0" xfId="9" applyFont="1" applyAlignment="1">
      <alignment horizontal="center"/>
    </xf>
    <xf numFmtId="0" fontId="55" fillId="34" borderId="30" xfId="9" applyFont="1" applyFill="1" applyBorder="1" applyAlignment="1">
      <alignment horizontal="center" vertical="center" wrapText="1"/>
    </xf>
    <xf numFmtId="0" fontId="36" fillId="0" borderId="31" xfId="9" applyFont="1" applyBorder="1" applyAlignment="1">
      <alignment wrapText="1"/>
    </xf>
    <xf numFmtId="0" fontId="36" fillId="0" borderId="32" xfId="9" applyFont="1" applyBorder="1" applyAlignment="1">
      <alignment wrapText="1"/>
    </xf>
    <xf numFmtId="0" fontId="55" fillId="34" borderId="30" xfId="9" applyFont="1" applyFill="1" applyBorder="1" applyAlignment="1">
      <alignment horizontal="center" vertical="center"/>
    </xf>
    <xf numFmtId="0" fontId="36" fillId="0" borderId="31" xfId="9" applyFont="1" applyBorder="1"/>
    <xf numFmtId="0" fontId="36" fillId="0" borderId="32" xfId="9" applyFont="1" applyBorder="1"/>
    <xf numFmtId="0" fontId="9" fillId="0" borderId="10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</xf>
    <xf numFmtId="0" fontId="9" fillId="0" borderId="11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0" fontId="9" fillId="0" borderId="10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12" fillId="4" borderId="5" xfId="0" applyFont="1" applyFill="1" applyBorder="1" applyAlignment="1">
      <alignment horizontal="center" vertical="center"/>
    </xf>
    <xf numFmtId="0" fontId="29" fillId="20" borderId="17" xfId="0" applyFont="1" applyFill="1" applyBorder="1" applyAlignment="1">
      <alignment horizontal="left" vertical="center" indent="1"/>
    </xf>
    <xf numFmtId="0" fontId="31" fillId="13" borderId="5" xfId="0" applyFont="1" applyFill="1" applyBorder="1" applyAlignment="1">
      <alignment horizontal="center" vertical="center" textRotation="90"/>
    </xf>
    <xf numFmtId="0" fontId="7" fillId="0" borderId="5" xfId="0" applyNumberFormat="1" applyFont="1" applyFill="1" applyBorder="1" applyAlignment="1" applyProtection="1">
      <alignment horizontal="left" vertical="center"/>
    </xf>
    <xf numFmtId="0" fontId="24" fillId="14" borderId="5" xfId="0" applyFont="1" applyFill="1" applyBorder="1" applyAlignment="1">
      <alignment horizontal="center" vertical="center" textRotation="90"/>
    </xf>
    <xf numFmtId="0" fontId="12" fillId="4" borderId="4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4" fillId="7" borderId="8" xfId="0" applyNumberFormat="1" applyFont="1" applyFill="1" applyBorder="1" applyAlignment="1" applyProtection="1">
      <alignment horizontal="center"/>
    </xf>
    <xf numFmtId="0" fontId="14" fillId="7" borderId="12" xfId="0" applyNumberFormat="1" applyFont="1" applyFill="1" applyBorder="1" applyAlignment="1" applyProtection="1">
      <alignment horizontal="center"/>
    </xf>
    <xf numFmtId="0" fontId="14" fillId="7" borderId="9" xfId="0" applyNumberFormat="1" applyFont="1" applyFill="1" applyBorder="1" applyAlignment="1" applyProtection="1">
      <alignment horizontal="center"/>
    </xf>
    <xf numFmtId="0" fontId="14" fillId="6" borderId="8" xfId="0" applyNumberFormat="1" applyFont="1" applyFill="1" applyBorder="1" applyAlignment="1" applyProtection="1">
      <alignment horizontal="center"/>
    </xf>
    <xf numFmtId="0" fontId="14" fillId="6" borderId="12" xfId="0" applyNumberFormat="1" applyFont="1" applyFill="1" applyBorder="1" applyAlignment="1" applyProtection="1">
      <alignment horizontal="center"/>
    </xf>
    <xf numFmtId="0" fontId="14" fillId="6" borderId="9" xfId="0" applyNumberFormat="1" applyFont="1" applyFill="1" applyBorder="1" applyAlignment="1" applyProtection="1">
      <alignment horizontal="center"/>
    </xf>
    <xf numFmtId="0" fontId="29" fillId="20" borderId="17" xfId="0" applyFont="1" applyFill="1" applyBorder="1" applyAlignment="1">
      <alignment horizontal="left" vertical="center" wrapText="1" indent="1"/>
    </xf>
    <xf numFmtId="0" fontId="14" fillId="5" borderId="5" xfId="0" applyNumberFormat="1" applyFont="1" applyFill="1" applyBorder="1" applyAlignment="1" applyProtection="1">
      <alignment horizontal="center"/>
    </xf>
    <xf numFmtId="0" fontId="13" fillId="4" borderId="1" xfId="0" applyNumberFormat="1" applyFont="1" applyFill="1" applyBorder="1" applyAlignment="1" applyProtection="1">
      <alignment horizontal="center" wrapText="1"/>
    </xf>
    <xf numFmtId="0" fontId="13" fillId="4" borderId="5" xfId="0" applyNumberFormat="1" applyFont="1" applyFill="1" applyBorder="1" applyAlignment="1" applyProtection="1">
      <alignment horizontal="center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left" vertical="center" indent="1"/>
    </xf>
    <xf numFmtId="0" fontId="14" fillId="13" borderId="5" xfId="0" applyFont="1" applyFill="1" applyBorder="1" applyAlignment="1">
      <alignment horizontal="center" vertical="center" textRotation="90"/>
    </xf>
    <xf numFmtId="0" fontId="15" fillId="5" borderId="12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0" fontId="34" fillId="23" borderId="15" xfId="0" applyFont="1" applyFill="1" applyBorder="1" applyAlignment="1">
      <alignment horizontal="left" vertical="center"/>
    </xf>
    <xf numFmtId="0" fontId="14" fillId="18" borderId="2" xfId="3" applyFont="1" applyFill="1" applyBorder="1" applyAlignment="1">
      <alignment horizontal="center" vertical="center"/>
    </xf>
    <xf numFmtId="0" fontId="14" fillId="18" borderId="6" xfId="3" applyFont="1" applyFill="1" applyBorder="1" applyAlignment="1">
      <alignment horizontal="center" vertical="center"/>
    </xf>
    <xf numFmtId="0" fontId="14" fillId="17" borderId="2" xfId="3" applyFont="1" applyFill="1" applyBorder="1" applyAlignment="1">
      <alignment horizontal="center" vertical="center"/>
    </xf>
    <xf numFmtId="0" fontId="14" fillId="17" borderId="6" xfId="3" applyFont="1" applyFill="1" applyBorder="1" applyAlignment="1">
      <alignment horizontal="center" vertical="center"/>
    </xf>
    <xf numFmtId="0" fontId="37" fillId="24" borderId="22" xfId="0" applyFont="1" applyFill="1" applyBorder="1" applyAlignment="1">
      <alignment horizontal="left" vertical="center" indent="1"/>
    </xf>
    <xf numFmtId="0" fontId="15" fillId="7" borderId="8" xfId="0" applyFont="1" applyFill="1" applyBorder="1" applyAlignment="1">
      <alignment horizontal="center" vertical="center" textRotation="90"/>
    </xf>
    <xf numFmtId="0" fontId="15" fillId="7" borderId="9" xfId="0" applyFont="1" applyFill="1" applyBorder="1" applyAlignment="1">
      <alignment horizontal="center" vertical="center" textRotation="90"/>
    </xf>
    <xf numFmtId="0" fontId="35" fillId="4" borderId="8" xfId="3" applyFont="1" applyFill="1" applyBorder="1" applyAlignment="1">
      <alignment horizontal="center" vertical="center"/>
    </xf>
    <xf numFmtId="0" fontId="35" fillId="4" borderId="9" xfId="3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 textRotation="90"/>
    </xf>
    <xf numFmtId="0" fontId="15" fillId="7" borderId="6" xfId="0" applyFont="1" applyFill="1" applyBorder="1" applyAlignment="1">
      <alignment horizontal="center" vertical="center" textRotation="90"/>
    </xf>
    <xf numFmtId="0" fontId="15" fillId="7" borderId="29" xfId="0" applyFont="1" applyFill="1" applyBorder="1" applyAlignment="1">
      <alignment horizontal="center" vertical="center" textRotation="90"/>
    </xf>
    <xf numFmtId="0" fontId="39" fillId="25" borderId="28" xfId="0" applyFont="1" applyFill="1" applyBorder="1" applyAlignment="1">
      <alignment horizontal="left" vertical="center" indent="1"/>
    </xf>
    <xf numFmtId="0" fontId="39" fillId="25" borderId="27" xfId="0" applyFont="1" applyFill="1" applyBorder="1" applyAlignment="1">
      <alignment horizontal="left" vertical="center" indent="1"/>
    </xf>
    <xf numFmtId="0" fontId="47" fillId="39" borderId="0" xfId="0" applyFont="1" applyFill="1" applyAlignment="1">
      <alignment horizontal="center" vertical="center"/>
    </xf>
    <xf numFmtId="0" fontId="45" fillId="0" borderId="8" xfId="0" applyFont="1" applyBorder="1" applyAlignment="1">
      <alignment horizontal="center"/>
    </xf>
    <xf numFmtId="0" fontId="45" fillId="0" borderId="9" xfId="0" applyFont="1" applyBorder="1" applyAlignment="1">
      <alignment horizontal="center"/>
    </xf>
    <xf numFmtId="0" fontId="45" fillId="0" borderId="5" xfId="0" applyFont="1" applyBorder="1" applyAlignment="1">
      <alignment horizontal="center" vertical="center"/>
    </xf>
    <xf numFmtId="0" fontId="59" fillId="0" borderId="6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/>
    </xf>
    <xf numFmtId="0" fontId="45" fillId="0" borderId="5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60" fillId="39" borderId="5" xfId="0" applyFont="1" applyFill="1" applyBorder="1" applyAlignment="1">
      <alignment horizontal="center" vertical="center"/>
    </xf>
    <xf numFmtId="0" fontId="45" fillId="0" borderId="12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1">
    <cellStyle name="Millares" xfId="10" builtinId="3"/>
    <cellStyle name="Millares 2" xfId="8" xr:uid="{00000000-0005-0000-0000-000001000000}"/>
    <cellStyle name="Moneda 2" xfId="1" xr:uid="{00000000-0005-0000-0000-000002000000}"/>
    <cellStyle name="Normal" xfId="0" builtinId="0"/>
    <cellStyle name="Normal 2" xfId="3" xr:uid="{00000000-0005-0000-0000-000004000000}"/>
    <cellStyle name="Normal 2 2" xfId="7" xr:uid="{00000000-0005-0000-0000-000005000000}"/>
    <cellStyle name="Normal 3" xfId="4" xr:uid="{00000000-0005-0000-0000-000006000000}"/>
    <cellStyle name="Normal 3 2" xfId="5" xr:uid="{00000000-0005-0000-0000-000007000000}"/>
    <cellStyle name="Normal 4" xfId="6" xr:uid="{00000000-0005-0000-0000-000008000000}"/>
    <cellStyle name="Normal 5" xfId="9" xr:uid="{00000000-0005-0000-0000-000009000000}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FF00"/>
      <rgbColor rgb="00C0C0C0"/>
      <rgbColor rgb="0099CCFF"/>
      <rgbColor rgb="00BDE6E1"/>
      <rgbColor rgb="00FF8080"/>
      <rgbColor rgb="00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  <color rgb="FFFFFFCC"/>
      <color rgb="FF66FF33"/>
      <color rgb="FFEFFFEF"/>
      <color rgb="FFE7FFE7"/>
      <color rgb="FFDDFFDD"/>
      <color rgb="FFE1F7FF"/>
      <color rgb="FFCDF2FF"/>
      <color rgb="FFFFF1C5"/>
      <color rgb="FF588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C786515-7391-4007-A3DE-07996A5C9653}" type="doc">
      <dgm:prSet loTypeId="urn:microsoft.com/office/officeart/2008/layout/NameandTitleOrganizationalChart" loCatId="hierarchy" qsTypeId="urn:microsoft.com/office/officeart/2005/8/quickstyle/simple2" qsCatId="simple" csTypeId="urn:microsoft.com/office/officeart/2005/8/colors/colorful4" csCatId="colorful" phldr="1"/>
      <dgm:spPr/>
      <dgm:t>
        <a:bodyPr/>
        <a:lstStyle/>
        <a:p>
          <a:endParaRPr lang="es-PE"/>
        </a:p>
      </dgm:t>
    </dgm:pt>
    <dgm:pt modelId="{FAD1A9A9-BFAF-4E76-BB25-EAA9D300667E}">
      <dgm:prSet phldrT="[Texto]"/>
      <dgm:spPr/>
      <dgm:t>
        <a:bodyPr/>
        <a:lstStyle/>
        <a:p>
          <a:r>
            <a:rPr lang="es-PE"/>
            <a:t>GERENCIA GENERAL</a:t>
          </a:r>
        </a:p>
      </dgm:t>
    </dgm:pt>
    <dgm:pt modelId="{BC8187CF-9E48-45B1-915B-F9F7C62DBCCD}" type="sibTrans" cxnId="{8B84D927-58DB-4F1C-BB95-7F745F1C1F38}">
      <dgm:prSet/>
      <dgm:spPr/>
      <dgm:t>
        <a:bodyPr/>
        <a:lstStyle/>
        <a:p>
          <a:r>
            <a:rPr lang="es-PE"/>
            <a:t>GROVER</a:t>
          </a:r>
        </a:p>
      </dgm:t>
    </dgm:pt>
    <dgm:pt modelId="{C7F7188C-8B9B-4E11-A47A-1F9304CEB747}" type="parTrans" cxnId="{8B84D927-58DB-4F1C-BB95-7F745F1C1F38}">
      <dgm:prSet/>
      <dgm:spPr/>
      <dgm:t>
        <a:bodyPr/>
        <a:lstStyle/>
        <a:p>
          <a:endParaRPr lang="es-PE"/>
        </a:p>
      </dgm:t>
    </dgm:pt>
    <dgm:pt modelId="{90AEBC8E-3479-4C23-963C-93224D4060E9}">
      <dgm:prSet phldrT="[Texto]"/>
      <dgm:spPr/>
      <dgm:t>
        <a:bodyPr/>
        <a:lstStyle/>
        <a:p>
          <a:r>
            <a:rPr lang="es-PE"/>
            <a:t>G. PRODUCCION</a:t>
          </a:r>
        </a:p>
      </dgm:t>
    </dgm:pt>
    <dgm:pt modelId="{099C38B1-9A9C-47BA-97C3-93C170487F65}" type="parTrans" cxnId="{BD6A7D4D-4C7A-4DA7-BEE6-D270F48A009E}">
      <dgm:prSet/>
      <dgm:spPr/>
      <dgm:t>
        <a:bodyPr/>
        <a:lstStyle/>
        <a:p>
          <a:endParaRPr lang="es-PE"/>
        </a:p>
      </dgm:t>
    </dgm:pt>
    <dgm:pt modelId="{E1C70FC8-3C1C-483F-928B-D3E249C4B97C}" type="sibTrans" cxnId="{BD6A7D4D-4C7A-4DA7-BEE6-D270F48A009E}">
      <dgm:prSet/>
      <dgm:spPr/>
      <dgm:t>
        <a:bodyPr/>
        <a:lstStyle/>
        <a:p>
          <a:r>
            <a:rPr lang="es-PE"/>
            <a:t>GROVER</a:t>
          </a:r>
        </a:p>
      </dgm:t>
    </dgm:pt>
    <dgm:pt modelId="{BE8FE304-6BA8-4EA2-B106-AC3D169F531D}">
      <dgm:prSet phldrT="[Texto]"/>
      <dgm:spPr/>
      <dgm:t>
        <a:bodyPr/>
        <a:lstStyle/>
        <a:p>
          <a:r>
            <a:rPr lang="es-PE"/>
            <a:t>G. MARKETING</a:t>
          </a:r>
        </a:p>
      </dgm:t>
    </dgm:pt>
    <dgm:pt modelId="{9E10847E-E9B6-425F-A57D-9200C7695CAD}" type="parTrans" cxnId="{0C8AFAF5-C461-4112-8B43-0A8F43FB9B74}">
      <dgm:prSet/>
      <dgm:spPr/>
      <dgm:t>
        <a:bodyPr/>
        <a:lstStyle/>
        <a:p>
          <a:endParaRPr lang="es-PE"/>
        </a:p>
      </dgm:t>
    </dgm:pt>
    <dgm:pt modelId="{F306C2C0-1373-4AD1-8AFC-FF6B7EE4BD0E}" type="sibTrans" cxnId="{0C8AFAF5-C461-4112-8B43-0A8F43FB9B74}">
      <dgm:prSet/>
      <dgm:spPr/>
      <dgm:t>
        <a:bodyPr/>
        <a:lstStyle/>
        <a:p>
          <a:r>
            <a:rPr lang="es-PE"/>
            <a:t>PAVEL</a:t>
          </a:r>
        </a:p>
      </dgm:t>
    </dgm:pt>
    <dgm:pt modelId="{7D5A3C2E-DA4B-4DBF-B5FF-18C90C35961C}">
      <dgm:prSet phldrT="[Texto]"/>
      <dgm:spPr/>
      <dgm:t>
        <a:bodyPr/>
        <a:lstStyle/>
        <a:p>
          <a:r>
            <a:rPr lang="es-PE"/>
            <a:t>CONTABILIDAD</a:t>
          </a:r>
        </a:p>
      </dgm:t>
    </dgm:pt>
    <dgm:pt modelId="{140F258C-A916-45E5-8B50-CF1AC92C8C9A}" type="parTrans" cxnId="{C3611D90-6A11-498E-AD78-1E06D6F50A4F}">
      <dgm:prSet/>
      <dgm:spPr/>
      <dgm:t>
        <a:bodyPr/>
        <a:lstStyle/>
        <a:p>
          <a:endParaRPr lang="es-PE"/>
        </a:p>
      </dgm:t>
    </dgm:pt>
    <dgm:pt modelId="{1602DE8C-3591-4D47-8D71-ED7CD5098E19}" type="sibTrans" cxnId="{C3611D90-6A11-498E-AD78-1E06D6F50A4F}">
      <dgm:prSet/>
      <dgm:spPr/>
      <dgm:t>
        <a:bodyPr/>
        <a:lstStyle/>
        <a:p>
          <a:r>
            <a:rPr lang="es-PE"/>
            <a:t>GROVER</a:t>
          </a:r>
        </a:p>
      </dgm:t>
    </dgm:pt>
    <dgm:pt modelId="{3B443AE0-63E0-434E-83AF-A1A464C22E9B}">
      <dgm:prSet phldrT="[Texto]"/>
      <dgm:spPr/>
      <dgm:t>
        <a:bodyPr/>
        <a:lstStyle/>
        <a:p>
          <a:r>
            <a:rPr lang="es-PE"/>
            <a:t>ADMINISTRACION</a:t>
          </a:r>
        </a:p>
      </dgm:t>
    </dgm:pt>
    <dgm:pt modelId="{ED8C56C2-9FA6-429C-9689-574367C00E25}" type="parTrans" cxnId="{0C6EA3B3-21C1-438B-848A-7BDC18C38BB4}">
      <dgm:prSet/>
      <dgm:spPr/>
      <dgm:t>
        <a:bodyPr/>
        <a:lstStyle/>
        <a:p>
          <a:endParaRPr lang="es-PE"/>
        </a:p>
      </dgm:t>
    </dgm:pt>
    <dgm:pt modelId="{496473FF-506C-4861-9960-AB46A8538B99}" type="sibTrans" cxnId="{0C6EA3B3-21C1-438B-848A-7BDC18C38BB4}">
      <dgm:prSet/>
      <dgm:spPr/>
      <dgm:t>
        <a:bodyPr/>
        <a:lstStyle/>
        <a:p>
          <a:r>
            <a:rPr lang="es-PE"/>
            <a:t>GROVER</a:t>
          </a:r>
        </a:p>
      </dgm:t>
    </dgm:pt>
    <dgm:pt modelId="{195A687F-CECA-41C9-ADF3-DFBFCAACBDBA}">
      <dgm:prSet phldrT="[Texto]"/>
      <dgm:spPr/>
      <dgm:t>
        <a:bodyPr/>
        <a:lstStyle/>
        <a:p>
          <a:r>
            <a:rPr lang="es-PE"/>
            <a:t>G. VENTAS</a:t>
          </a:r>
        </a:p>
      </dgm:t>
    </dgm:pt>
    <dgm:pt modelId="{D337C3E8-D6EA-4C16-B969-FBA69C5D658C}" type="parTrans" cxnId="{82FAB0CE-7458-4076-9698-EE21F5757755}">
      <dgm:prSet/>
      <dgm:spPr/>
      <dgm:t>
        <a:bodyPr/>
        <a:lstStyle/>
        <a:p>
          <a:endParaRPr lang="es-PE"/>
        </a:p>
      </dgm:t>
    </dgm:pt>
    <dgm:pt modelId="{EF011931-89F6-4B06-BA16-C58BD131881E}" type="sibTrans" cxnId="{82FAB0CE-7458-4076-9698-EE21F5757755}">
      <dgm:prSet/>
      <dgm:spPr/>
      <dgm:t>
        <a:bodyPr/>
        <a:lstStyle/>
        <a:p>
          <a:r>
            <a:rPr lang="es-PE"/>
            <a:t>PAVEL</a:t>
          </a:r>
        </a:p>
      </dgm:t>
    </dgm:pt>
    <dgm:pt modelId="{A46EA25C-B872-427B-8C4B-227B0F73744A}">
      <dgm:prSet phldrT="[Texto]"/>
      <dgm:spPr/>
      <dgm:t>
        <a:bodyPr/>
        <a:lstStyle/>
        <a:p>
          <a:r>
            <a:rPr lang="es-PE"/>
            <a:t>CORTE</a:t>
          </a:r>
        </a:p>
      </dgm:t>
    </dgm:pt>
    <dgm:pt modelId="{081E9C0E-D1D5-4BDE-9C68-14E34FC95431}" type="parTrans" cxnId="{45EA0A75-26A1-4C5C-A9EB-81466EB52F04}">
      <dgm:prSet/>
      <dgm:spPr/>
      <dgm:t>
        <a:bodyPr/>
        <a:lstStyle/>
        <a:p>
          <a:endParaRPr lang="es-PE"/>
        </a:p>
      </dgm:t>
    </dgm:pt>
    <dgm:pt modelId="{B4E18ADC-03AB-40F7-900E-A8001EBB831B}" type="sibTrans" cxnId="{45EA0A75-26A1-4C5C-A9EB-81466EB52F04}">
      <dgm:prSet/>
      <dgm:spPr/>
      <dgm:t>
        <a:bodyPr/>
        <a:lstStyle/>
        <a:p>
          <a:r>
            <a:rPr lang="es-PE"/>
            <a:t>GROVER</a:t>
          </a:r>
        </a:p>
      </dgm:t>
    </dgm:pt>
    <dgm:pt modelId="{76004F3C-30EF-49F1-92B2-CD156510C312}">
      <dgm:prSet phldrT="[Texto]"/>
      <dgm:spPr/>
      <dgm:t>
        <a:bodyPr/>
        <a:lstStyle/>
        <a:p>
          <a:r>
            <a:rPr lang="es-PE"/>
            <a:t>ACABADO</a:t>
          </a:r>
        </a:p>
      </dgm:t>
    </dgm:pt>
    <dgm:pt modelId="{2ACFC480-A17D-4B6A-9DD5-7AD546212423}" type="parTrans" cxnId="{6DB7A8E2-5355-47C5-8329-85AD056F77F9}">
      <dgm:prSet/>
      <dgm:spPr/>
      <dgm:t>
        <a:bodyPr/>
        <a:lstStyle/>
        <a:p>
          <a:endParaRPr lang="es-PE"/>
        </a:p>
      </dgm:t>
    </dgm:pt>
    <dgm:pt modelId="{338EFB5E-628E-4F16-904E-F85E37AA1CA9}" type="sibTrans" cxnId="{6DB7A8E2-5355-47C5-8329-85AD056F77F9}">
      <dgm:prSet/>
      <dgm:spPr/>
      <dgm:t>
        <a:bodyPr/>
        <a:lstStyle/>
        <a:p>
          <a:r>
            <a:rPr lang="es-PE"/>
            <a:t>SERGIO</a:t>
          </a:r>
        </a:p>
      </dgm:t>
    </dgm:pt>
    <dgm:pt modelId="{B541FF03-D335-4B62-B9C8-7B29CC395ED0}">
      <dgm:prSet phldrT="[Texto]"/>
      <dgm:spPr/>
      <dgm:t>
        <a:bodyPr/>
        <a:lstStyle/>
        <a:p>
          <a:r>
            <a:rPr lang="es-PE"/>
            <a:t>EMPAQUETADO</a:t>
          </a:r>
        </a:p>
      </dgm:t>
    </dgm:pt>
    <dgm:pt modelId="{91BE567C-9C30-40BC-8268-8EFD60EBAD9E}" type="parTrans" cxnId="{00717760-EF69-47B9-91FF-84AC68D1C926}">
      <dgm:prSet/>
      <dgm:spPr/>
      <dgm:t>
        <a:bodyPr/>
        <a:lstStyle/>
        <a:p>
          <a:endParaRPr lang="es-PE"/>
        </a:p>
      </dgm:t>
    </dgm:pt>
    <dgm:pt modelId="{66FB0EF8-062D-4502-8686-6C9A8A3A486D}" type="sibTrans" cxnId="{00717760-EF69-47B9-91FF-84AC68D1C926}">
      <dgm:prSet/>
      <dgm:spPr/>
      <dgm:t>
        <a:bodyPr/>
        <a:lstStyle/>
        <a:p>
          <a:r>
            <a:rPr lang="es-PE"/>
            <a:t>SERGIO</a:t>
          </a:r>
        </a:p>
      </dgm:t>
    </dgm:pt>
    <dgm:pt modelId="{50BAC4F0-C862-4F33-85A8-29A36BB4C0A7}">
      <dgm:prSet phldrT="[Texto]"/>
      <dgm:spPr/>
      <dgm:t>
        <a:bodyPr/>
        <a:lstStyle/>
        <a:p>
          <a:r>
            <a:rPr lang="es-PE"/>
            <a:t>DISEÑO</a:t>
          </a:r>
        </a:p>
      </dgm:t>
    </dgm:pt>
    <dgm:pt modelId="{5EE4DC7B-D576-4297-A892-1CA161C926CD}" type="parTrans" cxnId="{AFCE9674-B1AF-47C0-81D3-3EE715E40060}">
      <dgm:prSet/>
      <dgm:spPr/>
      <dgm:t>
        <a:bodyPr/>
        <a:lstStyle/>
        <a:p>
          <a:endParaRPr lang="es-PE"/>
        </a:p>
      </dgm:t>
    </dgm:pt>
    <dgm:pt modelId="{85B552F7-BA75-445E-AE9D-467F4AC7B8ED}" type="sibTrans" cxnId="{AFCE9674-B1AF-47C0-81D3-3EE715E40060}">
      <dgm:prSet/>
      <dgm:spPr/>
      <dgm:t>
        <a:bodyPr/>
        <a:lstStyle/>
        <a:p>
          <a:r>
            <a:rPr lang="es-PE"/>
            <a:t>PAVEL</a:t>
          </a:r>
        </a:p>
      </dgm:t>
    </dgm:pt>
    <dgm:pt modelId="{7D289633-31F6-4BC9-8FC8-21C83A0A8E18}">
      <dgm:prSet phldrT="[Texto]"/>
      <dgm:spPr/>
      <dgm:t>
        <a:bodyPr/>
        <a:lstStyle/>
        <a:p>
          <a:r>
            <a:rPr lang="es-PE"/>
            <a:t>CALIDAD</a:t>
          </a:r>
        </a:p>
      </dgm:t>
    </dgm:pt>
    <dgm:pt modelId="{174CA024-A600-480C-BAC9-47FA76650B1D}" type="parTrans" cxnId="{C467E4C2-14B7-440A-ACE4-5ABE418B54E5}">
      <dgm:prSet/>
      <dgm:spPr/>
      <dgm:t>
        <a:bodyPr/>
        <a:lstStyle/>
        <a:p>
          <a:endParaRPr lang="es-PE"/>
        </a:p>
      </dgm:t>
    </dgm:pt>
    <dgm:pt modelId="{A4D1EDC7-A0DC-4D6E-B9A6-829964A045F8}" type="sibTrans" cxnId="{C467E4C2-14B7-440A-ACE4-5ABE418B54E5}">
      <dgm:prSet/>
      <dgm:spPr/>
      <dgm:t>
        <a:bodyPr/>
        <a:lstStyle/>
        <a:p>
          <a:r>
            <a:rPr lang="es-PE"/>
            <a:t>YESICA</a:t>
          </a:r>
        </a:p>
      </dgm:t>
    </dgm:pt>
    <dgm:pt modelId="{88C42DA6-78AD-4051-9E2B-B01DD39CBA88}">
      <dgm:prSet phldrT="[Texto]"/>
      <dgm:spPr/>
      <dgm:t>
        <a:bodyPr/>
        <a:lstStyle/>
        <a:p>
          <a:r>
            <a:rPr lang="es-PE"/>
            <a:t>LOGISTICA</a:t>
          </a:r>
        </a:p>
      </dgm:t>
    </dgm:pt>
    <dgm:pt modelId="{A68B1410-FF9F-4C68-8CAE-0536DD5A9A0E}" type="parTrans" cxnId="{8FBC4FB9-BA13-4469-968E-3DFFAD6B67A3}">
      <dgm:prSet/>
      <dgm:spPr/>
      <dgm:t>
        <a:bodyPr/>
        <a:lstStyle/>
        <a:p>
          <a:endParaRPr lang="es-PE"/>
        </a:p>
      </dgm:t>
    </dgm:pt>
    <dgm:pt modelId="{0BCAE850-6FA1-44B4-B555-A5646F196594}" type="sibTrans" cxnId="{8FBC4FB9-BA13-4469-968E-3DFFAD6B67A3}">
      <dgm:prSet/>
      <dgm:spPr/>
      <dgm:t>
        <a:bodyPr/>
        <a:lstStyle/>
        <a:p>
          <a:r>
            <a:rPr lang="es-PE"/>
            <a:t>GROVER Y PAVEL</a:t>
          </a:r>
        </a:p>
      </dgm:t>
    </dgm:pt>
    <dgm:pt modelId="{9AE01AAB-A9EE-41AE-BCD1-1BCE9DFDF1F9}">
      <dgm:prSet phldrT="[Texto]"/>
      <dgm:spPr/>
      <dgm:t>
        <a:bodyPr/>
        <a:lstStyle/>
        <a:p>
          <a:r>
            <a:rPr lang="es-PE"/>
            <a:t>PRE Y POST VENTA</a:t>
          </a:r>
        </a:p>
      </dgm:t>
    </dgm:pt>
    <dgm:pt modelId="{B59CB00D-DA95-4E2C-9782-BFBFF392F013}" type="parTrans" cxnId="{569FF10E-684A-478B-997F-28361171757E}">
      <dgm:prSet/>
      <dgm:spPr/>
      <dgm:t>
        <a:bodyPr/>
        <a:lstStyle/>
        <a:p>
          <a:endParaRPr lang="es-PE"/>
        </a:p>
      </dgm:t>
    </dgm:pt>
    <dgm:pt modelId="{429794FF-91BA-4EAF-AA3C-4FCDF7F823AD}" type="sibTrans" cxnId="{569FF10E-684A-478B-997F-28361171757E}">
      <dgm:prSet/>
      <dgm:spPr/>
      <dgm:t>
        <a:bodyPr/>
        <a:lstStyle/>
        <a:p>
          <a:r>
            <a:rPr lang="es-PE"/>
            <a:t>PAVEL</a:t>
          </a:r>
        </a:p>
      </dgm:t>
    </dgm:pt>
    <dgm:pt modelId="{7BDE935F-2A1E-44C1-A8B3-5A0177EC8A3D}" type="pres">
      <dgm:prSet presAssocID="{AC786515-7391-4007-A3DE-07996A5C965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C99E5C5B-0164-4707-A23D-C3BE79ED52B2}" type="pres">
      <dgm:prSet presAssocID="{FAD1A9A9-BFAF-4E76-BB25-EAA9D300667E}" presName="hierRoot1" presStyleCnt="0">
        <dgm:presLayoutVars>
          <dgm:hierBranch val="init"/>
        </dgm:presLayoutVars>
      </dgm:prSet>
      <dgm:spPr/>
    </dgm:pt>
    <dgm:pt modelId="{FB684391-6E0A-46A9-83A5-6C63F2FD8C03}" type="pres">
      <dgm:prSet presAssocID="{FAD1A9A9-BFAF-4E76-BB25-EAA9D300667E}" presName="rootComposite1" presStyleCnt="0"/>
      <dgm:spPr/>
    </dgm:pt>
    <dgm:pt modelId="{7A725B1A-9698-4682-93D7-23194A9F8A94}" type="pres">
      <dgm:prSet presAssocID="{FAD1A9A9-BFAF-4E76-BB25-EAA9D300667E}" presName="rootText1" presStyleLbl="node0" presStyleIdx="0" presStyleCnt="1">
        <dgm:presLayoutVars>
          <dgm:chMax/>
          <dgm:chPref val="3"/>
        </dgm:presLayoutVars>
      </dgm:prSet>
      <dgm:spPr/>
    </dgm:pt>
    <dgm:pt modelId="{EE76D376-B4A0-4A1C-BD78-436E6A5DCDA6}" type="pres">
      <dgm:prSet presAssocID="{FAD1A9A9-BFAF-4E76-BB25-EAA9D300667E}" presName="titleText1" presStyleLbl="fgAcc0" presStyleIdx="0" presStyleCnt="1">
        <dgm:presLayoutVars>
          <dgm:chMax val="0"/>
          <dgm:chPref val="0"/>
        </dgm:presLayoutVars>
      </dgm:prSet>
      <dgm:spPr/>
    </dgm:pt>
    <dgm:pt modelId="{DE119D6D-1ECD-479A-AA59-A89A1DAE7A75}" type="pres">
      <dgm:prSet presAssocID="{FAD1A9A9-BFAF-4E76-BB25-EAA9D300667E}" presName="rootConnector1" presStyleLbl="node1" presStyleIdx="0" presStyleCnt="12"/>
      <dgm:spPr/>
    </dgm:pt>
    <dgm:pt modelId="{276A8BE8-4724-4109-9DBA-7E7BC467363F}" type="pres">
      <dgm:prSet presAssocID="{FAD1A9A9-BFAF-4E76-BB25-EAA9D300667E}" presName="hierChild2" presStyleCnt="0"/>
      <dgm:spPr/>
    </dgm:pt>
    <dgm:pt modelId="{490D380A-7327-4633-AF94-1037286F83B5}" type="pres">
      <dgm:prSet presAssocID="{099C38B1-9A9C-47BA-97C3-93C170487F65}" presName="Name37" presStyleLbl="parChTrans1D2" presStyleIdx="0" presStyleCnt="5"/>
      <dgm:spPr/>
    </dgm:pt>
    <dgm:pt modelId="{8DE8E107-1B78-4373-AA95-B9C84BF1816B}" type="pres">
      <dgm:prSet presAssocID="{90AEBC8E-3479-4C23-963C-93224D4060E9}" presName="hierRoot2" presStyleCnt="0">
        <dgm:presLayoutVars>
          <dgm:hierBranch val="init"/>
        </dgm:presLayoutVars>
      </dgm:prSet>
      <dgm:spPr/>
    </dgm:pt>
    <dgm:pt modelId="{19D22B63-59C0-45AA-9B06-E9D26D92963D}" type="pres">
      <dgm:prSet presAssocID="{90AEBC8E-3479-4C23-963C-93224D4060E9}" presName="rootComposite" presStyleCnt="0"/>
      <dgm:spPr/>
    </dgm:pt>
    <dgm:pt modelId="{82D10737-9B86-49AC-AA17-C20782770FC2}" type="pres">
      <dgm:prSet presAssocID="{90AEBC8E-3479-4C23-963C-93224D4060E9}" presName="rootText" presStyleLbl="node1" presStyleIdx="0" presStyleCnt="12">
        <dgm:presLayoutVars>
          <dgm:chMax/>
          <dgm:chPref val="3"/>
        </dgm:presLayoutVars>
      </dgm:prSet>
      <dgm:spPr/>
    </dgm:pt>
    <dgm:pt modelId="{665E9847-9962-4B57-B0BF-BF3848AC32B8}" type="pres">
      <dgm:prSet presAssocID="{90AEBC8E-3479-4C23-963C-93224D4060E9}" presName="titleText2" presStyleLbl="fgAcc1" presStyleIdx="0" presStyleCnt="12">
        <dgm:presLayoutVars>
          <dgm:chMax val="0"/>
          <dgm:chPref val="0"/>
        </dgm:presLayoutVars>
      </dgm:prSet>
      <dgm:spPr/>
    </dgm:pt>
    <dgm:pt modelId="{558E0346-F255-487C-8ACB-CE1E1C924D91}" type="pres">
      <dgm:prSet presAssocID="{90AEBC8E-3479-4C23-963C-93224D4060E9}" presName="rootConnector" presStyleLbl="node2" presStyleIdx="0" presStyleCnt="0"/>
      <dgm:spPr/>
    </dgm:pt>
    <dgm:pt modelId="{3370E87B-DDC0-411A-9B1B-508828E32C33}" type="pres">
      <dgm:prSet presAssocID="{90AEBC8E-3479-4C23-963C-93224D4060E9}" presName="hierChild4" presStyleCnt="0"/>
      <dgm:spPr/>
    </dgm:pt>
    <dgm:pt modelId="{39E54EA3-C064-417F-AF1E-5F406829F937}" type="pres">
      <dgm:prSet presAssocID="{081E9C0E-D1D5-4BDE-9C68-14E34FC95431}" presName="Name37" presStyleLbl="parChTrans1D3" presStyleIdx="0" presStyleCnt="7"/>
      <dgm:spPr/>
    </dgm:pt>
    <dgm:pt modelId="{D80A6332-135B-4F51-AF97-B312893884E5}" type="pres">
      <dgm:prSet presAssocID="{A46EA25C-B872-427B-8C4B-227B0F73744A}" presName="hierRoot2" presStyleCnt="0">
        <dgm:presLayoutVars>
          <dgm:hierBranch val="init"/>
        </dgm:presLayoutVars>
      </dgm:prSet>
      <dgm:spPr/>
    </dgm:pt>
    <dgm:pt modelId="{35C03463-21BD-4A56-85AD-F4B8AB98283D}" type="pres">
      <dgm:prSet presAssocID="{A46EA25C-B872-427B-8C4B-227B0F73744A}" presName="rootComposite" presStyleCnt="0"/>
      <dgm:spPr/>
    </dgm:pt>
    <dgm:pt modelId="{39FDAAB6-DFB9-49F1-B02E-A1A0C3493D66}" type="pres">
      <dgm:prSet presAssocID="{A46EA25C-B872-427B-8C4B-227B0F73744A}" presName="rootText" presStyleLbl="node1" presStyleIdx="1" presStyleCnt="12">
        <dgm:presLayoutVars>
          <dgm:chMax/>
          <dgm:chPref val="3"/>
        </dgm:presLayoutVars>
      </dgm:prSet>
      <dgm:spPr/>
    </dgm:pt>
    <dgm:pt modelId="{226F3003-DA6A-4D5B-B85B-2F80C2DEA040}" type="pres">
      <dgm:prSet presAssocID="{A46EA25C-B872-427B-8C4B-227B0F73744A}" presName="titleText2" presStyleLbl="fgAcc1" presStyleIdx="1" presStyleCnt="12">
        <dgm:presLayoutVars>
          <dgm:chMax val="0"/>
          <dgm:chPref val="0"/>
        </dgm:presLayoutVars>
      </dgm:prSet>
      <dgm:spPr/>
    </dgm:pt>
    <dgm:pt modelId="{F68EC883-18E1-43AF-8E67-05203F83378B}" type="pres">
      <dgm:prSet presAssocID="{A46EA25C-B872-427B-8C4B-227B0F73744A}" presName="rootConnector" presStyleLbl="node3" presStyleIdx="0" presStyleCnt="0"/>
      <dgm:spPr/>
    </dgm:pt>
    <dgm:pt modelId="{6EFFE1B7-C89E-4725-9CED-DF0CB3EB7B0F}" type="pres">
      <dgm:prSet presAssocID="{A46EA25C-B872-427B-8C4B-227B0F73744A}" presName="hierChild4" presStyleCnt="0"/>
      <dgm:spPr/>
    </dgm:pt>
    <dgm:pt modelId="{C5EEB736-3FDF-4374-B4D7-82D914A50BD5}" type="pres">
      <dgm:prSet presAssocID="{A46EA25C-B872-427B-8C4B-227B0F73744A}" presName="hierChild5" presStyleCnt="0"/>
      <dgm:spPr/>
    </dgm:pt>
    <dgm:pt modelId="{0C7AC82F-552B-46C3-A2C3-EA57CBC79798}" type="pres">
      <dgm:prSet presAssocID="{2ACFC480-A17D-4B6A-9DD5-7AD546212423}" presName="Name37" presStyleLbl="parChTrans1D3" presStyleIdx="1" presStyleCnt="7"/>
      <dgm:spPr/>
    </dgm:pt>
    <dgm:pt modelId="{501F9553-6347-4CE3-9C1D-6AF75F7B2D59}" type="pres">
      <dgm:prSet presAssocID="{76004F3C-30EF-49F1-92B2-CD156510C312}" presName="hierRoot2" presStyleCnt="0">
        <dgm:presLayoutVars>
          <dgm:hierBranch val="init"/>
        </dgm:presLayoutVars>
      </dgm:prSet>
      <dgm:spPr/>
    </dgm:pt>
    <dgm:pt modelId="{2F7237BD-1306-48A2-B6ED-21B4543DEB27}" type="pres">
      <dgm:prSet presAssocID="{76004F3C-30EF-49F1-92B2-CD156510C312}" presName="rootComposite" presStyleCnt="0"/>
      <dgm:spPr/>
    </dgm:pt>
    <dgm:pt modelId="{60C60B31-49CB-4C30-BBC8-2ACB90D2CC2B}" type="pres">
      <dgm:prSet presAssocID="{76004F3C-30EF-49F1-92B2-CD156510C312}" presName="rootText" presStyleLbl="node1" presStyleIdx="2" presStyleCnt="12">
        <dgm:presLayoutVars>
          <dgm:chMax/>
          <dgm:chPref val="3"/>
        </dgm:presLayoutVars>
      </dgm:prSet>
      <dgm:spPr/>
    </dgm:pt>
    <dgm:pt modelId="{F431DB23-37C2-4AA8-B155-10F86710ED77}" type="pres">
      <dgm:prSet presAssocID="{76004F3C-30EF-49F1-92B2-CD156510C312}" presName="titleText2" presStyleLbl="fgAcc1" presStyleIdx="2" presStyleCnt="12">
        <dgm:presLayoutVars>
          <dgm:chMax val="0"/>
          <dgm:chPref val="0"/>
        </dgm:presLayoutVars>
      </dgm:prSet>
      <dgm:spPr/>
    </dgm:pt>
    <dgm:pt modelId="{52FDEE4C-C848-4869-8AD7-71BBBC40BA2B}" type="pres">
      <dgm:prSet presAssocID="{76004F3C-30EF-49F1-92B2-CD156510C312}" presName="rootConnector" presStyleLbl="node3" presStyleIdx="0" presStyleCnt="0"/>
      <dgm:spPr/>
    </dgm:pt>
    <dgm:pt modelId="{B8941BCD-18AE-498D-AD5D-64F9EDE8C79F}" type="pres">
      <dgm:prSet presAssocID="{76004F3C-30EF-49F1-92B2-CD156510C312}" presName="hierChild4" presStyleCnt="0"/>
      <dgm:spPr/>
    </dgm:pt>
    <dgm:pt modelId="{00431807-FC9B-41FC-ADA6-6B72D74A2B6C}" type="pres">
      <dgm:prSet presAssocID="{76004F3C-30EF-49F1-92B2-CD156510C312}" presName="hierChild5" presStyleCnt="0"/>
      <dgm:spPr/>
    </dgm:pt>
    <dgm:pt modelId="{2151BF18-B4E3-4DA8-A79C-8D5989F4228C}" type="pres">
      <dgm:prSet presAssocID="{91BE567C-9C30-40BC-8268-8EFD60EBAD9E}" presName="Name37" presStyleLbl="parChTrans1D3" presStyleIdx="2" presStyleCnt="7"/>
      <dgm:spPr/>
    </dgm:pt>
    <dgm:pt modelId="{E142CF3E-A150-4752-B606-F961A8DD2BD9}" type="pres">
      <dgm:prSet presAssocID="{B541FF03-D335-4B62-B9C8-7B29CC395ED0}" presName="hierRoot2" presStyleCnt="0">
        <dgm:presLayoutVars>
          <dgm:hierBranch val="init"/>
        </dgm:presLayoutVars>
      </dgm:prSet>
      <dgm:spPr/>
    </dgm:pt>
    <dgm:pt modelId="{B87C2A7F-9B1D-4A2F-8FD8-C0F9277BFB51}" type="pres">
      <dgm:prSet presAssocID="{B541FF03-D335-4B62-B9C8-7B29CC395ED0}" presName="rootComposite" presStyleCnt="0"/>
      <dgm:spPr/>
    </dgm:pt>
    <dgm:pt modelId="{36EA2E0C-BA9A-47E2-A6A9-4EE082336B2D}" type="pres">
      <dgm:prSet presAssocID="{B541FF03-D335-4B62-B9C8-7B29CC395ED0}" presName="rootText" presStyleLbl="node1" presStyleIdx="3" presStyleCnt="12">
        <dgm:presLayoutVars>
          <dgm:chMax/>
          <dgm:chPref val="3"/>
        </dgm:presLayoutVars>
      </dgm:prSet>
      <dgm:spPr/>
    </dgm:pt>
    <dgm:pt modelId="{4763BCEB-442B-4784-9BBF-FA5329A5E2B0}" type="pres">
      <dgm:prSet presAssocID="{B541FF03-D335-4B62-B9C8-7B29CC395ED0}" presName="titleText2" presStyleLbl="fgAcc1" presStyleIdx="3" presStyleCnt="12">
        <dgm:presLayoutVars>
          <dgm:chMax val="0"/>
          <dgm:chPref val="0"/>
        </dgm:presLayoutVars>
      </dgm:prSet>
      <dgm:spPr/>
    </dgm:pt>
    <dgm:pt modelId="{AACA45B6-490F-4A5E-8C6E-F9392F4E6642}" type="pres">
      <dgm:prSet presAssocID="{B541FF03-D335-4B62-B9C8-7B29CC395ED0}" presName="rootConnector" presStyleLbl="node3" presStyleIdx="0" presStyleCnt="0"/>
      <dgm:spPr/>
    </dgm:pt>
    <dgm:pt modelId="{23774318-BDC3-4A0E-9914-E87729586A10}" type="pres">
      <dgm:prSet presAssocID="{B541FF03-D335-4B62-B9C8-7B29CC395ED0}" presName="hierChild4" presStyleCnt="0"/>
      <dgm:spPr/>
    </dgm:pt>
    <dgm:pt modelId="{4FA3A302-E546-40DF-BDB4-303F7CEE290C}" type="pres">
      <dgm:prSet presAssocID="{B541FF03-D335-4B62-B9C8-7B29CC395ED0}" presName="hierChild5" presStyleCnt="0"/>
      <dgm:spPr/>
    </dgm:pt>
    <dgm:pt modelId="{8DAF9B49-CB6F-4E9C-9E43-280C093F38EC}" type="pres">
      <dgm:prSet presAssocID="{5EE4DC7B-D576-4297-A892-1CA161C926CD}" presName="Name37" presStyleLbl="parChTrans1D3" presStyleIdx="3" presStyleCnt="7"/>
      <dgm:spPr/>
    </dgm:pt>
    <dgm:pt modelId="{31B12F6D-D21D-4F45-8606-69950F2A8B88}" type="pres">
      <dgm:prSet presAssocID="{50BAC4F0-C862-4F33-85A8-29A36BB4C0A7}" presName="hierRoot2" presStyleCnt="0">
        <dgm:presLayoutVars>
          <dgm:hierBranch val="init"/>
        </dgm:presLayoutVars>
      </dgm:prSet>
      <dgm:spPr/>
    </dgm:pt>
    <dgm:pt modelId="{9BF432A3-4D25-4C1C-A91A-23172AC11E1E}" type="pres">
      <dgm:prSet presAssocID="{50BAC4F0-C862-4F33-85A8-29A36BB4C0A7}" presName="rootComposite" presStyleCnt="0"/>
      <dgm:spPr/>
    </dgm:pt>
    <dgm:pt modelId="{EC3785DC-5BA1-456A-9AB3-DE4382282314}" type="pres">
      <dgm:prSet presAssocID="{50BAC4F0-C862-4F33-85A8-29A36BB4C0A7}" presName="rootText" presStyleLbl="node1" presStyleIdx="4" presStyleCnt="12">
        <dgm:presLayoutVars>
          <dgm:chMax/>
          <dgm:chPref val="3"/>
        </dgm:presLayoutVars>
      </dgm:prSet>
      <dgm:spPr/>
    </dgm:pt>
    <dgm:pt modelId="{7DC36E8F-EE6F-4BFF-85EB-0D73B0A8130F}" type="pres">
      <dgm:prSet presAssocID="{50BAC4F0-C862-4F33-85A8-29A36BB4C0A7}" presName="titleText2" presStyleLbl="fgAcc1" presStyleIdx="4" presStyleCnt="12">
        <dgm:presLayoutVars>
          <dgm:chMax val="0"/>
          <dgm:chPref val="0"/>
        </dgm:presLayoutVars>
      </dgm:prSet>
      <dgm:spPr/>
    </dgm:pt>
    <dgm:pt modelId="{BC07B16F-7AE9-4BE5-A9F7-1BF146B46FF9}" type="pres">
      <dgm:prSet presAssocID="{50BAC4F0-C862-4F33-85A8-29A36BB4C0A7}" presName="rootConnector" presStyleLbl="node3" presStyleIdx="0" presStyleCnt="0"/>
      <dgm:spPr/>
    </dgm:pt>
    <dgm:pt modelId="{EFBDC909-8B8C-481E-8EAD-AC24DB31ED57}" type="pres">
      <dgm:prSet presAssocID="{50BAC4F0-C862-4F33-85A8-29A36BB4C0A7}" presName="hierChild4" presStyleCnt="0"/>
      <dgm:spPr/>
    </dgm:pt>
    <dgm:pt modelId="{3216FE61-263B-4E2E-A937-EBC08CC09808}" type="pres">
      <dgm:prSet presAssocID="{50BAC4F0-C862-4F33-85A8-29A36BB4C0A7}" presName="hierChild5" presStyleCnt="0"/>
      <dgm:spPr/>
    </dgm:pt>
    <dgm:pt modelId="{056F0063-AD98-4E20-ABFA-6ADDAC99CB9C}" type="pres">
      <dgm:prSet presAssocID="{174CA024-A600-480C-BAC9-47FA76650B1D}" presName="Name37" presStyleLbl="parChTrans1D3" presStyleIdx="4" presStyleCnt="7"/>
      <dgm:spPr/>
    </dgm:pt>
    <dgm:pt modelId="{A2A48E73-2628-45B1-A7E4-278F2E14C335}" type="pres">
      <dgm:prSet presAssocID="{7D289633-31F6-4BC9-8FC8-21C83A0A8E18}" presName="hierRoot2" presStyleCnt="0">
        <dgm:presLayoutVars>
          <dgm:hierBranch val="init"/>
        </dgm:presLayoutVars>
      </dgm:prSet>
      <dgm:spPr/>
    </dgm:pt>
    <dgm:pt modelId="{231E831B-0D8A-432A-BBC2-A8E2C5478FA3}" type="pres">
      <dgm:prSet presAssocID="{7D289633-31F6-4BC9-8FC8-21C83A0A8E18}" presName="rootComposite" presStyleCnt="0"/>
      <dgm:spPr/>
    </dgm:pt>
    <dgm:pt modelId="{F606D179-22EE-4B61-A311-6A135F257D1F}" type="pres">
      <dgm:prSet presAssocID="{7D289633-31F6-4BC9-8FC8-21C83A0A8E18}" presName="rootText" presStyleLbl="node1" presStyleIdx="5" presStyleCnt="12">
        <dgm:presLayoutVars>
          <dgm:chMax/>
          <dgm:chPref val="3"/>
        </dgm:presLayoutVars>
      </dgm:prSet>
      <dgm:spPr/>
    </dgm:pt>
    <dgm:pt modelId="{3783B038-514B-46AD-8A19-194D9F0B7A09}" type="pres">
      <dgm:prSet presAssocID="{7D289633-31F6-4BC9-8FC8-21C83A0A8E18}" presName="titleText2" presStyleLbl="fgAcc1" presStyleIdx="5" presStyleCnt="12">
        <dgm:presLayoutVars>
          <dgm:chMax val="0"/>
          <dgm:chPref val="0"/>
        </dgm:presLayoutVars>
      </dgm:prSet>
      <dgm:spPr/>
    </dgm:pt>
    <dgm:pt modelId="{48229935-0956-4FAE-BC9B-40887374BABB}" type="pres">
      <dgm:prSet presAssocID="{7D289633-31F6-4BC9-8FC8-21C83A0A8E18}" presName="rootConnector" presStyleLbl="node3" presStyleIdx="0" presStyleCnt="0"/>
      <dgm:spPr/>
    </dgm:pt>
    <dgm:pt modelId="{76BBC555-5952-4154-B999-52C5FB049CAC}" type="pres">
      <dgm:prSet presAssocID="{7D289633-31F6-4BC9-8FC8-21C83A0A8E18}" presName="hierChild4" presStyleCnt="0"/>
      <dgm:spPr/>
    </dgm:pt>
    <dgm:pt modelId="{DCA346A8-C40D-449B-AC7C-90EE0DA576FC}" type="pres">
      <dgm:prSet presAssocID="{7D289633-31F6-4BC9-8FC8-21C83A0A8E18}" presName="hierChild5" presStyleCnt="0"/>
      <dgm:spPr/>
    </dgm:pt>
    <dgm:pt modelId="{6D10CDDE-D19C-47C3-8B46-EAABD1C9AD49}" type="pres">
      <dgm:prSet presAssocID="{A68B1410-FF9F-4C68-8CAE-0536DD5A9A0E}" presName="Name37" presStyleLbl="parChTrans1D3" presStyleIdx="5" presStyleCnt="7"/>
      <dgm:spPr/>
    </dgm:pt>
    <dgm:pt modelId="{A3C9C251-819A-4C71-B9EE-50B4A2CC2801}" type="pres">
      <dgm:prSet presAssocID="{88C42DA6-78AD-4051-9E2B-B01DD39CBA88}" presName="hierRoot2" presStyleCnt="0">
        <dgm:presLayoutVars>
          <dgm:hierBranch val="init"/>
        </dgm:presLayoutVars>
      </dgm:prSet>
      <dgm:spPr/>
    </dgm:pt>
    <dgm:pt modelId="{CA2F6EF1-A181-48AD-AEE0-EF2BB8A2D052}" type="pres">
      <dgm:prSet presAssocID="{88C42DA6-78AD-4051-9E2B-B01DD39CBA88}" presName="rootComposite" presStyleCnt="0"/>
      <dgm:spPr/>
    </dgm:pt>
    <dgm:pt modelId="{1DF17BD7-6941-48AA-B1A2-4B92BDD67A5F}" type="pres">
      <dgm:prSet presAssocID="{88C42DA6-78AD-4051-9E2B-B01DD39CBA88}" presName="rootText" presStyleLbl="node1" presStyleIdx="6" presStyleCnt="12">
        <dgm:presLayoutVars>
          <dgm:chMax/>
          <dgm:chPref val="3"/>
        </dgm:presLayoutVars>
      </dgm:prSet>
      <dgm:spPr/>
    </dgm:pt>
    <dgm:pt modelId="{435CA18F-0823-4281-BA07-43BD7FEF5613}" type="pres">
      <dgm:prSet presAssocID="{88C42DA6-78AD-4051-9E2B-B01DD39CBA88}" presName="titleText2" presStyleLbl="fgAcc1" presStyleIdx="6" presStyleCnt="12">
        <dgm:presLayoutVars>
          <dgm:chMax val="0"/>
          <dgm:chPref val="0"/>
        </dgm:presLayoutVars>
      </dgm:prSet>
      <dgm:spPr/>
    </dgm:pt>
    <dgm:pt modelId="{522B1224-D11E-4120-8511-540F355AB1D1}" type="pres">
      <dgm:prSet presAssocID="{88C42DA6-78AD-4051-9E2B-B01DD39CBA88}" presName="rootConnector" presStyleLbl="node3" presStyleIdx="0" presStyleCnt="0"/>
      <dgm:spPr/>
    </dgm:pt>
    <dgm:pt modelId="{67DFD9A4-3BFB-43D3-8998-CBC0EA1FD609}" type="pres">
      <dgm:prSet presAssocID="{88C42DA6-78AD-4051-9E2B-B01DD39CBA88}" presName="hierChild4" presStyleCnt="0"/>
      <dgm:spPr/>
    </dgm:pt>
    <dgm:pt modelId="{4763AFAA-6370-4F28-87C1-43FB204D172F}" type="pres">
      <dgm:prSet presAssocID="{88C42DA6-78AD-4051-9E2B-B01DD39CBA88}" presName="hierChild5" presStyleCnt="0"/>
      <dgm:spPr/>
    </dgm:pt>
    <dgm:pt modelId="{A9E53669-BC14-4014-BD5C-FF220682C216}" type="pres">
      <dgm:prSet presAssocID="{90AEBC8E-3479-4C23-963C-93224D4060E9}" presName="hierChild5" presStyleCnt="0"/>
      <dgm:spPr/>
    </dgm:pt>
    <dgm:pt modelId="{8BE3A960-1C61-42F0-B4A7-A764B64664F8}" type="pres">
      <dgm:prSet presAssocID="{9E10847E-E9B6-425F-A57D-9200C7695CAD}" presName="Name37" presStyleLbl="parChTrans1D2" presStyleIdx="1" presStyleCnt="5"/>
      <dgm:spPr/>
    </dgm:pt>
    <dgm:pt modelId="{C81243BF-D86F-4494-AB15-911789EC91BA}" type="pres">
      <dgm:prSet presAssocID="{BE8FE304-6BA8-4EA2-B106-AC3D169F531D}" presName="hierRoot2" presStyleCnt="0">
        <dgm:presLayoutVars>
          <dgm:hierBranch val="init"/>
        </dgm:presLayoutVars>
      </dgm:prSet>
      <dgm:spPr/>
    </dgm:pt>
    <dgm:pt modelId="{B97D8137-3A91-4EDE-991C-256B4431D46F}" type="pres">
      <dgm:prSet presAssocID="{BE8FE304-6BA8-4EA2-B106-AC3D169F531D}" presName="rootComposite" presStyleCnt="0"/>
      <dgm:spPr/>
    </dgm:pt>
    <dgm:pt modelId="{43573365-DDCF-4B06-8187-DCB80BC9067F}" type="pres">
      <dgm:prSet presAssocID="{BE8FE304-6BA8-4EA2-B106-AC3D169F531D}" presName="rootText" presStyleLbl="node1" presStyleIdx="7" presStyleCnt="12">
        <dgm:presLayoutVars>
          <dgm:chMax/>
          <dgm:chPref val="3"/>
        </dgm:presLayoutVars>
      </dgm:prSet>
      <dgm:spPr/>
    </dgm:pt>
    <dgm:pt modelId="{538E358D-1B10-49B2-9BEC-1742DC1201AA}" type="pres">
      <dgm:prSet presAssocID="{BE8FE304-6BA8-4EA2-B106-AC3D169F531D}" presName="titleText2" presStyleLbl="fgAcc1" presStyleIdx="7" presStyleCnt="12">
        <dgm:presLayoutVars>
          <dgm:chMax val="0"/>
          <dgm:chPref val="0"/>
        </dgm:presLayoutVars>
      </dgm:prSet>
      <dgm:spPr/>
    </dgm:pt>
    <dgm:pt modelId="{781F5D93-A6C2-4E13-B0EB-4963F9B4FFCB}" type="pres">
      <dgm:prSet presAssocID="{BE8FE304-6BA8-4EA2-B106-AC3D169F531D}" presName="rootConnector" presStyleLbl="node2" presStyleIdx="0" presStyleCnt="0"/>
      <dgm:spPr/>
    </dgm:pt>
    <dgm:pt modelId="{EF5F9A0B-E4FA-491F-9EB4-6817D62D22E2}" type="pres">
      <dgm:prSet presAssocID="{BE8FE304-6BA8-4EA2-B106-AC3D169F531D}" presName="hierChild4" presStyleCnt="0"/>
      <dgm:spPr/>
    </dgm:pt>
    <dgm:pt modelId="{051A7746-07D9-4E4D-8B70-05984ED0627D}" type="pres">
      <dgm:prSet presAssocID="{BE8FE304-6BA8-4EA2-B106-AC3D169F531D}" presName="hierChild5" presStyleCnt="0"/>
      <dgm:spPr/>
    </dgm:pt>
    <dgm:pt modelId="{7A646971-43E4-431B-9BD9-0B2889277B45}" type="pres">
      <dgm:prSet presAssocID="{140F258C-A916-45E5-8B50-CF1AC92C8C9A}" presName="Name37" presStyleLbl="parChTrans1D2" presStyleIdx="2" presStyleCnt="5"/>
      <dgm:spPr/>
    </dgm:pt>
    <dgm:pt modelId="{3F633ABD-E4DB-4D34-AC4B-97F6E5B51D1E}" type="pres">
      <dgm:prSet presAssocID="{7D5A3C2E-DA4B-4DBF-B5FF-18C90C35961C}" presName="hierRoot2" presStyleCnt="0">
        <dgm:presLayoutVars>
          <dgm:hierBranch val="init"/>
        </dgm:presLayoutVars>
      </dgm:prSet>
      <dgm:spPr/>
    </dgm:pt>
    <dgm:pt modelId="{D23C44C2-BB1D-44F7-9548-D3AF8B0ECE81}" type="pres">
      <dgm:prSet presAssocID="{7D5A3C2E-DA4B-4DBF-B5FF-18C90C35961C}" presName="rootComposite" presStyleCnt="0"/>
      <dgm:spPr/>
    </dgm:pt>
    <dgm:pt modelId="{E675ABB5-DE0C-4012-BED1-2B0B7E643E7E}" type="pres">
      <dgm:prSet presAssocID="{7D5A3C2E-DA4B-4DBF-B5FF-18C90C35961C}" presName="rootText" presStyleLbl="node1" presStyleIdx="8" presStyleCnt="12">
        <dgm:presLayoutVars>
          <dgm:chMax/>
          <dgm:chPref val="3"/>
        </dgm:presLayoutVars>
      </dgm:prSet>
      <dgm:spPr/>
    </dgm:pt>
    <dgm:pt modelId="{106B4024-1198-49B7-A8CA-2AC354CC679C}" type="pres">
      <dgm:prSet presAssocID="{7D5A3C2E-DA4B-4DBF-B5FF-18C90C35961C}" presName="titleText2" presStyleLbl="fgAcc1" presStyleIdx="8" presStyleCnt="12">
        <dgm:presLayoutVars>
          <dgm:chMax val="0"/>
          <dgm:chPref val="0"/>
        </dgm:presLayoutVars>
      </dgm:prSet>
      <dgm:spPr/>
    </dgm:pt>
    <dgm:pt modelId="{09F9661F-B9F7-44EF-9208-A743409BD7A7}" type="pres">
      <dgm:prSet presAssocID="{7D5A3C2E-DA4B-4DBF-B5FF-18C90C35961C}" presName="rootConnector" presStyleLbl="node2" presStyleIdx="0" presStyleCnt="0"/>
      <dgm:spPr/>
    </dgm:pt>
    <dgm:pt modelId="{6D86153A-DD26-49CD-A9A8-932894F87558}" type="pres">
      <dgm:prSet presAssocID="{7D5A3C2E-DA4B-4DBF-B5FF-18C90C35961C}" presName="hierChild4" presStyleCnt="0"/>
      <dgm:spPr/>
    </dgm:pt>
    <dgm:pt modelId="{D442DDAE-091F-4C39-9E36-25DB76122CDD}" type="pres">
      <dgm:prSet presAssocID="{7D5A3C2E-DA4B-4DBF-B5FF-18C90C35961C}" presName="hierChild5" presStyleCnt="0"/>
      <dgm:spPr/>
    </dgm:pt>
    <dgm:pt modelId="{42DBA15C-8F5D-4CCF-9D7F-EB424EF585F3}" type="pres">
      <dgm:prSet presAssocID="{ED8C56C2-9FA6-429C-9689-574367C00E25}" presName="Name37" presStyleLbl="parChTrans1D2" presStyleIdx="3" presStyleCnt="5"/>
      <dgm:spPr/>
    </dgm:pt>
    <dgm:pt modelId="{58180611-3157-4209-9AC8-B0ACB65A1C91}" type="pres">
      <dgm:prSet presAssocID="{3B443AE0-63E0-434E-83AF-A1A464C22E9B}" presName="hierRoot2" presStyleCnt="0">
        <dgm:presLayoutVars>
          <dgm:hierBranch val="init"/>
        </dgm:presLayoutVars>
      </dgm:prSet>
      <dgm:spPr/>
    </dgm:pt>
    <dgm:pt modelId="{59BB64E3-6724-4803-887F-73D936A3E289}" type="pres">
      <dgm:prSet presAssocID="{3B443AE0-63E0-434E-83AF-A1A464C22E9B}" presName="rootComposite" presStyleCnt="0"/>
      <dgm:spPr/>
    </dgm:pt>
    <dgm:pt modelId="{192A8738-A612-4DBD-8B50-59CEC02F5157}" type="pres">
      <dgm:prSet presAssocID="{3B443AE0-63E0-434E-83AF-A1A464C22E9B}" presName="rootText" presStyleLbl="node1" presStyleIdx="9" presStyleCnt="12">
        <dgm:presLayoutVars>
          <dgm:chMax/>
          <dgm:chPref val="3"/>
        </dgm:presLayoutVars>
      </dgm:prSet>
      <dgm:spPr/>
    </dgm:pt>
    <dgm:pt modelId="{F5E1FD8A-7BCA-470F-AF79-44238FECF05B}" type="pres">
      <dgm:prSet presAssocID="{3B443AE0-63E0-434E-83AF-A1A464C22E9B}" presName="titleText2" presStyleLbl="fgAcc1" presStyleIdx="9" presStyleCnt="12">
        <dgm:presLayoutVars>
          <dgm:chMax val="0"/>
          <dgm:chPref val="0"/>
        </dgm:presLayoutVars>
      </dgm:prSet>
      <dgm:spPr/>
    </dgm:pt>
    <dgm:pt modelId="{B09829C2-5A11-41C0-A81E-9C50B9FC627C}" type="pres">
      <dgm:prSet presAssocID="{3B443AE0-63E0-434E-83AF-A1A464C22E9B}" presName="rootConnector" presStyleLbl="node2" presStyleIdx="0" presStyleCnt="0"/>
      <dgm:spPr/>
    </dgm:pt>
    <dgm:pt modelId="{B94380E3-4C30-44A8-8024-58AEDF1BD472}" type="pres">
      <dgm:prSet presAssocID="{3B443AE0-63E0-434E-83AF-A1A464C22E9B}" presName="hierChild4" presStyleCnt="0"/>
      <dgm:spPr/>
    </dgm:pt>
    <dgm:pt modelId="{00CBC799-B7B5-4FE7-8AAD-B93B72310226}" type="pres">
      <dgm:prSet presAssocID="{3B443AE0-63E0-434E-83AF-A1A464C22E9B}" presName="hierChild5" presStyleCnt="0"/>
      <dgm:spPr/>
    </dgm:pt>
    <dgm:pt modelId="{1B894428-5ECD-4267-98CB-974A56018610}" type="pres">
      <dgm:prSet presAssocID="{D337C3E8-D6EA-4C16-B969-FBA69C5D658C}" presName="Name37" presStyleLbl="parChTrans1D2" presStyleIdx="4" presStyleCnt="5"/>
      <dgm:spPr/>
    </dgm:pt>
    <dgm:pt modelId="{70471F46-0BC5-485A-9CBF-C75FFDA04BE1}" type="pres">
      <dgm:prSet presAssocID="{195A687F-CECA-41C9-ADF3-DFBFCAACBDBA}" presName="hierRoot2" presStyleCnt="0">
        <dgm:presLayoutVars>
          <dgm:hierBranch val="init"/>
        </dgm:presLayoutVars>
      </dgm:prSet>
      <dgm:spPr/>
    </dgm:pt>
    <dgm:pt modelId="{295A0721-F691-4224-A015-B7D7650BE792}" type="pres">
      <dgm:prSet presAssocID="{195A687F-CECA-41C9-ADF3-DFBFCAACBDBA}" presName="rootComposite" presStyleCnt="0"/>
      <dgm:spPr/>
    </dgm:pt>
    <dgm:pt modelId="{D9510CE6-812C-41D4-A83B-A888D066E2E8}" type="pres">
      <dgm:prSet presAssocID="{195A687F-CECA-41C9-ADF3-DFBFCAACBDBA}" presName="rootText" presStyleLbl="node1" presStyleIdx="10" presStyleCnt="12">
        <dgm:presLayoutVars>
          <dgm:chMax/>
          <dgm:chPref val="3"/>
        </dgm:presLayoutVars>
      </dgm:prSet>
      <dgm:spPr/>
    </dgm:pt>
    <dgm:pt modelId="{10E3755F-E1DD-4D44-AA47-478B5AFD3CA9}" type="pres">
      <dgm:prSet presAssocID="{195A687F-CECA-41C9-ADF3-DFBFCAACBDBA}" presName="titleText2" presStyleLbl="fgAcc1" presStyleIdx="10" presStyleCnt="12">
        <dgm:presLayoutVars>
          <dgm:chMax val="0"/>
          <dgm:chPref val="0"/>
        </dgm:presLayoutVars>
      </dgm:prSet>
      <dgm:spPr/>
    </dgm:pt>
    <dgm:pt modelId="{62CF3AF4-AC11-4F74-B142-A685E0C95E98}" type="pres">
      <dgm:prSet presAssocID="{195A687F-CECA-41C9-ADF3-DFBFCAACBDBA}" presName="rootConnector" presStyleLbl="node2" presStyleIdx="0" presStyleCnt="0"/>
      <dgm:spPr/>
    </dgm:pt>
    <dgm:pt modelId="{339D727C-4B8E-4364-BFA4-545DD6F25315}" type="pres">
      <dgm:prSet presAssocID="{195A687F-CECA-41C9-ADF3-DFBFCAACBDBA}" presName="hierChild4" presStyleCnt="0"/>
      <dgm:spPr/>
    </dgm:pt>
    <dgm:pt modelId="{9AABC8E0-BC80-4400-AC69-C8AEFF658372}" type="pres">
      <dgm:prSet presAssocID="{B59CB00D-DA95-4E2C-9782-BFBFF392F013}" presName="Name37" presStyleLbl="parChTrans1D3" presStyleIdx="6" presStyleCnt="7"/>
      <dgm:spPr/>
    </dgm:pt>
    <dgm:pt modelId="{CE471F64-1242-4883-961F-C7B2218D21E0}" type="pres">
      <dgm:prSet presAssocID="{9AE01AAB-A9EE-41AE-BCD1-1BCE9DFDF1F9}" presName="hierRoot2" presStyleCnt="0">
        <dgm:presLayoutVars>
          <dgm:hierBranch val="init"/>
        </dgm:presLayoutVars>
      </dgm:prSet>
      <dgm:spPr/>
    </dgm:pt>
    <dgm:pt modelId="{C82E656B-284A-4856-B853-395FB48934B2}" type="pres">
      <dgm:prSet presAssocID="{9AE01AAB-A9EE-41AE-BCD1-1BCE9DFDF1F9}" presName="rootComposite" presStyleCnt="0"/>
      <dgm:spPr/>
    </dgm:pt>
    <dgm:pt modelId="{0A405969-1EED-49CF-9DE7-53E52C45E4AC}" type="pres">
      <dgm:prSet presAssocID="{9AE01AAB-A9EE-41AE-BCD1-1BCE9DFDF1F9}" presName="rootText" presStyleLbl="node1" presStyleIdx="11" presStyleCnt="12">
        <dgm:presLayoutVars>
          <dgm:chMax/>
          <dgm:chPref val="3"/>
        </dgm:presLayoutVars>
      </dgm:prSet>
      <dgm:spPr/>
    </dgm:pt>
    <dgm:pt modelId="{BA2576A1-4735-4363-A02A-64E68858729E}" type="pres">
      <dgm:prSet presAssocID="{9AE01AAB-A9EE-41AE-BCD1-1BCE9DFDF1F9}" presName="titleText2" presStyleLbl="fgAcc1" presStyleIdx="11" presStyleCnt="12">
        <dgm:presLayoutVars>
          <dgm:chMax val="0"/>
          <dgm:chPref val="0"/>
        </dgm:presLayoutVars>
      </dgm:prSet>
      <dgm:spPr/>
    </dgm:pt>
    <dgm:pt modelId="{86BF30C0-80C7-4BA3-9435-E5A7376E5D3F}" type="pres">
      <dgm:prSet presAssocID="{9AE01AAB-A9EE-41AE-BCD1-1BCE9DFDF1F9}" presName="rootConnector" presStyleLbl="node3" presStyleIdx="0" presStyleCnt="0"/>
      <dgm:spPr/>
    </dgm:pt>
    <dgm:pt modelId="{310DF392-B5EF-4573-941B-C7AFF54E98E0}" type="pres">
      <dgm:prSet presAssocID="{9AE01AAB-A9EE-41AE-BCD1-1BCE9DFDF1F9}" presName="hierChild4" presStyleCnt="0"/>
      <dgm:spPr/>
    </dgm:pt>
    <dgm:pt modelId="{B694DC9B-4647-4941-805C-EB7E678261DE}" type="pres">
      <dgm:prSet presAssocID="{9AE01AAB-A9EE-41AE-BCD1-1BCE9DFDF1F9}" presName="hierChild5" presStyleCnt="0"/>
      <dgm:spPr/>
    </dgm:pt>
    <dgm:pt modelId="{B5FC9880-A565-4DB3-B604-47E2E0E21E9A}" type="pres">
      <dgm:prSet presAssocID="{195A687F-CECA-41C9-ADF3-DFBFCAACBDBA}" presName="hierChild5" presStyleCnt="0"/>
      <dgm:spPr/>
    </dgm:pt>
    <dgm:pt modelId="{571D9E28-8BC5-4E56-A17D-AF15DFC44E34}" type="pres">
      <dgm:prSet presAssocID="{FAD1A9A9-BFAF-4E76-BB25-EAA9D300667E}" presName="hierChild3" presStyleCnt="0"/>
      <dgm:spPr/>
    </dgm:pt>
  </dgm:ptLst>
  <dgm:cxnLst>
    <dgm:cxn modelId="{4126FC00-867D-4287-A4BD-C15BF1C92C3C}" type="presOf" srcId="{7D5A3C2E-DA4B-4DBF-B5FF-18C90C35961C}" destId="{09F9661F-B9F7-44EF-9208-A743409BD7A7}" srcOrd="1" destOrd="0" presId="urn:microsoft.com/office/officeart/2008/layout/NameandTitleOrganizationalChart"/>
    <dgm:cxn modelId="{19E5A102-5D31-416A-BD4D-54B0D814D643}" type="presOf" srcId="{7D289633-31F6-4BC9-8FC8-21C83A0A8E18}" destId="{48229935-0956-4FAE-BC9B-40887374BABB}" srcOrd="1" destOrd="0" presId="urn:microsoft.com/office/officeart/2008/layout/NameandTitleOrganizationalChart"/>
    <dgm:cxn modelId="{AB8F690A-38FF-47AE-8964-44279CEAD284}" type="presOf" srcId="{195A687F-CECA-41C9-ADF3-DFBFCAACBDBA}" destId="{D9510CE6-812C-41D4-A83B-A888D066E2E8}" srcOrd="0" destOrd="0" presId="urn:microsoft.com/office/officeart/2008/layout/NameandTitleOrganizationalChart"/>
    <dgm:cxn modelId="{A48EB20B-F384-4A69-AFD9-F1496E7F27C4}" type="presOf" srcId="{140F258C-A916-45E5-8B50-CF1AC92C8C9A}" destId="{7A646971-43E4-431B-9BD9-0B2889277B45}" srcOrd="0" destOrd="0" presId="urn:microsoft.com/office/officeart/2008/layout/NameandTitleOrganizationalChart"/>
    <dgm:cxn modelId="{CDA3390D-07A1-41A3-B68A-BF2EB0FC2280}" type="presOf" srcId="{A68B1410-FF9F-4C68-8CAE-0536DD5A9A0E}" destId="{6D10CDDE-D19C-47C3-8B46-EAABD1C9AD49}" srcOrd="0" destOrd="0" presId="urn:microsoft.com/office/officeart/2008/layout/NameandTitleOrganizationalChart"/>
    <dgm:cxn modelId="{569FF10E-684A-478B-997F-28361171757E}" srcId="{195A687F-CECA-41C9-ADF3-DFBFCAACBDBA}" destId="{9AE01AAB-A9EE-41AE-BCD1-1BCE9DFDF1F9}" srcOrd="0" destOrd="0" parTransId="{B59CB00D-DA95-4E2C-9782-BFBFF392F013}" sibTransId="{429794FF-91BA-4EAF-AA3C-4FCDF7F823AD}"/>
    <dgm:cxn modelId="{16E6E111-B50C-48AA-876A-A08277D19E04}" type="presOf" srcId="{F306C2C0-1373-4AD1-8AFC-FF6B7EE4BD0E}" destId="{538E358D-1B10-49B2-9BEC-1742DC1201AA}" srcOrd="0" destOrd="0" presId="urn:microsoft.com/office/officeart/2008/layout/NameandTitleOrganizationalChart"/>
    <dgm:cxn modelId="{B37BB012-8FB9-4516-9EA9-9EA0590E04FE}" type="presOf" srcId="{D337C3E8-D6EA-4C16-B969-FBA69C5D658C}" destId="{1B894428-5ECD-4267-98CB-974A56018610}" srcOrd="0" destOrd="0" presId="urn:microsoft.com/office/officeart/2008/layout/NameandTitleOrganizationalChart"/>
    <dgm:cxn modelId="{6772391A-C397-4133-9D7F-5D0D539FBC97}" type="presOf" srcId="{A4D1EDC7-A0DC-4D6E-B9A6-829964A045F8}" destId="{3783B038-514B-46AD-8A19-194D9F0B7A09}" srcOrd="0" destOrd="0" presId="urn:microsoft.com/office/officeart/2008/layout/NameandTitleOrganizationalChart"/>
    <dgm:cxn modelId="{365D401B-4BF4-4185-8DE8-CBD7FB800500}" type="presOf" srcId="{FAD1A9A9-BFAF-4E76-BB25-EAA9D300667E}" destId="{DE119D6D-1ECD-479A-AA59-A89A1DAE7A75}" srcOrd="1" destOrd="0" presId="urn:microsoft.com/office/officeart/2008/layout/NameandTitleOrganizationalChart"/>
    <dgm:cxn modelId="{99DF7A25-C413-4169-9256-24EB4322D67B}" type="presOf" srcId="{66FB0EF8-062D-4502-8686-6C9A8A3A486D}" destId="{4763BCEB-442B-4784-9BBF-FA5329A5E2B0}" srcOrd="0" destOrd="0" presId="urn:microsoft.com/office/officeart/2008/layout/NameandTitleOrganizationalChart"/>
    <dgm:cxn modelId="{8B84D927-58DB-4F1C-BB95-7F745F1C1F38}" srcId="{AC786515-7391-4007-A3DE-07996A5C9653}" destId="{FAD1A9A9-BFAF-4E76-BB25-EAA9D300667E}" srcOrd="0" destOrd="0" parTransId="{C7F7188C-8B9B-4E11-A47A-1F9304CEB747}" sibTransId="{BC8187CF-9E48-45B1-915B-F9F7C62DBCCD}"/>
    <dgm:cxn modelId="{729E7D2E-6A6B-4D90-BF71-CD03AF329E24}" type="presOf" srcId="{3B443AE0-63E0-434E-83AF-A1A464C22E9B}" destId="{192A8738-A612-4DBD-8B50-59CEC02F5157}" srcOrd="0" destOrd="0" presId="urn:microsoft.com/office/officeart/2008/layout/NameandTitleOrganizationalChart"/>
    <dgm:cxn modelId="{C3999132-8C28-415B-A148-DACC5E42930E}" type="presOf" srcId="{B4E18ADC-03AB-40F7-900E-A8001EBB831B}" destId="{226F3003-DA6A-4D5B-B85B-2F80C2DEA040}" srcOrd="0" destOrd="0" presId="urn:microsoft.com/office/officeart/2008/layout/NameandTitleOrganizationalChart"/>
    <dgm:cxn modelId="{D71D4737-31AA-436A-852B-1390E99725AE}" type="presOf" srcId="{90AEBC8E-3479-4C23-963C-93224D4060E9}" destId="{558E0346-F255-487C-8ACB-CE1E1C924D91}" srcOrd="1" destOrd="0" presId="urn:microsoft.com/office/officeart/2008/layout/NameandTitleOrganizationalChart"/>
    <dgm:cxn modelId="{A09D215F-E582-421A-AEBA-82353ED628B2}" type="presOf" srcId="{85B552F7-BA75-445E-AE9D-467F4AC7B8ED}" destId="{7DC36E8F-EE6F-4BFF-85EB-0D73B0A8130F}" srcOrd="0" destOrd="0" presId="urn:microsoft.com/office/officeart/2008/layout/NameandTitleOrganizationalChart"/>
    <dgm:cxn modelId="{12757160-1530-4996-B895-B9E3EE9A865D}" type="presOf" srcId="{5EE4DC7B-D576-4297-A892-1CA161C926CD}" destId="{8DAF9B49-CB6F-4E9C-9E43-280C093F38EC}" srcOrd="0" destOrd="0" presId="urn:microsoft.com/office/officeart/2008/layout/NameandTitleOrganizationalChart"/>
    <dgm:cxn modelId="{00717760-EF69-47B9-91FF-84AC68D1C926}" srcId="{90AEBC8E-3479-4C23-963C-93224D4060E9}" destId="{B541FF03-D335-4B62-B9C8-7B29CC395ED0}" srcOrd="2" destOrd="0" parTransId="{91BE567C-9C30-40BC-8268-8EFD60EBAD9E}" sibTransId="{66FB0EF8-062D-4502-8686-6C9A8A3A486D}"/>
    <dgm:cxn modelId="{25AD3B64-7CD1-4BFA-9EE5-679D225445AC}" type="presOf" srcId="{9AE01AAB-A9EE-41AE-BCD1-1BCE9DFDF1F9}" destId="{0A405969-1EED-49CF-9DE7-53E52C45E4AC}" srcOrd="0" destOrd="0" presId="urn:microsoft.com/office/officeart/2008/layout/NameandTitleOrganizationalChart"/>
    <dgm:cxn modelId="{8FD87E44-EA05-4F94-87F2-A807F85C4B82}" type="presOf" srcId="{3B443AE0-63E0-434E-83AF-A1A464C22E9B}" destId="{B09829C2-5A11-41C0-A81E-9C50B9FC627C}" srcOrd="1" destOrd="0" presId="urn:microsoft.com/office/officeart/2008/layout/NameandTitleOrganizationalChart"/>
    <dgm:cxn modelId="{BA6EFA45-69A0-4C1F-AD7F-11607C13C4D8}" type="presOf" srcId="{429794FF-91BA-4EAF-AA3C-4FCDF7F823AD}" destId="{BA2576A1-4735-4363-A02A-64E68858729E}" srcOrd="0" destOrd="0" presId="urn:microsoft.com/office/officeart/2008/layout/NameandTitleOrganizationalChart"/>
    <dgm:cxn modelId="{023EC246-D532-4C85-950A-79A465E09B5F}" type="presOf" srcId="{A46EA25C-B872-427B-8C4B-227B0F73744A}" destId="{F68EC883-18E1-43AF-8E67-05203F83378B}" srcOrd="1" destOrd="0" presId="urn:microsoft.com/office/officeart/2008/layout/NameandTitleOrganizationalChart"/>
    <dgm:cxn modelId="{C75CE967-7FA6-42F7-BE68-6321A42EA5BF}" type="presOf" srcId="{9AE01AAB-A9EE-41AE-BCD1-1BCE9DFDF1F9}" destId="{86BF30C0-80C7-4BA3-9435-E5A7376E5D3F}" srcOrd="1" destOrd="0" presId="urn:microsoft.com/office/officeart/2008/layout/NameandTitleOrganizationalChart"/>
    <dgm:cxn modelId="{A9DA2D4B-A575-4EF4-874F-212B473FBB16}" type="presOf" srcId="{50BAC4F0-C862-4F33-85A8-29A36BB4C0A7}" destId="{EC3785DC-5BA1-456A-9AB3-DE4382282314}" srcOrd="0" destOrd="0" presId="urn:microsoft.com/office/officeart/2008/layout/NameandTitleOrganizationalChart"/>
    <dgm:cxn modelId="{BD6A7D4D-4C7A-4DA7-BEE6-D270F48A009E}" srcId="{FAD1A9A9-BFAF-4E76-BB25-EAA9D300667E}" destId="{90AEBC8E-3479-4C23-963C-93224D4060E9}" srcOrd="0" destOrd="0" parTransId="{099C38B1-9A9C-47BA-97C3-93C170487F65}" sibTransId="{E1C70FC8-3C1C-483F-928B-D3E249C4B97C}"/>
    <dgm:cxn modelId="{91BF886D-7841-4BF3-8899-905A3FA6514B}" type="presOf" srcId="{FAD1A9A9-BFAF-4E76-BB25-EAA9D300667E}" destId="{7A725B1A-9698-4682-93D7-23194A9F8A94}" srcOrd="0" destOrd="0" presId="urn:microsoft.com/office/officeart/2008/layout/NameandTitleOrganizationalChart"/>
    <dgm:cxn modelId="{73748F4D-4E83-42FE-99E4-9ACC1B02D8E5}" type="presOf" srcId="{88C42DA6-78AD-4051-9E2B-B01DD39CBA88}" destId="{1DF17BD7-6941-48AA-B1A2-4B92BDD67A5F}" srcOrd="0" destOrd="0" presId="urn:microsoft.com/office/officeart/2008/layout/NameandTitleOrganizationalChart"/>
    <dgm:cxn modelId="{1E136E50-6F39-409B-AAF9-936A7166A687}" type="presOf" srcId="{7D5A3C2E-DA4B-4DBF-B5FF-18C90C35961C}" destId="{E675ABB5-DE0C-4012-BED1-2B0B7E643E7E}" srcOrd="0" destOrd="0" presId="urn:microsoft.com/office/officeart/2008/layout/NameandTitleOrganizationalChart"/>
    <dgm:cxn modelId="{781AB752-E797-4B84-8597-C17BCF39EC15}" type="presOf" srcId="{496473FF-506C-4861-9960-AB46A8538B99}" destId="{F5E1FD8A-7BCA-470F-AF79-44238FECF05B}" srcOrd="0" destOrd="0" presId="urn:microsoft.com/office/officeart/2008/layout/NameandTitleOrganizationalChart"/>
    <dgm:cxn modelId="{DEEE4E73-7628-4B62-8B6F-921F66FA8A1F}" type="presOf" srcId="{BC8187CF-9E48-45B1-915B-F9F7C62DBCCD}" destId="{EE76D376-B4A0-4A1C-BD78-436E6A5DCDA6}" srcOrd="0" destOrd="0" presId="urn:microsoft.com/office/officeart/2008/layout/NameandTitleOrganizationalChart"/>
    <dgm:cxn modelId="{AFCE9674-B1AF-47C0-81D3-3EE715E40060}" srcId="{90AEBC8E-3479-4C23-963C-93224D4060E9}" destId="{50BAC4F0-C862-4F33-85A8-29A36BB4C0A7}" srcOrd="3" destOrd="0" parTransId="{5EE4DC7B-D576-4297-A892-1CA161C926CD}" sibTransId="{85B552F7-BA75-445E-AE9D-467F4AC7B8ED}"/>
    <dgm:cxn modelId="{45EA0A75-26A1-4C5C-A9EB-81466EB52F04}" srcId="{90AEBC8E-3479-4C23-963C-93224D4060E9}" destId="{A46EA25C-B872-427B-8C4B-227B0F73744A}" srcOrd="0" destOrd="0" parTransId="{081E9C0E-D1D5-4BDE-9C68-14E34FC95431}" sibTransId="{B4E18ADC-03AB-40F7-900E-A8001EBB831B}"/>
    <dgm:cxn modelId="{C786DD57-5B11-4418-BE6C-A37BC446E065}" type="presOf" srcId="{7D289633-31F6-4BC9-8FC8-21C83A0A8E18}" destId="{F606D179-22EE-4B61-A311-6A135F257D1F}" srcOrd="0" destOrd="0" presId="urn:microsoft.com/office/officeart/2008/layout/NameandTitleOrganizationalChart"/>
    <dgm:cxn modelId="{F3654A78-8269-485A-A9E6-FA8B47977108}" type="presOf" srcId="{099C38B1-9A9C-47BA-97C3-93C170487F65}" destId="{490D380A-7327-4633-AF94-1037286F83B5}" srcOrd="0" destOrd="0" presId="urn:microsoft.com/office/officeart/2008/layout/NameandTitleOrganizationalChart"/>
    <dgm:cxn modelId="{F34C3E7A-781B-4372-BE1D-492AC901D42D}" type="presOf" srcId="{2ACFC480-A17D-4B6A-9DD5-7AD546212423}" destId="{0C7AC82F-552B-46C3-A2C3-EA57CBC79798}" srcOrd="0" destOrd="0" presId="urn:microsoft.com/office/officeart/2008/layout/NameandTitleOrganizationalChart"/>
    <dgm:cxn modelId="{F7363F7D-13C0-460B-861B-9BF5902E4A8E}" type="presOf" srcId="{E1C70FC8-3C1C-483F-928B-D3E249C4B97C}" destId="{665E9847-9962-4B57-B0BF-BF3848AC32B8}" srcOrd="0" destOrd="0" presId="urn:microsoft.com/office/officeart/2008/layout/NameandTitleOrganizationalChart"/>
    <dgm:cxn modelId="{8A97AB7F-B6FA-4775-8F0A-8DEE10212713}" type="presOf" srcId="{081E9C0E-D1D5-4BDE-9C68-14E34FC95431}" destId="{39E54EA3-C064-417F-AF1E-5F406829F937}" srcOrd="0" destOrd="0" presId="urn:microsoft.com/office/officeart/2008/layout/NameandTitleOrganizationalChart"/>
    <dgm:cxn modelId="{A7E9D48A-B155-4343-A106-B7CF14F3CDBF}" type="presOf" srcId="{88C42DA6-78AD-4051-9E2B-B01DD39CBA88}" destId="{522B1224-D11E-4120-8511-540F355AB1D1}" srcOrd="1" destOrd="0" presId="urn:microsoft.com/office/officeart/2008/layout/NameandTitleOrganizationalChart"/>
    <dgm:cxn modelId="{C3611D90-6A11-498E-AD78-1E06D6F50A4F}" srcId="{FAD1A9A9-BFAF-4E76-BB25-EAA9D300667E}" destId="{7D5A3C2E-DA4B-4DBF-B5FF-18C90C35961C}" srcOrd="2" destOrd="0" parTransId="{140F258C-A916-45E5-8B50-CF1AC92C8C9A}" sibTransId="{1602DE8C-3591-4D47-8D71-ED7CD5098E19}"/>
    <dgm:cxn modelId="{3054CF96-9220-4289-A27E-368016008602}" type="presOf" srcId="{B59CB00D-DA95-4E2C-9782-BFBFF392F013}" destId="{9AABC8E0-BC80-4400-AC69-C8AEFF658372}" srcOrd="0" destOrd="0" presId="urn:microsoft.com/office/officeart/2008/layout/NameandTitleOrganizationalChart"/>
    <dgm:cxn modelId="{A34BB6A0-4093-443C-A2ED-8D4BFD3A1578}" type="presOf" srcId="{BE8FE304-6BA8-4EA2-B106-AC3D169F531D}" destId="{43573365-DDCF-4B06-8187-DCB80BC9067F}" srcOrd="0" destOrd="0" presId="urn:microsoft.com/office/officeart/2008/layout/NameandTitleOrganizationalChart"/>
    <dgm:cxn modelId="{05A90CA3-2924-42BC-8B6A-49B15494D39A}" type="presOf" srcId="{91BE567C-9C30-40BC-8268-8EFD60EBAD9E}" destId="{2151BF18-B4E3-4DA8-A79C-8D5989F4228C}" srcOrd="0" destOrd="0" presId="urn:microsoft.com/office/officeart/2008/layout/NameandTitleOrganizationalChart"/>
    <dgm:cxn modelId="{147268A9-FA23-4059-8DFF-2E130EB197D3}" type="presOf" srcId="{9E10847E-E9B6-425F-A57D-9200C7695CAD}" destId="{8BE3A960-1C61-42F0-B4A7-A764B64664F8}" srcOrd="0" destOrd="0" presId="urn:microsoft.com/office/officeart/2008/layout/NameandTitleOrganizationalChart"/>
    <dgm:cxn modelId="{76D119B2-E034-4114-9866-00B96A4C6CEB}" type="presOf" srcId="{50BAC4F0-C862-4F33-85A8-29A36BB4C0A7}" destId="{BC07B16F-7AE9-4BE5-A9F7-1BF146B46FF9}" srcOrd="1" destOrd="0" presId="urn:microsoft.com/office/officeart/2008/layout/NameandTitleOrganizationalChart"/>
    <dgm:cxn modelId="{0C6EA3B3-21C1-438B-848A-7BDC18C38BB4}" srcId="{FAD1A9A9-BFAF-4E76-BB25-EAA9D300667E}" destId="{3B443AE0-63E0-434E-83AF-A1A464C22E9B}" srcOrd="3" destOrd="0" parTransId="{ED8C56C2-9FA6-429C-9689-574367C00E25}" sibTransId="{496473FF-506C-4861-9960-AB46A8538B99}"/>
    <dgm:cxn modelId="{8FBC4FB9-BA13-4469-968E-3DFFAD6B67A3}" srcId="{90AEBC8E-3479-4C23-963C-93224D4060E9}" destId="{88C42DA6-78AD-4051-9E2B-B01DD39CBA88}" srcOrd="5" destOrd="0" parTransId="{A68B1410-FF9F-4C68-8CAE-0536DD5A9A0E}" sibTransId="{0BCAE850-6FA1-44B4-B555-A5646F196594}"/>
    <dgm:cxn modelId="{9FD3DFB9-91E8-4671-9B58-51A738F1E089}" type="presOf" srcId="{90AEBC8E-3479-4C23-963C-93224D4060E9}" destId="{82D10737-9B86-49AC-AA17-C20782770FC2}" srcOrd="0" destOrd="0" presId="urn:microsoft.com/office/officeart/2008/layout/NameandTitleOrganizationalChart"/>
    <dgm:cxn modelId="{09C4F9BC-2688-4740-912F-19AB5A58D4C2}" type="presOf" srcId="{76004F3C-30EF-49F1-92B2-CD156510C312}" destId="{60C60B31-49CB-4C30-BBC8-2ACB90D2CC2B}" srcOrd="0" destOrd="0" presId="urn:microsoft.com/office/officeart/2008/layout/NameandTitleOrganizationalChart"/>
    <dgm:cxn modelId="{E8539ABD-56AA-4A07-98FB-334698AE1538}" type="presOf" srcId="{EF011931-89F6-4B06-BA16-C58BD131881E}" destId="{10E3755F-E1DD-4D44-AA47-478B5AFD3CA9}" srcOrd="0" destOrd="0" presId="urn:microsoft.com/office/officeart/2008/layout/NameandTitleOrganizationalChart"/>
    <dgm:cxn modelId="{1423AFBE-7666-4D3C-AFA7-CFABFDC13806}" type="presOf" srcId="{76004F3C-30EF-49F1-92B2-CD156510C312}" destId="{52FDEE4C-C848-4869-8AD7-71BBBC40BA2B}" srcOrd="1" destOrd="0" presId="urn:microsoft.com/office/officeart/2008/layout/NameandTitleOrganizationalChart"/>
    <dgm:cxn modelId="{C467E4C2-14B7-440A-ACE4-5ABE418B54E5}" srcId="{90AEBC8E-3479-4C23-963C-93224D4060E9}" destId="{7D289633-31F6-4BC9-8FC8-21C83A0A8E18}" srcOrd="4" destOrd="0" parTransId="{174CA024-A600-480C-BAC9-47FA76650B1D}" sibTransId="{A4D1EDC7-A0DC-4D6E-B9A6-829964A045F8}"/>
    <dgm:cxn modelId="{66034ECB-4E00-4BA8-A147-EEE1A85840E6}" type="presOf" srcId="{0BCAE850-6FA1-44B4-B555-A5646F196594}" destId="{435CA18F-0823-4281-BA07-43BD7FEF5613}" srcOrd="0" destOrd="0" presId="urn:microsoft.com/office/officeart/2008/layout/NameandTitleOrganizationalChart"/>
    <dgm:cxn modelId="{C1399CCB-460E-4828-817E-F6DC23293AE1}" type="presOf" srcId="{A46EA25C-B872-427B-8C4B-227B0F73744A}" destId="{39FDAAB6-DFB9-49F1-B02E-A1A0C3493D66}" srcOrd="0" destOrd="0" presId="urn:microsoft.com/office/officeart/2008/layout/NameandTitleOrganizationalChart"/>
    <dgm:cxn modelId="{EDEC18CC-660E-4973-BBD0-E722777185C9}" type="presOf" srcId="{BE8FE304-6BA8-4EA2-B106-AC3D169F531D}" destId="{781F5D93-A6C2-4E13-B0EB-4963F9B4FFCB}" srcOrd="1" destOrd="0" presId="urn:microsoft.com/office/officeart/2008/layout/NameandTitleOrganizationalChart"/>
    <dgm:cxn modelId="{82FAB0CE-7458-4076-9698-EE21F5757755}" srcId="{FAD1A9A9-BFAF-4E76-BB25-EAA9D300667E}" destId="{195A687F-CECA-41C9-ADF3-DFBFCAACBDBA}" srcOrd="4" destOrd="0" parTransId="{D337C3E8-D6EA-4C16-B969-FBA69C5D658C}" sibTransId="{EF011931-89F6-4B06-BA16-C58BD131881E}"/>
    <dgm:cxn modelId="{90CF09CF-81FD-4841-96C8-88FC7796270A}" type="presOf" srcId="{B541FF03-D335-4B62-B9C8-7B29CC395ED0}" destId="{AACA45B6-490F-4A5E-8C6E-F9392F4E6642}" srcOrd="1" destOrd="0" presId="urn:microsoft.com/office/officeart/2008/layout/NameandTitleOrganizationalChart"/>
    <dgm:cxn modelId="{5A93DCD3-2699-4B2C-847E-F1DBDB18C771}" type="presOf" srcId="{1602DE8C-3591-4D47-8D71-ED7CD5098E19}" destId="{106B4024-1198-49B7-A8CA-2AC354CC679C}" srcOrd="0" destOrd="0" presId="urn:microsoft.com/office/officeart/2008/layout/NameandTitleOrganizationalChart"/>
    <dgm:cxn modelId="{924340D4-0B5B-41A7-A408-E5F016DEF6B3}" type="presOf" srcId="{AC786515-7391-4007-A3DE-07996A5C9653}" destId="{7BDE935F-2A1E-44C1-A8B3-5A0177EC8A3D}" srcOrd="0" destOrd="0" presId="urn:microsoft.com/office/officeart/2008/layout/NameandTitleOrganizationalChart"/>
    <dgm:cxn modelId="{DD3E6AD5-7387-4B2E-9CE3-6458E32BFD2D}" type="presOf" srcId="{338EFB5E-628E-4F16-904E-F85E37AA1CA9}" destId="{F431DB23-37C2-4AA8-B155-10F86710ED77}" srcOrd="0" destOrd="0" presId="urn:microsoft.com/office/officeart/2008/layout/NameandTitleOrganizationalChart"/>
    <dgm:cxn modelId="{6DB7A8E2-5355-47C5-8329-85AD056F77F9}" srcId="{90AEBC8E-3479-4C23-963C-93224D4060E9}" destId="{76004F3C-30EF-49F1-92B2-CD156510C312}" srcOrd="1" destOrd="0" parTransId="{2ACFC480-A17D-4B6A-9DD5-7AD546212423}" sibTransId="{338EFB5E-628E-4F16-904E-F85E37AA1CA9}"/>
    <dgm:cxn modelId="{5CCDC6E2-7CA2-4D66-9096-2B9DC8EFDB02}" type="presOf" srcId="{195A687F-CECA-41C9-ADF3-DFBFCAACBDBA}" destId="{62CF3AF4-AC11-4F74-B142-A685E0C95E98}" srcOrd="1" destOrd="0" presId="urn:microsoft.com/office/officeart/2008/layout/NameandTitleOrganizationalChart"/>
    <dgm:cxn modelId="{62EA97E4-3EF0-4A3C-96E9-E53626E83B1A}" type="presOf" srcId="{174CA024-A600-480C-BAC9-47FA76650B1D}" destId="{056F0063-AD98-4E20-ABFA-6ADDAC99CB9C}" srcOrd="0" destOrd="0" presId="urn:microsoft.com/office/officeart/2008/layout/NameandTitleOrganizationalChart"/>
    <dgm:cxn modelId="{157F9CED-0E68-452F-9732-8199AEA6864C}" type="presOf" srcId="{B541FF03-D335-4B62-B9C8-7B29CC395ED0}" destId="{36EA2E0C-BA9A-47E2-A6A9-4EE082336B2D}" srcOrd="0" destOrd="0" presId="urn:microsoft.com/office/officeart/2008/layout/NameandTitleOrganizationalChart"/>
    <dgm:cxn modelId="{9BA299F0-1819-4910-8F46-FD00C389BE6F}" type="presOf" srcId="{ED8C56C2-9FA6-429C-9689-574367C00E25}" destId="{42DBA15C-8F5D-4CCF-9D7F-EB424EF585F3}" srcOrd="0" destOrd="0" presId="urn:microsoft.com/office/officeart/2008/layout/NameandTitleOrganizationalChart"/>
    <dgm:cxn modelId="{0C8AFAF5-C461-4112-8B43-0A8F43FB9B74}" srcId="{FAD1A9A9-BFAF-4E76-BB25-EAA9D300667E}" destId="{BE8FE304-6BA8-4EA2-B106-AC3D169F531D}" srcOrd="1" destOrd="0" parTransId="{9E10847E-E9B6-425F-A57D-9200C7695CAD}" sibTransId="{F306C2C0-1373-4AD1-8AFC-FF6B7EE4BD0E}"/>
    <dgm:cxn modelId="{02D7CBC4-2DC7-4173-9ACF-6C2AEEE0F75B}" type="presParOf" srcId="{7BDE935F-2A1E-44C1-A8B3-5A0177EC8A3D}" destId="{C99E5C5B-0164-4707-A23D-C3BE79ED52B2}" srcOrd="0" destOrd="0" presId="urn:microsoft.com/office/officeart/2008/layout/NameandTitleOrganizationalChart"/>
    <dgm:cxn modelId="{78557318-7D25-4956-9381-EBC2FC2CC25C}" type="presParOf" srcId="{C99E5C5B-0164-4707-A23D-C3BE79ED52B2}" destId="{FB684391-6E0A-46A9-83A5-6C63F2FD8C03}" srcOrd="0" destOrd="0" presId="urn:microsoft.com/office/officeart/2008/layout/NameandTitleOrganizationalChart"/>
    <dgm:cxn modelId="{34D7D67F-0555-4B3E-ACC3-E71CA02359BA}" type="presParOf" srcId="{FB684391-6E0A-46A9-83A5-6C63F2FD8C03}" destId="{7A725B1A-9698-4682-93D7-23194A9F8A94}" srcOrd="0" destOrd="0" presId="urn:microsoft.com/office/officeart/2008/layout/NameandTitleOrganizationalChart"/>
    <dgm:cxn modelId="{E76A55C2-5F6D-433C-BFBE-A04E69B4769C}" type="presParOf" srcId="{FB684391-6E0A-46A9-83A5-6C63F2FD8C03}" destId="{EE76D376-B4A0-4A1C-BD78-436E6A5DCDA6}" srcOrd="1" destOrd="0" presId="urn:microsoft.com/office/officeart/2008/layout/NameandTitleOrganizationalChart"/>
    <dgm:cxn modelId="{FD0B82C0-AEE8-42E3-9264-92C46EF7E3E7}" type="presParOf" srcId="{FB684391-6E0A-46A9-83A5-6C63F2FD8C03}" destId="{DE119D6D-1ECD-479A-AA59-A89A1DAE7A75}" srcOrd="2" destOrd="0" presId="urn:microsoft.com/office/officeart/2008/layout/NameandTitleOrganizationalChart"/>
    <dgm:cxn modelId="{C3508B76-8C64-422E-A683-C1E00D045F0A}" type="presParOf" srcId="{C99E5C5B-0164-4707-A23D-C3BE79ED52B2}" destId="{276A8BE8-4724-4109-9DBA-7E7BC467363F}" srcOrd="1" destOrd="0" presId="urn:microsoft.com/office/officeart/2008/layout/NameandTitleOrganizationalChart"/>
    <dgm:cxn modelId="{607E5044-D85A-450D-B389-49524C3ACD44}" type="presParOf" srcId="{276A8BE8-4724-4109-9DBA-7E7BC467363F}" destId="{490D380A-7327-4633-AF94-1037286F83B5}" srcOrd="0" destOrd="0" presId="urn:microsoft.com/office/officeart/2008/layout/NameandTitleOrganizationalChart"/>
    <dgm:cxn modelId="{2CDADB04-31C9-4C57-ABE1-CC436C828F5A}" type="presParOf" srcId="{276A8BE8-4724-4109-9DBA-7E7BC467363F}" destId="{8DE8E107-1B78-4373-AA95-B9C84BF1816B}" srcOrd="1" destOrd="0" presId="urn:microsoft.com/office/officeart/2008/layout/NameandTitleOrganizationalChart"/>
    <dgm:cxn modelId="{9A45CA29-7A6E-4972-B153-C4E25E060463}" type="presParOf" srcId="{8DE8E107-1B78-4373-AA95-B9C84BF1816B}" destId="{19D22B63-59C0-45AA-9B06-E9D26D92963D}" srcOrd="0" destOrd="0" presId="urn:microsoft.com/office/officeart/2008/layout/NameandTitleOrganizationalChart"/>
    <dgm:cxn modelId="{C0099AE7-31E1-45EA-A52B-71CE3877C130}" type="presParOf" srcId="{19D22B63-59C0-45AA-9B06-E9D26D92963D}" destId="{82D10737-9B86-49AC-AA17-C20782770FC2}" srcOrd="0" destOrd="0" presId="urn:microsoft.com/office/officeart/2008/layout/NameandTitleOrganizationalChart"/>
    <dgm:cxn modelId="{4D1373A2-A4E0-4CDA-AF2A-97D14CCC49F5}" type="presParOf" srcId="{19D22B63-59C0-45AA-9B06-E9D26D92963D}" destId="{665E9847-9962-4B57-B0BF-BF3848AC32B8}" srcOrd="1" destOrd="0" presId="urn:microsoft.com/office/officeart/2008/layout/NameandTitleOrganizationalChart"/>
    <dgm:cxn modelId="{662970B3-2ACF-45C2-A520-E0B560531189}" type="presParOf" srcId="{19D22B63-59C0-45AA-9B06-E9D26D92963D}" destId="{558E0346-F255-487C-8ACB-CE1E1C924D91}" srcOrd="2" destOrd="0" presId="urn:microsoft.com/office/officeart/2008/layout/NameandTitleOrganizationalChart"/>
    <dgm:cxn modelId="{4B07681C-DFB0-4044-BB36-DF3D9AA7E318}" type="presParOf" srcId="{8DE8E107-1B78-4373-AA95-B9C84BF1816B}" destId="{3370E87B-DDC0-411A-9B1B-508828E32C33}" srcOrd="1" destOrd="0" presId="urn:microsoft.com/office/officeart/2008/layout/NameandTitleOrganizationalChart"/>
    <dgm:cxn modelId="{CB197167-76DD-477F-98C6-7546B53AFB86}" type="presParOf" srcId="{3370E87B-DDC0-411A-9B1B-508828E32C33}" destId="{39E54EA3-C064-417F-AF1E-5F406829F937}" srcOrd="0" destOrd="0" presId="urn:microsoft.com/office/officeart/2008/layout/NameandTitleOrganizationalChart"/>
    <dgm:cxn modelId="{42CAD513-4638-49D5-8C06-BB0CA694DDC9}" type="presParOf" srcId="{3370E87B-DDC0-411A-9B1B-508828E32C33}" destId="{D80A6332-135B-4F51-AF97-B312893884E5}" srcOrd="1" destOrd="0" presId="urn:microsoft.com/office/officeart/2008/layout/NameandTitleOrganizationalChart"/>
    <dgm:cxn modelId="{2F4F046C-1792-46AB-90B2-9A749514A377}" type="presParOf" srcId="{D80A6332-135B-4F51-AF97-B312893884E5}" destId="{35C03463-21BD-4A56-85AD-F4B8AB98283D}" srcOrd="0" destOrd="0" presId="urn:microsoft.com/office/officeart/2008/layout/NameandTitleOrganizationalChart"/>
    <dgm:cxn modelId="{12F34827-F92D-4CB9-95E1-B46DE3F4E769}" type="presParOf" srcId="{35C03463-21BD-4A56-85AD-F4B8AB98283D}" destId="{39FDAAB6-DFB9-49F1-B02E-A1A0C3493D66}" srcOrd="0" destOrd="0" presId="urn:microsoft.com/office/officeart/2008/layout/NameandTitleOrganizationalChart"/>
    <dgm:cxn modelId="{A0C8A6F4-88AA-42E3-9301-8BB8BAAA6897}" type="presParOf" srcId="{35C03463-21BD-4A56-85AD-F4B8AB98283D}" destId="{226F3003-DA6A-4D5B-B85B-2F80C2DEA040}" srcOrd="1" destOrd="0" presId="urn:microsoft.com/office/officeart/2008/layout/NameandTitleOrganizationalChart"/>
    <dgm:cxn modelId="{D52510F8-F3F6-468A-862C-1383015318E8}" type="presParOf" srcId="{35C03463-21BD-4A56-85AD-F4B8AB98283D}" destId="{F68EC883-18E1-43AF-8E67-05203F83378B}" srcOrd="2" destOrd="0" presId="urn:microsoft.com/office/officeart/2008/layout/NameandTitleOrganizationalChart"/>
    <dgm:cxn modelId="{43A710A1-C1C0-4397-A4FD-E25ACFA3B3B2}" type="presParOf" srcId="{D80A6332-135B-4F51-AF97-B312893884E5}" destId="{6EFFE1B7-C89E-4725-9CED-DF0CB3EB7B0F}" srcOrd="1" destOrd="0" presId="urn:microsoft.com/office/officeart/2008/layout/NameandTitleOrganizationalChart"/>
    <dgm:cxn modelId="{F3DFBE3A-CC34-4237-A006-17E40FDBBE84}" type="presParOf" srcId="{D80A6332-135B-4F51-AF97-B312893884E5}" destId="{C5EEB736-3FDF-4374-B4D7-82D914A50BD5}" srcOrd="2" destOrd="0" presId="urn:microsoft.com/office/officeart/2008/layout/NameandTitleOrganizationalChart"/>
    <dgm:cxn modelId="{C4213A41-88E0-4CED-9421-445B627D4747}" type="presParOf" srcId="{3370E87B-DDC0-411A-9B1B-508828E32C33}" destId="{0C7AC82F-552B-46C3-A2C3-EA57CBC79798}" srcOrd="2" destOrd="0" presId="urn:microsoft.com/office/officeart/2008/layout/NameandTitleOrganizationalChart"/>
    <dgm:cxn modelId="{9FDE2506-56A3-48EA-9EDD-1BFB8AE40D91}" type="presParOf" srcId="{3370E87B-DDC0-411A-9B1B-508828E32C33}" destId="{501F9553-6347-4CE3-9C1D-6AF75F7B2D59}" srcOrd="3" destOrd="0" presId="urn:microsoft.com/office/officeart/2008/layout/NameandTitleOrganizationalChart"/>
    <dgm:cxn modelId="{A8469DC9-1094-4D31-9CDA-951D1B0E63D4}" type="presParOf" srcId="{501F9553-6347-4CE3-9C1D-6AF75F7B2D59}" destId="{2F7237BD-1306-48A2-B6ED-21B4543DEB27}" srcOrd="0" destOrd="0" presId="urn:microsoft.com/office/officeart/2008/layout/NameandTitleOrganizationalChart"/>
    <dgm:cxn modelId="{C060BAC1-8AD9-4707-BD76-64691528F777}" type="presParOf" srcId="{2F7237BD-1306-48A2-B6ED-21B4543DEB27}" destId="{60C60B31-49CB-4C30-BBC8-2ACB90D2CC2B}" srcOrd="0" destOrd="0" presId="urn:microsoft.com/office/officeart/2008/layout/NameandTitleOrganizationalChart"/>
    <dgm:cxn modelId="{5EAA6A50-003E-41E2-BF20-7F8CB79F130C}" type="presParOf" srcId="{2F7237BD-1306-48A2-B6ED-21B4543DEB27}" destId="{F431DB23-37C2-4AA8-B155-10F86710ED77}" srcOrd="1" destOrd="0" presId="urn:microsoft.com/office/officeart/2008/layout/NameandTitleOrganizationalChart"/>
    <dgm:cxn modelId="{DAFEE2EC-CF5B-42AA-8790-E772C4F8E5D3}" type="presParOf" srcId="{2F7237BD-1306-48A2-B6ED-21B4543DEB27}" destId="{52FDEE4C-C848-4869-8AD7-71BBBC40BA2B}" srcOrd="2" destOrd="0" presId="urn:microsoft.com/office/officeart/2008/layout/NameandTitleOrganizationalChart"/>
    <dgm:cxn modelId="{BDC9644C-5C05-459A-9C2D-055984BAAAF7}" type="presParOf" srcId="{501F9553-6347-4CE3-9C1D-6AF75F7B2D59}" destId="{B8941BCD-18AE-498D-AD5D-64F9EDE8C79F}" srcOrd="1" destOrd="0" presId="urn:microsoft.com/office/officeart/2008/layout/NameandTitleOrganizationalChart"/>
    <dgm:cxn modelId="{7658E8AE-2700-4C8C-888F-66EBD3D76111}" type="presParOf" srcId="{501F9553-6347-4CE3-9C1D-6AF75F7B2D59}" destId="{00431807-FC9B-41FC-ADA6-6B72D74A2B6C}" srcOrd="2" destOrd="0" presId="urn:microsoft.com/office/officeart/2008/layout/NameandTitleOrganizationalChart"/>
    <dgm:cxn modelId="{7194B570-9F2C-4CD0-843C-9E1220AE044F}" type="presParOf" srcId="{3370E87B-DDC0-411A-9B1B-508828E32C33}" destId="{2151BF18-B4E3-4DA8-A79C-8D5989F4228C}" srcOrd="4" destOrd="0" presId="urn:microsoft.com/office/officeart/2008/layout/NameandTitleOrganizationalChart"/>
    <dgm:cxn modelId="{A13FB6E0-2C88-4A2F-A664-127A289B9024}" type="presParOf" srcId="{3370E87B-DDC0-411A-9B1B-508828E32C33}" destId="{E142CF3E-A150-4752-B606-F961A8DD2BD9}" srcOrd="5" destOrd="0" presId="urn:microsoft.com/office/officeart/2008/layout/NameandTitleOrganizationalChart"/>
    <dgm:cxn modelId="{97360A99-10F1-4375-B769-131EDC65398F}" type="presParOf" srcId="{E142CF3E-A150-4752-B606-F961A8DD2BD9}" destId="{B87C2A7F-9B1D-4A2F-8FD8-C0F9277BFB51}" srcOrd="0" destOrd="0" presId="urn:microsoft.com/office/officeart/2008/layout/NameandTitleOrganizationalChart"/>
    <dgm:cxn modelId="{0869A081-3263-4251-A418-35FFA3C03090}" type="presParOf" srcId="{B87C2A7F-9B1D-4A2F-8FD8-C0F9277BFB51}" destId="{36EA2E0C-BA9A-47E2-A6A9-4EE082336B2D}" srcOrd="0" destOrd="0" presId="urn:microsoft.com/office/officeart/2008/layout/NameandTitleOrganizationalChart"/>
    <dgm:cxn modelId="{EFB26329-9BB2-46DD-B496-B9A9D3020B20}" type="presParOf" srcId="{B87C2A7F-9B1D-4A2F-8FD8-C0F9277BFB51}" destId="{4763BCEB-442B-4784-9BBF-FA5329A5E2B0}" srcOrd="1" destOrd="0" presId="urn:microsoft.com/office/officeart/2008/layout/NameandTitleOrganizationalChart"/>
    <dgm:cxn modelId="{60DFE454-BD27-42DD-A6B1-66B044F058F1}" type="presParOf" srcId="{B87C2A7F-9B1D-4A2F-8FD8-C0F9277BFB51}" destId="{AACA45B6-490F-4A5E-8C6E-F9392F4E6642}" srcOrd="2" destOrd="0" presId="urn:microsoft.com/office/officeart/2008/layout/NameandTitleOrganizationalChart"/>
    <dgm:cxn modelId="{C75DF9DF-772A-48B7-A353-C65BDDA6CCBB}" type="presParOf" srcId="{E142CF3E-A150-4752-B606-F961A8DD2BD9}" destId="{23774318-BDC3-4A0E-9914-E87729586A10}" srcOrd="1" destOrd="0" presId="urn:microsoft.com/office/officeart/2008/layout/NameandTitleOrganizationalChart"/>
    <dgm:cxn modelId="{F4F7B69B-35CF-4F0F-9829-AF08B2818135}" type="presParOf" srcId="{E142CF3E-A150-4752-B606-F961A8DD2BD9}" destId="{4FA3A302-E546-40DF-BDB4-303F7CEE290C}" srcOrd="2" destOrd="0" presId="urn:microsoft.com/office/officeart/2008/layout/NameandTitleOrganizationalChart"/>
    <dgm:cxn modelId="{22255920-87B6-4EFF-8C10-4C4DBDEB6F17}" type="presParOf" srcId="{3370E87B-DDC0-411A-9B1B-508828E32C33}" destId="{8DAF9B49-CB6F-4E9C-9E43-280C093F38EC}" srcOrd="6" destOrd="0" presId="urn:microsoft.com/office/officeart/2008/layout/NameandTitleOrganizationalChart"/>
    <dgm:cxn modelId="{1EAEE4E8-8F6C-412B-B01D-84947E8E5881}" type="presParOf" srcId="{3370E87B-DDC0-411A-9B1B-508828E32C33}" destId="{31B12F6D-D21D-4F45-8606-69950F2A8B88}" srcOrd="7" destOrd="0" presId="urn:microsoft.com/office/officeart/2008/layout/NameandTitleOrganizationalChart"/>
    <dgm:cxn modelId="{1BE730E6-BEC0-430C-B6BA-8DCF64E3404F}" type="presParOf" srcId="{31B12F6D-D21D-4F45-8606-69950F2A8B88}" destId="{9BF432A3-4D25-4C1C-A91A-23172AC11E1E}" srcOrd="0" destOrd="0" presId="urn:microsoft.com/office/officeart/2008/layout/NameandTitleOrganizationalChart"/>
    <dgm:cxn modelId="{0982C2A3-80F5-4F08-9672-EDD830487745}" type="presParOf" srcId="{9BF432A3-4D25-4C1C-A91A-23172AC11E1E}" destId="{EC3785DC-5BA1-456A-9AB3-DE4382282314}" srcOrd="0" destOrd="0" presId="urn:microsoft.com/office/officeart/2008/layout/NameandTitleOrganizationalChart"/>
    <dgm:cxn modelId="{AB331161-F7E9-41F0-BDA6-025DA5401AC5}" type="presParOf" srcId="{9BF432A3-4D25-4C1C-A91A-23172AC11E1E}" destId="{7DC36E8F-EE6F-4BFF-85EB-0D73B0A8130F}" srcOrd="1" destOrd="0" presId="urn:microsoft.com/office/officeart/2008/layout/NameandTitleOrganizationalChart"/>
    <dgm:cxn modelId="{3427B572-4AAF-4991-91E9-AA3BA9B086C6}" type="presParOf" srcId="{9BF432A3-4D25-4C1C-A91A-23172AC11E1E}" destId="{BC07B16F-7AE9-4BE5-A9F7-1BF146B46FF9}" srcOrd="2" destOrd="0" presId="urn:microsoft.com/office/officeart/2008/layout/NameandTitleOrganizationalChart"/>
    <dgm:cxn modelId="{10711767-90C0-4006-B1CA-954A681DF3A6}" type="presParOf" srcId="{31B12F6D-D21D-4F45-8606-69950F2A8B88}" destId="{EFBDC909-8B8C-481E-8EAD-AC24DB31ED57}" srcOrd="1" destOrd="0" presId="urn:microsoft.com/office/officeart/2008/layout/NameandTitleOrganizationalChart"/>
    <dgm:cxn modelId="{84BDF902-4F56-4A87-9CB1-AABE6B375590}" type="presParOf" srcId="{31B12F6D-D21D-4F45-8606-69950F2A8B88}" destId="{3216FE61-263B-4E2E-A937-EBC08CC09808}" srcOrd="2" destOrd="0" presId="urn:microsoft.com/office/officeart/2008/layout/NameandTitleOrganizationalChart"/>
    <dgm:cxn modelId="{AC00E01F-BF90-4FF0-82BE-CEFA98F7EC97}" type="presParOf" srcId="{3370E87B-DDC0-411A-9B1B-508828E32C33}" destId="{056F0063-AD98-4E20-ABFA-6ADDAC99CB9C}" srcOrd="8" destOrd="0" presId="urn:microsoft.com/office/officeart/2008/layout/NameandTitleOrganizationalChart"/>
    <dgm:cxn modelId="{4B846F47-6026-4D6D-9135-F46B9696311D}" type="presParOf" srcId="{3370E87B-DDC0-411A-9B1B-508828E32C33}" destId="{A2A48E73-2628-45B1-A7E4-278F2E14C335}" srcOrd="9" destOrd="0" presId="urn:microsoft.com/office/officeart/2008/layout/NameandTitleOrganizationalChart"/>
    <dgm:cxn modelId="{D75F02F5-91D6-47AA-85B2-B61238CEE9AB}" type="presParOf" srcId="{A2A48E73-2628-45B1-A7E4-278F2E14C335}" destId="{231E831B-0D8A-432A-BBC2-A8E2C5478FA3}" srcOrd="0" destOrd="0" presId="urn:microsoft.com/office/officeart/2008/layout/NameandTitleOrganizationalChart"/>
    <dgm:cxn modelId="{2B8F4997-9D0D-415B-9040-ADB47991FAE0}" type="presParOf" srcId="{231E831B-0D8A-432A-BBC2-A8E2C5478FA3}" destId="{F606D179-22EE-4B61-A311-6A135F257D1F}" srcOrd="0" destOrd="0" presId="urn:microsoft.com/office/officeart/2008/layout/NameandTitleOrganizationalChart"/>
    <dgm:cxn modelId="{1C27B096-AF4A-481F-9BFF-92F029A9C712}" type="presParOf" srcId="{231E831B-0D8A-432A-BBC2-A8E2C5478FA3}" destId="{3783B038-514B-46AD-8A19-194D9F0B7A09}" srcOrd="1" destOrd="0" presId="urn:microsoft.com/office/officeart/2008/layout/NameandTitleOrganizationalChart"/>
    <dgm:cxn modelId="{87FAC0FF-2688-445E-8DE4-AEEC4D0DD811}" type="presParOf" srcId="{231E831B-0D8A-432A-BBC2-A8E2C5478FA3}" destId="{48229935-0956-4FAE-BC9B-40887374BABB}" srcOrd="2" destOrd="0" presId="urn:microsoft.com/office/officeart/2008/layout/NameandTitleOrganizationalChart"/>
    <dgm:cxn modelId="{0A09C24D-A569-4D23-A797-F7DC12BD0EAA}" type="presParOf" srcId="{A2A48E73-2628-45B1-A7E4-278F2E14C335}" destId="{76BBC555-5952-4154-B999-52C5FB049CAC}" srcOrd="1" destOrd="0" presId="urn:microsoft.com/office/officeart/2008/layout/NameandTitleOrganizationalChart"/>
    <dgm:cxn modelId="{7A877B6E-461C-4B64-A7CE-AD254D37831F}" type="presParOf" srcId="{A2A48E73-2628-45B1-A7E4-278F2E14C335}" destId="{DCA346A8-C40D-449B-AC7C-90EE0DA576FC}" srcOrd="2" destOrd="0" presId="urn:microsoft.com/office/officeart/2008/layout/NameandTitleOrganizationalChart"/>
    <dgm:cxn modelId="{FD8F950C-86C6-4536-8C32-9EAA73678145}" type="presParOf" srcId="{3370E87B-DDC0-411A-9B1B-508828E32C33}" destId="{6D10CDDE-D19C-47C3-8B46-EAABD1C9AD49}" srcOrd="10" destOrd="0" presId="urn:microsoft.com/office/officeart/2008/layout/NameandTitleOrganizationalChart"/>
    <dgm:cxn modelId="{534E8C0A-6D50-41EB-948C-B90499DD06E4}" type="presParOf" srcId="{3370E87B-DDC0-411A-9B1B-508828E32C33}" destId="{A3C9C251-819A-4C71-B9EE-50B4A2CC2801}" srcOrd="11" destOrd="0" presId="urn:microsoft.com/office/officeart/2008/layout/NameandTitleOrganizationalChart"/>
    <dgm:cxn modelId="{E80B9F68-DEDC-40EA-AEF6-795E1863ADA7}" type="presParOf" srcId="{A3C9C251-819A-4C71-B9EE-50B4A2CC2801}" destId="{CA2F6EF1-A181-48AD-AEE0-EF2BB8A2D052}" srcOrd="0" destOrd="0" presId="urn:microsoft.com/office/officeart/2008/layout/NameandTitleOrganizationalChart"/>
    <dgm:cxn modelId="{BDFADDCA-BCDF-4182-8E99-84C3859E875C}" type="presParOf" srcId="{CA2F6EF1-A181-48AD-AEE0-EF2BB8A2D052}" destId="{1DF17BD7-6941-48AA-B1A2-4B92BDD67A5F}" srcOrd="0" destOrd="0" presId="urn:microsoft.com/office/officeart/2008/layout/NameandTitleOrganizationalChart"/>
    <dgm:cxn modelId="{701E38DD-34E8-4198-A2CE-A5E11C6CB26A}" type="presParOf" srcId="{CA2F6EF1-A181-48AD-AEE0-EF2BB8A2D052}" destId="{435CA18F-0823-4281-BA07-43BD7FEF5613}" srcOrd="1" destOrd="0" presId="urn:microsoft.com/office/officeart/2008/layout/NameandTitleOrganizationalChart"/>
    <dgm:cxn modelId="{3F613471-9405-41BB-8957-168AADE117CF}" type="presParOf" srcId="{CA2F6EF1-A181-48AD-AEE0-EF2BB8A2D052}" destId="{522B1224-D11E-4120-8511-540F355AB1D1}" srcOrd="2" destOrd="0" presId="urn:microsoft.com/office/officeart/2008/layout/NameandTitleOrganizationalChart"/>
    <dgm:cxn modelId="{8776C4A1-4D4E-4E4C-8796-C5483FA6E026}" type="presParOf" srcId="{A3C9C251-819A-4C71-B9EE-50B4A2CC2801}" destId="{67DFD9A4-3BFB-43D3-8998-CBC0EA1FD609}" srcOrd="1" destOrd="0" presId="urn:microsoft.com/office/officeart/2008/layout/NameandTitleOrganizationalChart"/>
    <dgm:cxn modelId="{2B22F064-D0EA-48FC-A23F-3B9F984DA5DC}" type="presParOf" srcId="{A3C9C251-819A-4C71-B9EE-50B4A2CC2801}" destId="{4763AFAA-6370-4F28-87C1-43FB204D172F}" srcOrd="2" destOrd="0" presId="urn:microsoft.com/office/officeart/2008/layout/NameandTitleOrganizationalChart"/>
    <dgm:cxn modelId="{91A8F340-ED90-4FD6-A700-20868971E774}" type="presParOf" srcId="{8DE8E107-1B78-4373-AA95-B9C84BF1816B}" destId="{A9E53669-BC14-4014-BD5C-FF220682C216}" srcOrd="2" destOrd="0" presId="urn:microsoft.com/office/officeart/2008/layout/NameandTitleOrganizationalChart"/>
    <dgm:cxn modelId="{2D3CEFEA-4EBE-4690-B361-C25BE029C0C6}" type="presParOf" srcId="{276A8BE8-4724-4109-9DBA-7E7BC467363F}" destId="{8BE3A960-1C61-42F0-B4A7-A764B64664F8}" srcOrd="2" destOrd="0" presId="urn:microsoft.com/office/officeart/2008/layout/NameandTitleOrganizationalChart"/>
    <dgm:cxn modelId="{8C3BE3BC-6BAB-4C4A-95A4-F1C19A7A7EE4}" type="presParOf" srcId="{276A8BE8-4724-4109-9DBA-7E7BC467363F}" destId="{C81243BF-D86F-4494-AB15-911789EC91BA}" srcOrd="3" destOrd="0" presId="urn:microsoft.com/office/officeart/2008/layout/NameandTitleOrganizationalChart"/>
    <dgm:cxn modelId="{3BE506FA-755D-4351-B9B9-FCDC9BCEB6BD}" type="presParOf" srcId="{C81243BF-D86F-4494-AB15-911789EC91BA}" destId="{B97D8137-3A91-4EDE-991C-256B4431D46F}" srcOrd="0" destOrd="0" presId="urn:microsoft.com/office/officeart/2008/layout/NameandTitleOrganizationalChart"/>
    <dgm:cxn modelId="{8887D861-1FB9-40BE-9B31-0F34F43E3085}" type="presParOf" srcId="{B97D8137-3A91-4EDE-991C-256B4431D46F}" destId="{43573365-DDCF-4B06-8187-DCB80BC9067F}" srcOrd="0" destOrd="0" presId="urn:microsoft.com/office/officeart/2008/layout/NameandTitleOrganizationalChart"/>
    <dgm:cxn modelId="{C91F7031-661D-4FD0-9EBC-2790755EE22F}" type="presParOf" srcId="{B97D8137-3A91-4EDE-991C-256B4431D46F}" destId="{538E358D-1B10-49B2-9BEC-1742DC1201AA}" srcOrd="1" destOrd="0" presId="urn:microsoft.com/office/officeart/2008/layout/NameandTitleOrganizationalChart"/>
    <dgm:cxn modelId="{5E19EC3D-3F81-47DA-BAB9-21411FB3D04C}" type="presParOf" srcId="{B97D8137-3A91-4EDE-991C-256B4431D46F}" destId="{781F5D93-A6C2-4E13-B0EB-4963F9B4FFCB}" srcOrd="2" destOrd="0" presId="urn:microsoft.com/office/officeart/2008/layout/NameandTitleOrganizationalChart"/>
    <dgm:cxn modelId="{BE7DC865-D74A-48CC-A3FE-1DEDACC0326C}" type="presParOf" srcId="{C81243BF-D86F-4494-AB15-911789EC91BA}" destId="{EF5F9A0B-E4FA-491F-9EB4-6817D62D22E2}" srcOrd="1" destOrd="0" presId="urn:microsoft.com/office/officeart/2008/layout/NameandTitleOrganizationalChart"/>
    <dgm:cxn modelId="{83C56BCC-E228-45DC-AB47-5D157ABDE2D0}" type="presParOf" srcId="{C81243BF-D86F-4494-AB15-911789EC91BA}" destId="{051A7746-07D9-4E4D-8B70-05984ED0627D}" srcOrd="2" destOrd="0" presId="urn:microsoft.com/office/officeart/2008/layout/NameandTitleOrganizationalChart"/>
    <dgm:cxn modelId="{6944F8F5-8E05-4937-A562-5481CCAF3B7C}" type="presParOf" srcId="{276A8BE8-4724-4109-9DBA-7E7BC467363F}" destId="{7A646971-43E4-431B-9BD9-0B2889277B45}" srcOrd="4" destOrd="0" presId="urn:microsoft.com/office/officeart/2008/layout/NameandTitleOrganizationalChart"/>
    <dgm:cxn modelId="{2915503C-F6FF-48A2-8C44-4459BE64E8B4}" type="presParOf" srcId="{276A8BE8-4724-4109-9DBA-7E7BC467363F}" destId="{3F633ABD-E4DB-4D34-AC4B-97F6E5B51D1E}" srcOrd="5" destOrd="0" presId="urn:microsoft.com/office/officeart/2008/layout/NameandTitleOrganizationalChart"/>
    <dgm:cxn modelId="{0980B689-E88C-42CA-8457-FBC01A007207}" type="presParOf" srcId="{3F633ABD-E4DB-4D34-AC4B-97F6E5B51D1E}" destId="{D23C44C2-BB1D-44F7-9548-D3AF8B0ECE81}" srcOrd="0" destOrd="0" presId="urn:microsoft.com/office/officeart/2008/layout/NameandTitleOrganizationalChart"/>
    <dgm:cxn modelId="{5853100A-EFB9-4735-82C0-7A22C22000AB}" type="presParOf" srcId="{D23C44C2-BB1D-44F7-9548-D3AF8B0ECE81}" destId="{E675ABB5-DE0C-4012-BED1-2B0B7E643E7E}" srcOrd="0" destOrd="0" presId="urn:microsoft.com/office/officeart/2008/layout/NameandTitleOrganizationalChart"/>
    <dgm:cxn modelId="{B099BF73-9C24-4C25-9699-92CE8F82051E}" type="presParOf" srcId="{D23C44C2-BB1D-44F7-9548-D3AF8B0ECE81}" destId="{106B4024-1198-49B7-A8CA-2AC354CC679C}" srcOrd="1" destOrd="0" presId="urn:microsoft.com/office/officeart/2008/layout/NameandTitleOrganizationalChart"/>
    <dgm:cxn modelId="{5CE9D756-7752-4A8B-9613-E826CD7CC114}" type="presParOf" srcId="{D23C44C2-BB1D-44F7-9548-D3AF8B0ECE81}" destId="{09F9661F-B9F7-44EF-9208-A743409BD7A7}" srcOrd="2" destOrd="0" presId="urn:microsoft.com/office/officeart/2008/layout/NameandTitleOrganizationalChart"/>
    <dgm:cxn modelId="{C8D6343A-5083-493A-874A-721C2AF1A382}" type="presParOf" srcId="{3F633ABD-E4DB-4D34-AC4B-97F6E5B51D1E}" destId="{6D86153A-DD26-49CD-A9A8-932894F87558}" srcOrd="1" destOrd="0" presId="urn:microsoft.com/office/officeart/2008/layout/NameandTitleOrganizationalChart"/>
    <dgm:cxn modelId="{5B25871D-EEF3-459C-A722-DDD98F0FE3D7}" type="presParOf" srcId="{3F633ABD-E4DB-4D34-AC4B-97F6E5B51D1E}" destId="{D442DDAE-091F-4C39-9E36-25DB76122CDD}" srcOrd="2" destOrd="0" presId="urn:microsoft.com/office/officeart/2008/layout/NameandTitleOrganizationalChart"/>
    <dgm:cxn modelId="{2A7381F3-A449-4D7C-94FF-8BD0643BA937}" type="presParOf" srcId="{276A8BE8-4724-4109-9DBA-7E7BC467363F}" destId="{42DBA15C-8F5D-4CCF-9D7F-EB424EF585F3}" srcOrd="6" destOrd="0" presId="urn:microsoft.com/office/officeart/2008/layout/NameandTitleOrganizationalChart"/>
    <dgm:cxn modelId="{95DDC4D9-BDE2-4B3A-973E-29FA361123AF}" type="presParOf" srcId="{276A8BE8-4724-4109-9DBA-7E7BC467363F}" destId="{58180611-3157-4209-9AC8-B0ACB65A1C91}" srcOrd="7" destOrd="0" presId="urn:microsoft.com/office/officeart/2008/layout/NameandTitleOrganizationalChart"/>
    <dgm:cxn modelId="{3D7DA72F-4975-4609-9674-53FA7D2D30D8}" type="presParOf" srcId="{58180611-3157-4209-9AC8-B0ACB65A1C91}" destId="{59BB64E3-6724-4803-887F-73D936A3E289}" srcOrd="0" destOrd="0" presId="urn:microsoft.com/office/officeart/2008/layout/NameandTitleOrganizationalChart"/>
    <dgm:cxn modelId="{843FFAE5-72BE-4988-9530-7EBDC1AF8527}" type="presParOf" srcId="{59BB64E3-6724-4803-887F-73D936A3E289}" destId="{192A8738-A612-4DBD-8B50-59CEC02F5157}" srcOrd="0" destOrd="0" presId="urn:microsoft.com/office/officeart/2008/layout/NameandTitleOrganizationalChart"/>
    <dgm:cxn modelId="{127D5065-AD0B-4D5D-A5D2-60BBBD918E88}" type="presParOf" srcId="{59BB64E3-6724-4803-887F-73D936A3E289}" destId="{F5E1FD8A-7BCA-470F-AF79-44238FECF05B}" srcOrd="1" destOrd="0" presId="urn:microsoft.com/office/officeart/2008/layout/NameandTitleOrganizationalChart"/>
    <dgm:cxn modelId="{B68E7CC0-F86B-4F75-B59C-D0AE84874FBF}" type="presParOf" srcId="{59BB64E3-6724-4803-887F-73D936A3E289}" destId="{B09829C2-5A11-41C0-A81E-9C50B9FC627C}" srcOrd="2" destOrd="0" presId="urn:microsoft.com/office/officeart/2008/layout/NameandTitleOrganizationalChart"/>
    <dgm:cxn modelId="{E5BCDF43-84A3-4D7D-98BB-156E9DA092FB}" type="presParOf" srcId="{58180611-3157-4209-9AC8-B0ACB65A1C91}" destId="{B94380E3-4C30-44A8-8024-58AEDF1BD472}" srcOrd="1" destOrd="0" presId="urn:microsoft.com/office/officeart/2008/layout/NameandTitleOrganizationalChart"/>
    <dgm:cxn modelId="{665BA8AE-1CB5-4ACB-A3F1-4A049BBC66AD}" type="presParOf" srcId="{58180611-3157-4209-9AC8-B0ACB65A1C91}" destId="{00CBC799-B7B5-4FE7-8AAD-B93B72310226}" srcOrd="2" destOrd="0" presId="urn:microsoft.com/office/officeart/2008/layout/NameandTitleOrganizationalChart"/>
    <dgm:cxn modelId="{50603B3E-1E43-473E-9A94-79DA3B26836D}" type="presParOf" srcId="{276A8BE8-4724-4109-9DBA-7E7BC467363F}" destId="{1B894428-5ECD-4267-98CB-974A56018610}" srcOrd="8" destOrd="0" presId="urn:microsoft.com/office/officeart/2008/layout/NameandTitleOrganizationalChart"/>
    <dgm:cxn modelId="{F4C4395E-1EA1-456D-9A03-70AB4B2C38AE}" type="presParOf" srcId="{276A8BE8-4724-4109-9DBA-7E7BC467363F}" destId="{70471F46-0BC5-485A-9CBF-C75FFDA04BE1}" srcOrd="9" destOrd="0" presId="urn:microsoft.com/office/officeart/2008/layout/NameandTitleOrganizationalChart"/>
    <dgm:cxn modelId="{D9F66FD5-32F3-4584-AF03-5BC82054AD72}" type="presParOf" srcId="{70471F46-0BC5-485A-9CBF-C75FFDA04BE1}" destId="{295A0721-F691-4224-A015-B7D7650BE792}" srcOrd="0" destOrd="0" presId="urn:microsoft.com/office/officeart/2008/layout/NameandTitleOrganizationalChart"/>
    <dgm:cxn modelId="{8135EE11-5A4C-40A9-BDCB-85D6DF0D589A}" type="presParOf" srcId="{295A0721-F691-4224-A015-B7D7650BE792}" destId="{D9510CE6-812C-41D4-A83B-A888D066E2E8}" srcOrd="0" destOrd="0" presId="urn:microsoft.com/office/officeart/2008/layout/NameandTitleOrganizationalChart"/>
    <dgm:cxn modelId="{66BBBCE7-86F3-47FB-B39B-B1C4A2D1D7DB}" type="presParOf" srcId="{295A0721-F691-4224-A015-B7D7650BE792}" destId="{10E3755F-E1DD-4D44-AA47-478B5AFD3CA9}" srcOrd="1" destOrd="0" presId="urn:microsoft.com/office/officeart/2008/layout/NameandTitleOrganizationalChart"/>
    <dgm:cxn modelId="{843A5731-24E9-42E6-93E4-0375372D825C}" type="presParOf" srcId="{295A0721-F691-4224-A015-B7D7650BE792}" destId="{62CF3AF4-AC11-4F74-B142-A685E0C95E98}" srcOrd="2" destOrd="0" presId="urn:microsoft.com/office/officeart/2008/layout/NameandTitleOrganizationalChart"/>
    <dgm:cxn modelId="{5FFE8418-7BD3-4846-AD76-234C0FB0AE64}" type="presParOf" srcId="{70471F46-0BC5-485A-9CBF-C75FFDA04BE1}" destId="{339D727C-4B8E-4364-BFA4-545DD6F25315}" srcOrd="1" destOrd="0" presId="urn:microsoft.com/office/officeart/2008/layout/NameandTitleOrganizationalChart"/>
    <dgm:cxn modelId="{092D8DD3-8E88-44A9-B836-775BD964E602}" type="presParOf" srcId="{339D727C-4B8E-4364-BFA4-545DD6F25315}" destId="{9AABC8E0-BC80-4400-AC69-C8AEFF658372}" srcOrd="0" destOrd="0" presId="urn:microsoft.com/office/officeart/2008/layout/NameandTitleOrganizationalChart"/>
    <dgm:cxn modelId="{C4A6CADF-D067-4698-8645-C4BB8FE7DB93}" type="presParOf" srcId="{339D727C-4B8E-4364-BFA4-545DD6F25315}" destId="{CE471F64-1242-4883-961F-C7B2218D21E0}" srcOrd="1" destOrd="0" presId="urn:microsoft.com/office/officeart/2008/layout/NameandTitleOrganizationalChart"/>
    <dgm:cxn modelId="{7D772662-00B7-4979-8E7A-81F5D629384F}" type="presParOf" srcId="{CE471F64-1242-4883-961F-C7B2218D21E0}" destId="{C82E656B-284A-4856-B853-395FB48934B2}" srcOrd="0" destOrd="0" presId="urn:microsoft.com/office/officeart/2008/layout/NameandTitleOrganizationalChart"/>
    <dgm:cxn modelId="{1DA9F29B-27D7-4CBD-8134-1F21923A0720}" type="presParOf" srcId="{C82E656B-284A-4856-B853-395FB48934B2}" destId="{0A405969-1EED-49CF-9DE7-53E52C45E4AC}" srcOrd="0" destOrd="0" presId="urn:microsoft.com/office/officeart/2008/layout/NameandTitleOrganizationalChart"/>
    <dgm:cxn modelId="{60A2288D-2982-4104-84C9-08DAA1BBD6DA}" type="presParOf" srcId="{C82E656B-284A-4856-B853-395FB48934B2}" destId="{BA2576A1-4735-4363-A02A-64E68858729E}" srcOrd="1" destOrd="0" presId="urn:microsoft.com/office/officeart/2008/layout/NameandTitleOrganizationalChart"/>
    <dgm:cxn modelId="{A48360A1-3652-4C31-8EDD-5148166B7A34}" type="presParOf" srcId="{C82E656B-284A-4856-B853-395FB48934B2}" destId="{86BF30C0-80C7-4BA3-9435-E5A7376E5D3F}" srcOrd="2" destOrd="0" presId="urn:microsoft.com/office/officeart/2008/layout/NameandTitleOrganizationalChart"/>
    <dgm:cxn modelId="{CB7035EF-902F-4A5A-8DBC-EC9933E05858}" type="presParOf" srcId="{CE471F64-1242-4883-961F-C7B2218D21E0}" destId="{310DF392-B5EF-4573-941B-C7AFF54E98E0}" srcOrd="1" destOrd="0" presId="urn:microsoft.com/office/officeart/2008/layout/NameandTitleOrganizationalChart"/>
    <dgm:cxn modelId="{61C8AE16-45B2-4328-A0F3-766C866B01BE}" type="presParOf" srcId="{CE471F64-1242-4883-961F-C7B2218D21E0}" destId="{B694DC9B-4647-4941-805C-EB7E678261DE}" srcOrd="2" destOrd="0" presId="urn:microsoft.com/office/officeart/2008/layout/NameandTitleOrganizationalChart"/>
    <dgm:cxn modelId="{450D0C91-5FB6-4B20-8B1C-9F0EE0F92BDC}" type="presParOf" srcId="{70471F46-0BC5-485A-9CBF-C75FFDA04BE1}" destId="{B5FC9880-A565-4DB3-B604-47E2E0E21E9A}" srcOrd="2" destOrd="0" presId="urn:microsoft.com/office/officeart/2008/layout/NameandTitleOrganizationalChart"/>
    <dgm:cxn modelId="{FF44E192-9C89-4C16-9D47-CAAF761BB365}" type="presParOf" srcId="{C99E5C5B-0164-4707-A23D-C3BE79ED52B2}" destId="{571D9E28-8BC5-4E56-A17D-AF15DFC44E34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8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AABC8E0-BC80-4400-AC69-C8AEFF658372}">
      <dsp:nvSpPr>
        <dsp:cNvPr id="0" name=""/>
        <dsp:cNvSpPr/>
      </dsp:nvSpPr>
      <dsp:spPr>
        <a:xfrm>
          <a:off x="9702901" y="1831445"/>
          <a:ext cx="91440" cy="31300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3001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894428-5ECD-4267-98CB-974A56018610}">
      <dsp:nvSpPr>
        <dsp:cNvPr id="0" name=""/>
        <dsp:cNvSpPr/>
      </dsp:nvSpPr>
      <dsp:spPr>
        <a:xfrm>
          <a:off x="6941122" y="976711"/>
          <a:ext cx="2807499" cy="31300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596"/>
              </a:lnTo>
              <a:lnTo>
                <a:pt x="2807499" y="186596"/>
              </a:lnTo>
              <a:lnTo>
                <a:pt x="2807499" y="313001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DBA15C-8F5D-4CCF-9D7F-EB424EF585F3}">
      <dsp:nvSpPr>
        <dsp:cNvPr id="0" name=""/>
        <dsp:cNvSpPr/>
      </dsp:nvSpPr>
      <dsp:spPr>
        <a:xfrm>
          <a:off x="6941122" y="976711"/>
          <a:ext cx="1403749" cy="31300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596"/>
              </a:lnTo>
              <a:lnTo>
                <a:pt x="1403749" y="186596"/>
              </a:lnTo>
              <a:lnTo>
                <a:pt x="1403749" y="313001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A646971-43E4-431B-9BD9-0B2889277B45}">
      <dsp:nvSpPr>
        <dsp:cNvPr id="0" name=""/>
        <dsp:cNvSpPr/>
      </dsp:nvSpPr>
      <dsp:spPr>
        <a:xfrm>
          <a:off x="6895402" y="976711"/>
          <a:ext cx="91440" cy="31300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3001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BE3A960-1C61-42F0-B4A7-A764B64664F8}">
      <dsp:nvSpPr>
        <dsp:cNvPr id="0" name=""/>
        <dsp:cNvSpPr/>
      </dsp:nvSpPr>
      <dsp:spPr>
        <a:xfrm>
          <a:off x="5537372" y="976711"/>
          <a:ext cx="1403749" cy="313001"/>
        </a:xfrm>
        <a:custGeom>
          <a:avLst/>
          <a:gdLst/>
          <a:ahLst/>
          <a:cxnLst/>
          <a:rect l="0" t="0" r="0" b="0"/>
          <a:pathLst>
            <a:path>
              <a:moveTo>
                <a:pt x="1403749" y="0"/>
              </a:moveTo>
              <a:lnTo>
                <a:pt x="1403749" y="186596"/>
              </a:lnTo>
              <a:lnTo>
                <a:pt x="0" y="186596"/>
              </a:lnTo>
              <a:lnTo>
                <a:pt x="0" y="313001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D10CDDE-D19C-47C3-8B46-EAABD1C9AD49}">
      <dsp:nvSpPr>
        <dsp:cNvPr id="0" name=""/>
        <dsp:cNvSpPr/>
      </dsp:nvSpPr>
      <dsp:spPr>
        <a:xfrm>
          <a:off x="4133622" y="1831445"/>
          <a:ext cx="3509374" cy="31300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596"/>
              </a:lnTo>
              <a:lnTo>
                <a:pt x="3509374" y="186596"/>
              </a:lnTo>
              <a:lnTo>
                <a:pt x="3509374" y="313001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6F0063-AD98-4E20-ABFA-6ADDAC99CB9C}">
      <dsp:nvSpPr>
        <dsp:cNvPr id="0" name=""/>
        <dsp:cNvSpPr/>
      </dsp:nvSpPr>
      <dsp:spPr>
        <a:xfrm>
          <a:off x="4133622" y="1831445"/>
          <a:ext cx="2105624" cy="31300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596"/>
              </a:lnTo>
              <a:lnTo>
                <a:pt x="2105624" y="186596"/>
              </a:lnTo>
              <a:lnTo>
                <a:pt x="2105624" y="313001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AF9B49-CB6F-4E9C-9E43-280C093F38EC}">
      <dsp:nvSpPr>
        <dsp:cNvPr id="0" name=""/>
        <dsp:cNvSpPr/>
      </dsp:nvSpPr>
      <dsp:spPr>
        <a:xfrm>
          <a:off x="4133622" y="1831445"/>
          <a:ext cx="701874" cy="31300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596"/>
              </a:lnTo>
              <a:lnTo>
                <a:pt x="701874" y="186596"/>
              </a:lnTo>
              <a:lnTo>
                <a:pt x="701874" y="313001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51BF18-B4E3-4DA8-A79C-8D5989F4228C}">
      <dsp:nvSpPr>
        <dsp:cNvPr id="0" name=""/>
        <dsp:cNvSpPr/>
      </dsp:nvSpPr>
      <dsp:spPr>
        <a:xfrm>
          <a:off x="3431747" y="1831445"/>
          <a:ext cx="701874" cy="313001"/>
        </a:xfrm>
        <a:custGeom>
          <a:avLst/>
          <a:gdLst/>
          <a:ahLst/>
          <a:cxnLst/>
          <a:rect l="0" t="0" r="0" b="0"/>
          <a:pathLst>
            <a:path>
              <a:moveTo>
                <a:pt x="701874" y="0"/>
              </a:moveTo>
              <a:lnTo>
                <a:pt x="701874" y="186596"/>
              </a:lnTo>
              <a:lnTo>
                <a:pt x="0" y="186596"/>
              </a:lnTo>
              <a:lnTo>
                <a:pt x="0" y="313001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C7AC82F-552B-46C3-A2C3-EA57CBC79798}">
      <dsp:nvSpPr>
        <dsp:cNvPr id="0" name=""/>
        <dsp:cNvSpPr/>
      </dsp:nvSpPr>
      <dsp:spPr>
        <a:xfrm>
          <a:off x="2027998" y="1831445"/>
          <a:ext cx="2105624" cy="313001"/>
        </a:xfrm>
        <a:custGeom>
          <a:avLst/>
          <a:gdLst/>
          <a:ahLst/>
          <a:cxnLst/>
          <a:rect l="0" t="0" r="0" b="0"/>
          <a:pathLst>
            <a:path>
              <a:moveTo>
                <a:pt x="2105624" y="0"/>
              </a:moveTo>
              <a:lnTo>
                <a:pt x="2105624" y="186596"/>
              </a:lnTo>
              <a:lnTo>
                <a:pt x="0" y="186596"/>
              </a:lnTo>
              <a:lnTo>
                <a:pt x="0" y="313001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E54EA3-C064-417F-AF1E-5F406829F937}">
      <dsp:nvSpPr>
        <dsp:cNvPr id="0" name=""/>
        <dsp:cNvSpPr/>
      </dsp:nvSpPr>
      <dsp:spPr>
        <a:xfrm>
          <a:off x="624248" y="1831445"/>
          <a:ext cx="3509374" cy="313001"/>
        </a:xfrm>
        <a:custGeom>
          <a:avLst/>
          <a:gdLst/>
          <a:ahLst/>
          <a:cxnLst/>
          <a:rect l="0" t="0" r="0" b="0"/>
          <a:pathLst>
            <a:path>
              <a:moveTo>
                <a:pt x="3509374" y="0"/>
              </a:moveTo>
              <a:lnTo>
                <a:pt x="3509374" y="186596"/>
              </a:lnTo>
              <a:lnTo>
                <a:pt x="0" y="186596"/>
              </a:lnTo>
              <a:lnTo>
                <a:pt x="0" y="313001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90D380A-7327-4633-AF94-1037286F83B5}">
      <dsp:nvSpPr>
        <dsp:cNvPr id="0" name=""/>
        <dsp:cNvSpPr/>
      </dsp:nvSpPr>
      <dsp:spPr>
        <a:xfrm>
          <a:off x="4133622" y="976711"/>
          <a:ext cx="2807499" cy="313001"/>
        </a:xfrm>
        <a:custGeom>
          <a:avLst/>
          <a:gdLst/>
          <a:ahLst/>
          <a:cxnLst/>
          <a:rect l="0" t="0" r="0" b="0"/>
          <a:pathLst>
            <a:path>
              <a:moveTo>
                <a:pt x="2807499" y="0"/>
              </a:moveTo>
              <a:lnTo>
                <a:pt x="2807499" y="186596"/>
              </a:lnTo>
              <a:lnTo>
                <a:pt x="0" y="186596"/>
              </a:lnTo>
              <a:lnTo>
                <a:pt x="0" y="313001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A725B1A-9698-4682-93D7-23194A9F8A94}">
      <dsp:nvSpPr>
        <dsp:cNvPr id="0" name=""/>
        <dsp:cNvSpPr/>
      </dsp:nvSpPr>
      <dsp:spPr>
        <a:xfrm>
          <a:off x="6417967" y="434978"/>
          <a:ext cx="1046310" cy="541732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GERENCIA GENERAL</a:t>
          </a:r>
        </a:p>
      </dsp:txBody>
      <dsp:txXfrm>
        <a:off x="6417967" y="434978"/>
        <a:ext cx="1046310" cy="541732"/>
      </dsp:txXfrm>
    </dsp:sp>
    <dsp:sp modelId="{EE76D376-B4A0-4A1C-BD78-436E6A5DCDA6}">
      <dsp:nvSpPr>
        <dsp:cNvPr id="0" name=""/>
        <dsp:cNvSpPr/>
      </dsp:nvSpPr>
      <dsp:spPr>
        <a:xfrm>
          <a:off x="6627229" y="856326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GROVER</a:t>
          </a:r>
        </a:p>
      </dsp:txBody>
      <dsp:txXfrm>
        <a:off x="6627229" y="856326"/>
        <a:ext cx="941679" cy="180577"/>
      </dsp:txXfrm>
    </dsp:sp>
    <dsp:sp modelId="{82D10737-9B86-49AC-AA17-C20782770FC2}">
      <dsp:nvSpPr>
        <dsp:cNvPr id="0" name=""/>
        <dsp:cNvSpPr/>
      </dsp:nvSpPr>
      <dsp:spPr>
        <a:xfrm>
          <a:off x="3610467" y="1289712"/>
          <a:ext cx="1046310" cy="541732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G. PRODUCCION</a:t>
          </a:r>
        </a:p>
      </dsp:txBody>
      <dsp:txXfrm>
        <a:off x="3610467" y="1289712"/>
        <a:ext cx="1046310" cy="541732"/>
      </dsp:txXfrm>
    </dsp:sp>
    <dsp:sp modelId="{665E9847-9962-4B57-B0BF-BF3848AC32B8}">
      <dsp:nvSpPr>
        <dsp:cNvPr id="0" name=""/>
        <dsp:cNvSpPr/>
      </dsp:nvSpPr>
      <dsp:spPr>
        <a:xfrm>
          <a:off x="3819729" y="1711060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GROVER</a:t>
          </a:r>
        </a:p>
      </dsp:txBody>
      <dsp:txXfrm>
        <a:off x="3819729" y="1711060"/>
        <a:ext cx="941679" cy="180577"/>
      </dsp:txXfrm>
    </dsp:sp>
    <dsp:sp modelId="{39FDAAB6-DFB9-49F1-B02E-A1A0C3493D66}">
      <dsp:nvSpPr>
        <dsp:cNvPr id="0" name=""/>
        <dsp:cNvSpPr/>
      </dsp:nvSpPr>
      <dsp:spPr>
        <a:xfrm>
          <a:off x="101093" y="2144446"/>
          <a:ext cx="1046310" cy="541732"/>
        </a:xfrm>
        <a:prstGeom prst="rect">
          <a:avLst/>
        </a:prstGeom>
        <a:solidFill>
          <a:schemeClr val="accent4">
            <a:hueOff val="-405888"/>
            <a:satOff val="2445"/>
            <a:lumOff val="196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CORTE</a:t>
          </a:r>
        </a:p>
      </dsp:txBody>
      <dsp:txXfrm>
        <a:off x="101093" y="2144446"/>
        <a:ext cx="1046310" cy="541732"/>
      </dsp:txXfrm>
    </dsp:sp>
    <dsp:sp modelId="{226F3003-DA6A-4D5B-B85B-2F80C2DEA040}">
      <dsp:nvSpPr>
        <dsp:cNvPr id="0" name=""/>
        <dsp:cNvSpPr/>
      </dsp:nvSpPr>
      <dsp:spPr>
        <a:xfrm>
          <a:off x="310355" y="2565794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405888"/>
              <a:satOff val="2445"/>
              <a:lumOff val="196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GROVER</a:t>
          </a:r>
        </a:p>
      </dsp:txBody>
      <dsp:txXfrm>
        <a:off x="310355" y="2565794"/>
        <a:ext cx="941679" cy="180577"/>
      </dsp:txXfrm>
    </dsp:sp>
    <dsp:sp modelId="{60C60B31-49CB-4C30-BBC8-2ACB90D2CC2B}">
      <dsp:nvSpPr>
        <dsp:cNvPr id="0" name=""/>
        <dsp:cNvSpPr/>
      </dsp:nvSpPr>
      <dsp:spPr>
        <a:xfrm>
          <a:off x="1504842" y="2144446"/>
          <a:ext cx="1046310" cy="541732"/>
        </a:xfrm>
        <a:prstGeom prst="rect">
          <a:avLst/>
        </a:prstGeom>
        <a:solidFill>
          <a:schemeClr val="accent4">
            <a:hueOff val="-811776"/>
            <a:satOff val="4891"/>
            <a:lumOff val="392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ACABADO</a:t>
          </a:r>
        </a:p>
      </dsp:txBody>
      <dsp:txXfrm>
        <a:off x="1504842" y="2144446"/>
        <a:ext cx="1046310" cy="541732"/>
      </dsp:txXfrm>
    </dsp:sp>
    <dsp:sp modelId="{F431DB23-37C2-4AA8-B155-10F86710ED77}">
      <dsp:nvSpPr>
        <dsp:cNvPr id="0" name=""/>
        <dsp:cNvSpPr/>
      </dsp:nvSpPr>
      <dsp:spPr>
        <a:xfrm>
          <a:off x="1714104" y="2565794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811776"/>
              <a:satOff val="4891"/>
              <a:lumOff val="392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SERGIO</a:t>
          </a:r>
        </a:p>
      </dsp:txBody>
      <dsp:txXfrm>
        <a:off x="1714104" y="2565794"/>
        <a:ext cx="941679" cy="180577"/>
      </dsp:txXfrm>
    </dsp:sp>
    <dsp:sp modelId="{36EA2E0C-BA9A-47E2-A6A9-4EE082336B2D}">
      <dsp:nvSpPr>
        <dsp:cNvPr id="0" name=""/>
        <dsp:cNvSpPr/>
      </dsp:nvSpPr>
      <dsp:spPr>
        <a:xfrm>
          <a:off x="2908592" y="2144446"/>
          <a:ext cx="1046310" cy="541732"/>
        </a:xfrm>
        <a:prstGeom prst="rect">
          <a:avLst/>
        </a:prstGeom>
        <a:solidFill>
          <a:schemeClr val="accent4">
            <a:hueOff val="-1217664"/>
            <a:satOff val="7336"/>
            <a:lumOff val="588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EMPAQUETADO</a:t>
          </a:r>
        </a:p>
      </dsp:txBody>
      <dsp:txXfrm>
        <a:off x="2908592" y="2144446"/>
        <a:ext cx="1046310" cy="541732"/>
      </dsp:txXfrm>
    </dsp:sp>
    <dsp:sp modelId="{4763BCEB-442B-4784-9BBF-FA5329A5E2B0}">
      <dsp:nvSpPr>
        <dsp:cNvPr id="0" name=""/>
        <dsp:cNvSpPr/>
      </dsp:nvSpPr>
      <dsp:spPr>
        <a:xfrm>
          <a:off x="3117854" y="2565794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1217664"/>
              <a:satOff val="7336"/>
              <a:lumOff val="588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SERGIO</a:t>
          </a:r>
        </a:p>
      </dsp:txBody>
      <dsp:txXfrm>
        <a:off x="3117854" y="2565794"/>
        <a:ext cx="941679" cy="180577"/>
      </dsp:txXfrm>
    </dsp:sp>
    <dsp:sp modelId="{EC3785DC-5BA1-456A-9AB3-DE4382282314}">
      <dsp:nvSpPr>
        <dsp:cNvPr id="0" name=""/>
        <dsp:cNvSpPr/>
      </dsp:nvSpPr>
      <dsp:spPr>
        <a:xfrm>
          <a:off x="4312342" y="2144446"/>
          <a:ext cx="1046310" cy="541732"/>
        </a:xfrm>
        <a:prstGeom prst="rect">
          <a:avLst/>
        </a:prstGeom>
        <a:solidFill>
          <a:schemeClr val="accent4">
            <a:hueOff val="-1623553"/>
            <a:satOff val="9781"/>
            <a:lumOff val="784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DISEÑO</a:t>
          </a:r>
        </a:p>
      </dsp:txBody>
      <dsp:txXfrm>
        <a:off x="4312342" y="2144446"/>
        <a:ext cx="1046310" cy="541732"/>
      </dsp:txXfrm>
    </dsp:sp>
    <dsp:sp modelId="{7DC36E8F-EE6F-4BFF-85EB-0D73B0A8130F}">
      <dsp:nvSpPr>
        <dsp:cNvPr id="0" name=""/>
        <dsp:cNvSpPr/>
      </dsp:nvSpPr>
      <dsp:spPr>
        <a:xfrm>
          <a:off x="4521604" y="2565794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1623553"/>
              <a:satOff val="9781"/>
              <a:lumOff val="784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PAVEL</a:t>
          </a:r>
        </a:p>
      </dsp:txBody>
      <dsp:txXfrm>
        <a:off x="4521604" y="2565794"/>
        <a:ext cx="941679" cy="180577"/>
      </dsp:txXfrm>
    </dsp:sp>
    <dsp:sp modelId="{F606D179-22EE-4B61-A311-6A135F257D1F}">
      <dsp:nvSpPr>
        <dsp:cNvPr id="0" name=""/>
        <dsp:cNvSpPr/>
      </dsp:nvSpPr>
      <dsp:spPr>
        <a:xfrm>
          <a:off x="5716092" y="2144446"/>
          <a:ext cx="1046310" cy="541732"/>
        </a:xfrm>
        <a:prstGeom prst="rect">
          <a:avLst/>
        </a:prstGeom>
        <a:solidFill>
          <a:schemeClr val="accent4">
            <a:hueOff val="-2029441"/>
            <a:satOff val="12227"/>
            <a:lumOff val="98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CALIDAD</a:t>
          </a:r>
        </a:p>
      </dsp:txBody>
      <dsp:txXfrm>
        <a:off x="5716092" y="2144446"/>
        <a:ext cx="1046310" cy="541732"/>
      </dsp:txXfrm>
    </dsp:sp>
    <dsp:sp modelId="{3783B038-514B-46AD-8A19-194D9F0B7A09}">
      <dsp:nvSpPr>
        <dsp:cNvPr id="0" name=""/>
        <dsp:cNvSpPr/>
      </dsp:nvSpPr>
      <dsp:spPr>
        <a:xfrm>
          <a:off x="5925354" y="2565794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2029441"/>
              <a:satOff val="12227"/>
              <a:lumOff val="98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YESICA</a:t>
          </a:r>
        </a:p>
      </dsp:txBody>
      <dsp:txXfrm>
        <a:off x="5925354" y="2565794"/>
        <a:ext cx="941679" cy="180577"/>
      </dsp:txXfrm>
    </dsp:sp>
    <dsp:sp modelId="{1DF17BD7-6941-48AA-B1A2-4B92BDD67A5F}">
      <dsp:nvSpPr>
        <dsp:cNvPr id="0" name=""/>
        <dsp:cNvSpPr/>
      </dsp:nvSpPr>
      <dsp:spPr>
        <a:xfrm>
          <a:off x="7119842" y="2144446"/>
          <a:ext cx="1046310" cy="541732"/>
        </a:xfrm>
        <a:prstGeom prst="rect">
          <a:avLst/>
        </a:prstGeom>
        <a:solidFill>
          <a:schemeClr val="accent4">
            <a:hueOff val="-2435329"/>
            <a:satOff val="14672"/>
            <a:lumOff val="1176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LOGISTICA</a:t>
          </a:r>
        </a:p>
      </dsp:txBody>
      <dsp:txXfrm>
        <a:off x="7119842" y="2144446"/>
        <a:ext cx="1046310" cy="541732"/>
      </dsp:txXfrm>
    </dsp:sp>
    <dsp:sp modelId="{435CA18F-0823-4281-BA07-43BD7FEF5613}">
      <dsp:nvSpPr>
        <dsp:cNvPr id="0" name=""/>
        <dsp:cNvSpPr/>
      </dsp:nvSpPr>
      <dsp:spPr>
        <a:xfrm>
          <a:off x="7329104" y="2565794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2435329"/>
              <a:satOff val="14672"/>
              <a:lumOff val="1176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6350" rIns="25400" bIns="6350" numCol="1" spcCol="1270" anchor="ctr" anchorCtr="0">
          <a:noAutofit/>
        </a:bodyPr>
        <a:lstStyle/>
        <a:p>
          <a:pPr marL="0" lvl="0" indent="0" algn="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000" kern="1200"/>
            <a:t>GROVER Y PAVEL</a:t>
          </a:r>
        </a:p>
      </dsp:txBody>
      <dsp:txXfrm>
        <a:off x="7329104" y="2565794"/>
        <a:ext cx="941679" cy="180577"/>
      </dsp:txXfrm>
    </dsp:sp>
    <dsp:sp modelId="{43573365-DDCF-4B06-8187-DCB80BC9067F}">
      <dsp:nvSpPr>
        <dsp:cNvPr id="0" name=""/>
        <dsp:cNvSpPr/>
      </dsp:nvSpPr>
      <dsp:spPr>
        <a:xfrm>
          <a:off x="5014217" y="1289712"/>
          <a:ext cx="1046310" cy="541732"/>
        </a:xfrm>
        <a:prstGeom prst="rect">
          <a:avLst/>
        </a:prstGeom>
        <a:solidFill>
          <a:schemeClr val="accent4">
            <a:hueOff val="-2841217"/>
            <a:satOff val="17118"/>
            <a:lumOff val="1372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G. MARKETING</a:t>
          </a:r>
        </a:p>
      </dsp:txBody>
      <dsp:txXfrm>
        <a:off x="5014217" y="1289712"/>
        <a:ext cx="1046310" cy="541732"/>
      </dsp:txXfrm>
    </dsp:sp>
    <dsp:sp modelId="{538E358D-1B10-49B2-9BEC-1742DC1201AA}">
      <dsp:nvSpPr>
        <dsp:cNvPr id="0" name=""/>
        <dsp:cNvSpPr/>
      </dsp:nvSpPr>
      <dsp:spPr>
        <a:xfrm>
          <a:off x="5223479" y="1711060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2841217"/>
              <a:satOff val="17118"/>
              <a:lumOff val="1372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PAVEL</a:t>
          </a:r>
        </a:p>
      </dsp:txBody>
      <dsp:txXfrm>
        <a:off x="5223479" y="1711060"/>
        <a:ext cx="941679" cy="180577"/>
      </dsp:txXfrm>
    </dsp:sp>
    <dsp:sp modelId="{E675ABB5-DE0C-4012-BED1-2B0B7E643E7E}">
      <dsp:nvSpPr>
        <dsp:cNvPr id="0" name=""/>
        <dsp:cNvSpPr/>
      </dsp:nvSpPr>
      <dsp:spPr>
        <a:xfrm>
          <a:off x="6417967" y="1289712"/>
          <a:ext cx="1046310" cy="541732"/>
        </a:xfrm>
        <a:prstGeom prst="rect">
          <a:avLst/>
        </a:prstGeom>
        <a:solidFill>
          <a:schemeClr val="accent4">
            <a:hueOff val="-3247105"/>
            <a:satOff val="19563"/>
            <a:lumOff val="1568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CONTABILIDAD</a:t>
          </a:r>
        </a:p>
      </dsp:txBody>
      <dsp:txXfrm>
        <a:off x="6417967" y="1289712"/>
        <a:ext cx="1046310" cy="541732"/>
      </dsp:txXfrm>
    </dsp:sp>
    <dsp:sp modelId="{106B4024-1198-49B7-A8CA-2AC354CC679C}">
      <dsp:nvSpPr>
        <dsp:cNvPr id="0" name=""/>
        <dsp:cNvSpPr/>
      </dsp:nvSpPr>
      <dsp:spPr>
        <a:xfrm>
          <a:off x="6627229" y="1711060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3247105"/>
              <a:satOff val="19563"/>
              <a:lumOff val="1568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GROVER</a:t>
          </a:r>
        </a:p>
      </dsp:txBody>
      <dsp:txXfrm>
        <a:off x="6627229" y="1711060"/>
        <a:ext cx="941679" cy="180577"/>
      </dsp:txXfrm>
    </dsp:sp>
    <dsp:sp modelId="{192A8738-A612-4DBD-8B50-59CEC02F5157}">
      <dsp:nvSpPr>
        <dsp:cNvPr id="0" name=""/>
        <dsp:cNvSpPr/>
      </dsp:nvSpPr>
      <dsp:spPr>
        <a:xfrm>
          <a:off x="7821716" y="1289712"/>
          <a:ext cx="1046310" cy="541732"/>
        </a:xfrm>
        <a:prstGeom prst="rect">
          <a:avLst/>
        </a:prstGeom>
        <a:solidFill>
          <a:schemeClr val="accent4">
            <a:hueOff val="-3652993"/>
            <a:satOff val="22008"/>
            <a:lumOff val="1764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ADMINISTRACION</a:t>
          </a:r>
        </a:p>
      </dsp:txBody>
      <dsp:txXfrm>
        <a:off x="7821716" y="1289712"/>
        <a:ext cx="1046310" cy="541732"/>
      </dsp:txXfrm>
    </dsp:sp>
    <dsp:sp modelId="{F5E1FD8A-7BCA-470F-AF79-44238FECF05B}">
      <dsp:nvSpPr>
        <dsp:cNvPr id="0" name=""/>
        <dsp:cNvSpPr/>
      </dsp:nvSpPr>
      <dsp:spPr>
        <a:xfrm>
          <a:off x="8030978" y="1711060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3652993"/>
              <a:satOff val="22008"/>
              <a:lumOff val="1764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GROVER</a:t>
          </a:r>
        </a:p>
      </dsp:txBody>
      <dsp:txXfrm>
        <a:off x="8030978" y="1711060"/>
        <a:ext cx="941679" cy="180577"/>
      </dsp:txXfrm>
    </dsp:sp>
    <dsp:sp modelId="{D9510CE6-812C-41D4-A83B-A888D066E2E8}">
      <dsp:nvSpPr>
        <dsp:cNvPr id="0" name=""/>
        <dsp:cNvSpPr/>
      </dsp:nvSpPr>
      <dsp:spPr>
        <a:xfrm>
          <a:off x="9225466" y="1289712"/>
          <a:ext cx="1046310" cy="541732"/>
        </a:xfrm>
        <a:prstGeom prst="rect">
          <a:avLst/>
        </a:prstGeom>
        <a:solidFill>
          <a:schemeClr val="accent4">
            <a:hueOff val="-4058882"/>
            <a:satOff val="24454"/>
            <a:lumOff val="196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G. VENTAS</a:t>
          </a:r>
        </a:p>
      </dsp:txBody>
      <dsp:txXfrm>
        <a:off x="9225466" y="1289712"/>
        <a:ext cx="1046310" cy="541732"/>
      </dsp:txXfrm>
    </dsp:sp>
    <dsp:sp modelId="{10E3755F-E1DD-4D44-AA47-478B5AFD3CA9}">
      <dsp:nvSpPr>
        <dsp:cNvPr id="0" name=""/>
        <dsp:cNvSpPr/>
      </dsp:nvSpPr>
      <dsp:spPr>
        <a:xfrm>
          <a:off x="9434728" y="1711060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4058882"/>
              <a:satOff val="24454"/>
              <a:lumOff val="196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PAVEL</a:t>
          </a:r>
        </a:p>
      </dsp:txBody>
      <dsp:txXfrm>
        <a:off x="9434728" y="1711060"/>
        <a:ext cx="941679" cy="180577"/>
      </dsp:txXfrm>
    </dsp:sp>
    <dsp:sp modelId="{0A405969-1EED-49CF-9DE7-53E52C45E4AC}">
      <dsp:nvSpPr>
        <dsp:cNvPr id="0" name=""/>
        <dsp:cNvSpPr/>
      </dsp:nvSpPr>
      <dsp:spPr>
        <a:xfrm>
          <a:off x="9225466" y="2144446"/>
          <a:ext cx="1046310" cy="541732"/>
        </a:xfrm>
        <a:prstGeom prst="rect">
          <a:avLst/>
        </a:prstGeom>
        <a:solidFill>
          <a:schemeClr val="accent4">
            <a:hueOff val="-4464770"/>
            <a:satOff val="26899"/>
            <a:lumOff val="2156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7644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PRE Y POST VENTA</a:t>
          </a:r>
        </a:p>
      </dsp:txBody>
      <dsp:txXfrm>
        <a:off x="9225466" y="2144446"/>
        <a:ext cx="1046310" cy="541732"/>
      </dsp:txXfrm>
    </dsp:sp>
    <dsp:sp modelId="{BA2576A1-4735-4363-A02A-64E68858729E}">
      <dsp:nvSpPr>
        <dsp:cNvPr id="0" name=""/>
        <dsp:cNvSpPr/>
      </dsp:nvSpPr>
      <dsp:spPr>
        <a:xfrm>
          <a:off x="9434728" y="2565794"/>
          <a:ext cx="941679" cy="18057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4">
              <a:hueOff val="-4464770"/>
              <a:satOff val="26899"/>
              <a:lumOff val="2156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PAVEL</a:t>
          </a:r>
        </a:p>
      </dsp:txBody>
      <dsp:txXfrm>
        <a:off x="9434728" y="2565794"/>
        <a:ext cx="941679" cy="18057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roceso I'!A1"/><Relationship Id="rId13" Type="http://schemas.openxmlformats.org/officeDocument/2006/relationships/hyperlink" Target="#'Matriz_Tiemp_Efec_MOD '!A1"/><Relationship Id="rId18" Type="http://schemas.openxmlformats.org/officeDocument/2006/relationships/hyperlink" Target="#Precio_de_venta_por_OT!A1"/><Relationship Id="rId3" Type="http://schemas.openxmlformats.org/officeDocument/2006/relationships/hyperlink" Target="#'Proceso II'!A1"/><Relationship Id="rId7" Type="http://schemas.openxmlformats.org/officeDocument/2006/relationships/hyperlink" Target="#'Elementos de Costo'!A1"/><Relationship Id="rId12" Type="http://schemas.openxmlformats.org/officeDocument/2006/relationships/hyperlink" Target="#'Matriz_Remu_MOD '!A1"/><Relationship Id="rId17" Type="http://schemas.openxmlformats.org/officeDocument/2006/relationships/hyperlink" Target="#An&#225;lisis_de_Rentabilidad!A1"/><Relationship Id="rId2" Type="http://schemas.openxmlformats.org/officeDocument/2006/relationships/hyperlink" Target="#'Centro de actividades'!A1"/><Relationship Id="rId16" Type="http://schemas.openxmlformats.org/officeDocument/2006/relationships/hyperlink" Target="#CSD!A1"/><Relationship Id="rId1" Type="http://schemas.openxmlformats.org/officeDocument/2006/relationships/hyperlink" Target="#OT!A1"/><Relationship Id="rId6" Type="http://schemas.openxmlformats.org/officeDocument/2006/relationships/hyperlink" Target="#'Proceso III'!A1"/><Relationship Id="rId11" Type="http://schemas.openxmlformats.org/officeDocument/2006/relationships/hyperlink" Target="#Maestro_Materiales!A1"/><Relationship Id="rId5" Type="http://schemas.openxmlformats.org/officeDocument/2006/relationships/hyperlink" Target="#'Proceso IV'!A1"/><Relationship Id="rId15" Type="http://schemas.openxmlformats.org/officeDocument/2006/relationships/hyperlink" Target="#CMOD!A1"/><Relationship Id="rId10" Type="http://schemas.openxmlformats.org/officeDocument/2006/relationships/hyperlink" Target="#Maestro_Servicios_Directos!A1"/><Relationship Id="rId4" Type="http://schemas.openxmlformats.org/officeDocument/2006/relationships/hyperlink" Target="#'Proceso V'!A1"/><Relationship Id="rId9" Type="http://schemas.openxmlformats.org/officeDocument/2006/relationships/hyperlink" Target="#Modelo_de_C&#225;lculo_Costos!A1"/><Relationship Id="rId14" Type="http://schemas.openxmlformats.org/officeDocument/2006/relationships/hyperlink" Target="#CMD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Elementos de Costo'!A1"/><Relationship Id="rId1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Elementos de Costo'!A1"/><Relationship Id="rId1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8" Type="http://schemas.microsoft.com/office/2007/relationships/diagramDrawing" Target="../diagrams/drawing1.xml"/><Relationship Id="rId3" Type="http://schemas.openxmlformats.org/officeDocument/2006/relationships/hyperlink" Target="#'Elementos de Costo'!A1"/><Relationship Id="rId7" Type="http://schemas.openxmlformats.org/officeDocument/2006/relationships/diagramColors" Target="../diagrams/colors1.xml"/><Relationship Id="rId2" Type="http://schemas.openxmlformats.org/officeDocument/2006/relationships/hyperlink" Target="#'Proceso I'!A1"/><Relationship Id="rId1" Type="http://schemas.openxmlformats.org/officeDocument/2006/relationships/hyperlink" Target="#INICIO!A1"/><Relationship Id="rId6" Type="http://schemas.openxmlformats.org/officeDocument/2006/relationships/diagramQuickStyle" Target="../diagrams/quickStyle1.xml"/><Relationship Id="rId5" Type="http://schemas.openxmlformats.org/officeDocument/2006/relationships/diagramLayout" Target="../diagrams/layout1.xml"/><Relationship Id="rId4" Type="http://schemas.openxmlformats.org/officeDocument/2006/relationships/diagramData" Target="../diagrams/data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'Elementos de Costo'!A1"/><Relationship Id="rId1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Elementos de Costo'!A1"/><Relationship Id="rId1" Type="http://schemas.openxmlformats.org/officeDocument/2006/relationships/hyperlink" Target="#INICI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'Elementos de Costo'!A1"/><Relationship Id="rId1" Type="http://schemas.openxmlformats.org/officeDocument/2006/relationships/hyperlink" Target="#INICIO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Elementos de Costo'!A1"/><Relationship Id="rId1" Type="http://schemas.openxmlformats.org/officeDocument/2006/relationships/hyperlink" Target="#INICIO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Elementos de Costo'!A1"/><Relationship Id="rId1" Type="http://schemas.openxmlformats.org/officeDocument/2006/relationships/hyperlink" Target="#INICIO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'Elementos de Costo'!A1"/><Relationship Id="rId1" Type="http://schemas.openxmlformats.org/officeDocument/2006/relationships/hyperlink" Target="#INICIO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'Elementos de Costo'!A1"/><Relationship Id="rId1" Type="http://schemas.openxmlformats.org/officeDocument/2006/relationships/hyperlink" Target="#INICIO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'Base de Datos'!A1"/><Relationship Id="rId2" Type="http://schemas.openxmlformats.org/officeDocument/2006/relationships/hyperlink" Target="#'Centro de actividades'!A1"/><Relationship Id="rId1" Type="http://schemas.openxmlformats.org/officeDocument/2006/relationships/hyperlink" Target="#INICIO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Proceso I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'Centro de actividades'!A1"/><Relationship Id="rId2" Type="http://schemas.openxmlformats.org/officeDocument/2006/relationships/hyperlink" Target="#'Proceso II'!A1"/><Relationship Id="rId1" Type="http://schemas.openxmlformats.org/officeDocument/2006/relationships/hyperlink" Target="#INICIO!A1"/><Relationship Id="rId4" Type="http://schemas.openxmlformats.org/officeDocument/2006/relationships/hyperlink" Target="#'Auxiliar 1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Proceso II'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'Proceso III'!A1"/><Relationship Id="rId1" Type="http://schemas.openxmlformats.org/officeDocument/2006/relationships/hyperlink" Target="#'Auxiliar 2'!A1"/><Relationship Id="rId4" Type="http://schemas.openxmlformats.org/officeDocument/2006/relationships/hyperlink" Target="#'Proceso I'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'Proceso II'!A1"/><Relationship Id="rId2" Type="http://schemas.openxmlformats.org/officeDocument/2006/relationships/hyperlink" Target="#'Proceso IV'!A1"/><Relationship Id="rId1" Type="http://schemas.openxmlformats.org/officeDocument/2006/relationships/hyperlink" Target="#INICIO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'Proceso III'!A1"/><Relationship Id="rId2" Type="http://schemas.openxmlformats.org/officeDocument/2006/relationships/hyperlink" Target="#'Proceso V'!A1"/><Relationship Id="rId1" Type="http://schemas.openxmlformats.org/officeDocument/2006/relationships/hyperlink" Target="#INICIO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'Proceso IV'!A1"/><Relationship Id="rId1" Type="http://schemas.openxmlformats.org/officeDocument/2006/relationships/hyperlink" Target="#INICIO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672912</xdr:colOff>
      <xdr:row>4</xdr:row>
      <xdr:rowOff>144555</xdr:rowOff>
    </xdr:from>
    <xdr:to>
      <xdr:col>13</xdr:col>
      <xdr:colOff>661146</xdr:colOff>
      <xdr:row>9</xdr:row>
      <xdr:rowOff>23532</xdr:rowOff>
    </xdr:to>
    <xdr:sp macro="" textlink="">
      <xdr:nvSpPr>
        <xdr:cNvPr id="2" name="1 Tít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2196912" y="772084"/>
          <a:ext cx="8370234" cy="663389"/>
        </a:xfrm>
        <a:prstGeom prst="rect">
          <a:avLst/>
        </a:prstGeom>
      </xdr:spPr>
      <xdr:txBody>
        <a:bodyPr vert="horz" wrap="square" anchor="b">
          <a:noAutofit/>
        </a:bodyPr>
        <a:lstStyle>
          <a:lvl1pPr algn="l" rtl="0" eaLnBrk="1" latinLnBrk="0" hangingPunct="1">
            <a:spcBef>
              <a:spcPct val="0"/>
            </a:spcBef>
            <a:buNone/>
            <a:defRPr kumimoji="0" sz="3000" b="1" kern="1200" cap="small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ES" sz="40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  <a:latin typeface="+mj-lt"/>
            </a:rPr>
            <a:t>INCATEX</a:t>
          </a:r>
        </a:p>
      </xdr:txBody>
    </xdr:sp>
    <xdr:clientData/>
  </xdr:twoCellAnchor>
  <xdr:twoCellAnchor>
    <xdr:from>
      <xdr:col>1</xdr:col>
      <xdr:colOff>694764</xdr:colOff>
      <xdr:row>0</xdr:row>
      <xdr:rowOff>90767</xdr:rowOff>
    </xdr:from>
    <xdr:to>
      <xdr:col>14</xdr:col>
      <xdr:colOff>661147</xdr:colOff>
      <xdr:row>4</xdr:row>
      <xdr:rowOff>63314</xdr:rowOff>
    </xdr:to>
    <xdr:sp macro="" textlink="">
      <xdr:nvSpPr>
        <xdr:cNvPr id="3" name="1 Tít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1456764" y="90767"/>
          <a:ext cx="9872383" cy="600076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anchor="b">
          <a:normAutofit fontScale="90000"/>
        </a:bodyPr>
        <a:lstStyle>
          <a:lvl1pPr algn="l" rtl="0" eaLnBrk="1" latinLnBrk="0" hangingPunct="1">
            <a:spcBef>
              <a:spcPct val="0"/>
            </a:spcBef>
            <a:buNone/>
            <a:defRPr kumimoji="0" sz="3000" b="1" kern="1200" cap="small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ES" sz="3200" b="1" cap="none" spc="50">
              <a:ln w="12700" cmpd="sng">
                <a:solidFill>
                  <a:schemeClr val="accent6">
                    <a:satMod val="120000"/>
                    <a:shade val="80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  <a:latin typeface="+mj-lt"/>
            </a:rPr>
            <a:t>APLICACIÓN  DEL  COSTEO  BASADO  EN  ACTIVIDADES</a:t>
          </a:r>
        </a:p>
      </xdr:txBody>
    </xdr:sp>
    <xdr:clientData/>
  </xdr:twoCellAnchor>
  <xdr:twoCellAnchor>
    <xdr:from>
      <xdr:col>5</xdr:col>
      <xdr:colOff>291353</xdr:colOff>
      <xdr:row>10</xdr:row>
      <xdr:rowOff>113739</xdr:rowOff>
    </xdr:from>
    <xdr:to>
      <xdr:col>8</xdr:col>
      <xdr:colOff>291353</xdr:colOff>
      <xdr:row>12</xdr:row>
      <xdr:rowOff>113740</xdr:rowOff>
    </xdr:to>
    <xdr:sp macro="" textlink="">
      <xdr:nvSpPr>
        <xdr:cNvPr id="7" name="6 Rectángulo redondeado">
          <a:hlinkClick xmlns:r="http://schemas.openxmlformats.org/officeDocument/2006/relationships" r:id="rId1" tooltip="Base de Datos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101353" y="1682563"/>
          <a:ext cx="228600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ÓRDENES</a:t>
          </a:r>
          <a:r>
            <a:rPr lang="es-ES" sz="1200" b="1" baseline="0">
              <a:latin typeface="+mj-lt"/>
            </a:rPr>
            <a:t> DE TRABAJO</a:t>
          </a:r>
        </a:p>
      </xdr:txBody>
    </xdr:sp>
    <xdr:clientData/>
  </xdr:twoCellAnchor>
  <xdr:twoCellAnchor>
    <xdr:from>
      <xdr:col>5</xdr:col>
      <xdr:colOff>310404</xdr:colOff>
      <xdr:row>16</xdr:row>
      <xdr:rowOff>100852</xdr:rowOff>
    </xdr:from>
    <xdr:to>
      <xdr:col>8</xdr:col>
      <xdr:colOff>310404</xdr:colOff>
      <xdr:row>18</xdr:row>
      <xdr:rowOff>100852</xdr:rowOff>
    </xdr:to>
    <xdr:sp macro="" textlink="">
      <xdr:nvSpPr>
        <xdr:cNvPr id="8" name="7 Rectángulo redondeado">
          <a:hlinkClick xmlns:r="http://schemas.openxmlformats.org/officeDocument/2006/relationships" r:id="rId2" tooltip="Centro de Actividad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120404" y="2610970"/>
          <a:ext cx="2286000" cy="313764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CENTRO DE ACTIVIDADES</a:t>
          </a:r>
        </a:p>
      </xdr:txBody>
    </xdr:sp>
    <xdr:clientData/>
  </xdr:twoCellAnchor>
  <xdr:twoCellAnchor>
    <xdr:from>
      <xdr:col>10</xdr:col>
      <xdr:colOff>28575</xdr:colOff>
      <xdr:row>14</xdr:row>
      <xdr:rowOff>24092</xdr:rowOff>
    </xdr:from>
    <xdr:to>
      <xdr:col>13</xdr:col>
      <xdr:colOff>28575</xdr:colOff>
      <xdr:row>16</xdr:row>
      <xdr:rowOff>24091</xdr:rowOff>
    </xdr:to>
    <xdr:sp macro="" textlink="">
      <xdr:nvSpPr>
        <xdr:cNvPr id="9" name="8 Rectángulo redondeado">
          <a:hlinkClick xmlns:r="http://schemas.openxmlformats.org/officeDocument/2006/relationships" r:id="rId3" tooltip="Proceso II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648575" y="2220445"/>
          <a:ext cx="2286000" cy="313764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300" b="1">
              <a:latin typeface="+mj-lt"/>
            </a:rPr>
            <a:t>PROCESO II</a:t>
          </a:r>
        </a:p>
      </xdr:txBody>
    </xdr:sp>
    <xdr:clientData/>
  </xdr:twoCellAnchor>
  <xdr:twoCellAnchor>
    <xdr:from>
      <xdr:col>10</xdr:col>
      <xdr:colOff>53228</xdr:colOff>
      <xdr:row>23</xdr:row>
      <xdr:rowOff>25774</xdr:rowOff>
    </xdr:from>
    <xdr:to>
      <xdr:col>13</xdr:col>
      <xdr:colOff>53228</xdr:colOff>
      <xdr:row>25</xdr:row>
      <xdr:rowOff>25773</xdr:rowOff>
    </xdr:to>
    <xdr:sp macro="" textlink="">
      <xdr:nvSpPr>
        <xdr:cNvPr id="10" name="9 Rectángulo redondeado">
          <a:hlinkClick xmlns:r="http://schemas.openxmlformats.org/officeDocument/2006/relationships" r:id="rId4" tooltip="Proceso V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673228" y="3634068"/>
          <a:ext cx="2286000" cy="313764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300" b="1">
              <a:solidFill>
                <a:schemeClr val="lt1"/>
              </a:solidFill>
              <a:latin typeface="+mj-lt"/>
              <a:ea typeface="+mn-ea"/>
              <a:cs typeface="+mn-cs"/>
            </a:rPr>
            <a:t>PROCESO V</a:t>
          </a:r>
          <a:endParaRPr lang="es-ES" sz="1300" b="1">
            <a:latin typeface="+mj-lt"/>
          </a:endParaRPr>
        </a:p>
      </xdr:txBody>
    </xdr:sp>
    <xdr:clientData/>
  </xdr:twoCellAnchor>
  <xdr:twoCellAnchor>
    <xdr:from>
      <xdr:col>10</xdr:col>
      <xdr:colOff>45384</xdr:colOff>
      <xdr:row>20</xdr:row>
      <xdr:rowOff>44823</xdr:rowOff>
    </xdr:from>
    <xdr:to>
      <xdr:col>13</xdr:col>
      <xdr:colOff>45384</xdr:colOff>
      <xdr:row>22</xdr:row>
      <xdr:rowOff>44822</xdr:rowOff>
    </xdr:to>
    <xdr:sp macro="" textlink="">
      <xdr:nvSpPr>
        <xdr:cNvPr id="11" name="10 Rectángulo redondeado">
          <a:hlinkClick xmlns:r="http://schemas.openxmlformats.org/officeDocument/2006/relationships" r:id="rId5" tooltip="Proceso IV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665384" y="3182470"/>
          <a:ext cx="2286000" cy="313764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300" b="1">
              <a:solidFill>
                <a:schemeClr val="lt1"/>
              </a:solidFill>
              <a:latin typeface="+mj-lt"/>
              <a:ea typeface="+mn-ea"/>
              <a:cs typeface="+mn-cs"/>
            </a:rPr>
            <a:t>PROCESO IV</a:t>
          </a:r>
          <a:endParaRPr lang="es-ES" sz="1300" b="1">
            <a:latin typeface="+mj-lt"/>
          </a:endParaRPr>
        </a:p>
      </xdr:txBody>
    </xdr:sp>
    <xdr:clientData/>
  </xdr:twoCellAnchor>
  <xdr:twoCellAnchor>
    <xdr:from>
      <xdr:col>10</xdr:col>
      <xdr:colOff>30257</xdr:colOff>
      <xdr:row>17</xdr:row>
      <xdr:rowOff>25213</xdr:rowOff>
    </xdr:from>
    <xdr:to>
      <xdr:col>13</xdr:col>
      <xdr:colOff>30257</xdr:colOff>
      <xdr:row>19</xdr:row>
      <xdr:rowOff>25213</xdr:rowOff>
    </xdr:to>
    <xdr:sp macro="" textlink="">
      <xdr:nvSpPr>
        <xdr:cNvPr id="12" name="11 Rectángulo redondeado">
          <a:hlinkClick xmlns:r="http://schemas.openxmlformats.org/officeDocument/2006/relationships" r:id="rId6" tooltip="Proceso III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650257" y="2692213"/>
          <a:ext cx="228600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300" b="1">
              <a:solidFill>
                <a:schemeClr val="lt1"/>
              </a:solidFill>
              <a:latin typeface="+mj-lt"/>
              <a:ea typeface="+mn-ea"/>
              <a:cs typeface="+mn-cs"/>
            </a:rPr>
            <a:t>PROCESO III</a:t>
          </a:r>
          <a:endParaRPr lang="es-ES" sz="1300" b="1">
            <a:latin typeface="+mj-lt"/>
          </a:endParaRPr>
        </a:p>
      </xdr:txBody>
    </xdr:sp>
    <xdr:clientData/>
  </xdr:twoCellAnchor>
  <xdr:twoCellAnchor>
    <xdr:from>
      <xdr:col>5</xdr:col>
      <xdr:colOff>301437</xdr:colOff>
      <xdr:row>13</xdr:row>
      <xdr:rowOff>113740</xdr:rowOff>
    </xdr:from>
    <xdr:to>
      <xdr:col>8</xdr:col>
      <xdr:colOff>301437</xdr:colOff>
      <xdr:row>15</xdr:row>
      <xdr:rowOff>113741</xdr:rowOff>
    </xdr:to>
    <xdr:sp macro="" textlink="">
      <xdr:nvSpPr>
        <xdr:cNvPr id="13" name="12 Rectángulo redondeado">
          <a:hlinkClick xmlns:r="http://schemas.openxmlformats.org/officeDocument/2006/relationships" r:id="rId7" tooltip="Elemento de Costo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111437" y="2153211"/>
          <a:ext cx="228600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ELEMENTOS DE COSTO</a:t>
          </a:r>
        </a:p>
      </xdr:txBody>
    </xdr:sp>
    <xdr:clientData/>
  </xdr:twoCellAnchor>
  <xdr:twoCellAnchor>
    <xdr:from>
      <xdr:col>10</xdr:col>
      <xdr:colOff>14569</xdr:colOff>
      <xdr:row>10</xdr:row>
      <xdr:rowOff>149039</xdr:rowOff>
    </xdr:from>
    <xdr:to>
      <xdr:col>13</xdr:col>
      <xdr:colOff>14569</xdr:colOff>
      <xdr:row>12</xdr:row>
      <xdr:rowOff>149040</xdr:rowOff>
    </xdr:to>
    <xdr:sp macro="" textlink="">
      <xdr:nvSpPr>
        <xdr:cNvPr id="14" name="13 Rectángulo redondeado">
          <a:hlinkClick xmlns:r="http://schemas.openxmlformats.org/officeDocument/2006/relationships" r:id="rId8" tooltip="Proceso I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634569" y="1717863"/>
          <a:ext cx="228600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300" b="1">
              <a:latin typeface="+mj-lt"/>
            </a:rPr>
            <a:t>PROCESO I</a:t>
          </a:r>
        </a:p>
      </xdr:txBody>
    </xdr:sp>
    <xdr:clientData/>
  </xdr:twoCellAnchor>
  <xdr:twoCellAnchor>
    <xdr:from>
      <xdr:col>10</xdr:col>
      <xdr:colOff>165287</xdr:colOff>
      <xdr:row>5</xdr:row>
      <xdr:rowOff>3922</xdr:rowOff>
    </xdr:from>
    <xdr:to>
      <xdr:col>13</xdr:col>
      <xdr:colOff>606798</xdr:colOff>
      <xdr:row>7</xdr:row>
      <xdr:rowOff>3922</xdr:rowOff>
    </xdr:to>
    <xdr:sp macro="" textlink="">
      <xdr:nvSpPr>
        <xdr:cNvPr id="15" name="6 Rectángulo redondeado">
          <a:hlinkClick xmlns:r="http://schemas.openxmlformats.org/officeDocument/2006/relationships" r:id="rId9" tooltip="Base de Datos"/>
          <a:extLst>
            <a:ext uri="{FF2B5EF4-FFF2-40B4-BE49-F238E27FC236}">
              <a16:creationId xmlns:a16="http://schemas.microsoft.com/office/drawing/2014/main" id="{95387A1D-A04A-4542-ADD2-116C9F452031}"/>
            </a:ext>
          </a:extLst>
        </xdr:cNvPr>
        <xdr:cNvSpPr/>
      </xdr:nvSpPr>
      <xdr:spPr>
        <a:xfrm>
          <a:off x="7785287" y="813547"/>
          <a:ext cx="2727511" cy="3238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MODELO</a:t>
          </a:r>
          <a:r>
            <a:rPr lang="es-ES" sz="1200" b="1" baseline="0">
              <a:latin typeface="+mj-lt"/>
            </a:rPr>
            <a:t> DE CÁLCULO DE COSTOS</a:t>
          </a:r>
          <a:endParaRPr lang="es-ES" sz="1200" b="1">
            <a:latin typeface="+mj-lt"/>
          </a:endParaRPr>
        </a:p>
      </xdr:txBody>
    </xdr:sp>
    <xdr:clientData/>
  </xdr:twoCellAnchor>
  <xdr:twoCellAnchor>
    <xdr:from>
      <xdr:col>0</xdr:col>
      <xdr:colOff>163606</xdr:colOff>
      <xdr:row>10</xdr:row>
      <xdr:rowOff>86845</xdr:rowOff>
    </xdr:from>
    <xdr:to>
      <xdr:col>3</xdr:col>
      <xdr:colOff>717176</xdr:colOff>
      <xdr:row>12</xdr:row>
      <xdr:rowOff>86846</xdr:rowOff>
    </xdr:to>
    <xdr:sp macro="" textlink="">
      <xdr:nvSpPr>
        <xdr:cNvPr id="16" name="6 Rectángulo redondeado">
          <a:hlinkClick xmlns:r="http://schemas.openxmlformats.org/officeDocument/2006/relationships" r:id="rId10" tooltip="Base de Datos"/>
          <a:extLst>
            <a:ext uri="{FF2B5EF4-FFF2-40B4-BE49-F238E27FC236}">
              <a16:creationId xmlns:a16="http://schemas.microsoft.com/office/drawing/2014/main" id="{6C0298B7-3EA6-4307-AEB5-5EB1CD18B99D}"/>
            </a:ext>
          </a:extLst>
        </xdr:cNvPr>
        <xdr:cNvSpPr/>
      </xdr:nvSpPr>
      <xdr:spPr>
        <a:xfrm>
          <a:off x="163606" y="1655669"/>
          <a:ext cx="283957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MAESTRO</a:t>
          </a:r>
          <a:r>
            <a:rPr lang="es-ES" sz="1200" b="1" baseline="0">
              <a:latin typeface="+mj-lt"/>
            </a:rPr>
            <a:t> DE SERVICIOS DIRECTOS</a:t>
          </a:r>
          <a:endParaRPr lang="es-ES" sz="1200" b="1">
            <a:latin typeface="+mj-lt"/>
          </a:endParaRPr>
        </a:p>
      </xdr:txBody>
    </xdr:sp>
    <xdr:clientData/>
  </xdr:twoCellAnchor>
  <xdr:twoCellAnchor>
    <xdr:from>
      <xdr:col>0</xdr:col>
      <xdr:colOff>170330</xdr:colOff>
      <xdr:row>13</xdr:row>
      <xdr:rowOff>59951</xdr:rowOff>
    </xdr:from>
    <xdr:to>
      <xdr:col>3</xdr:col>
      <xdr:colOff>723900</xdr:colOff>
      <xdr:row>15</xdr:row>
      <xdr:rowOff>59952</xdr:rowOff>
    </xdr:to>
    <xdr:sp macro="" textlink="">
      <xdr:nvSpPr>
        <xdr:cNvPr id="17" name="6 Rectángulo redondeado">
          <a:hlinkClick xmlns:r="http://schemas.openxmlformats.org/officeDocument/2006/relationships" r:id="rId11" tooltip="Base de Datos"/>
          <a:extLst>
            <a:ext uri="{FF2B5EF4-FFF2-40B4-BE49-F238E27FC236}">
              <a16:creationId xmlns:a16="http://schemas.microsoft.com/office/drawing/2014/main" id="{A091D7ED-C7F2-4809-912E-BC475C17420F}"/>
            </a:ext>
          </a:extLst>
        </xdr:cNvPr>
        <xdr:cNvSpPr/>
      </xdr:nvSpPr>
      <xdr:spPr>
        <a:xfrm>
          <a:off x="170330" y="2099422"/>
          <a:ext cx="283957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MAESTRO</a:t>
          </a:r>
          <a:r>
            <a:rPr lang="es-ES" sz="1200" b="1" baseline="0">
              <a:latin typeface="+mj-lt"/>
            </a:rPr>
            <a:t> DE MATERIALES</a:t>
          </a:r>
          <a:endParaRPr lang="es-ES" sz="1200" b="1">
            <a:latin typeface="+mj-lt"/>
          </a:endParaRPr>
        </a:p>
      </xdr:txBody>
    </xdr:sp>
    <xdr:clientData/>
  </xdr:twoCellAnchor>
  <xdr:twoCellAnchor>
    <xdr:from>
      <xdr:col>0</xdr:col>
      <xdr:colOff>188259</xdr:colOff>
      <xdr:row>16</xdr:row>
      <xdr:rowOff>10645</xdr:rowOff>
    </xdr:from>
    <xdr:to>
      <xdr:col>3</xdr:col>
      <xdr:colOff>741829</xdr:colOff>
      <xdr:row>18</xdr:row>
      <xdr:rowOff>10646</xdr:rowOff>
    </xdr:to>
    <xdr:sp macro="" textlink="">
      <xdr:nvSpPr>
        <xdr:cNvPr id="18" name="6 Rectángulo redondeado">
          <a:hlinkClick xmlns:r="http://schemas.openxmlformats.org/officeDocument/2006/relationships" r:id="rId12" tooltip="Base de Datos"/>
          <a:extLst>
            <a:ext uri="{FF2B5EF4-FFF2-40B4-BE49-F238E27FC236}">
              <a16:creationId xmlns:a16="http://schemas.microsoft.com/office/drawing/2014/main" id="{E8056392-76C6-4186-A58D-C7844C0A5C8C}"/>
            </a:ext>
          </a:extLst>
        </xdr:cNvPr>
        <xdr:cNvSpPr/>
      </xdr:nvSpPr>
      <xdr:spPr>
        <a:xfrm>
          <a:off x="188259" y="2520763"/>
          <a:ext cx="283957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MATRIZ DE SUELDOS</a:t>
          </a:r>
        </a:p>
      </xdr:txBody>
    </xdr:sp>
    <xdr:clientData/>
  </xdr:twoCellAnchor>
  <xdr:twoCellAnchor>
    <xdr:from>
      <xdr:col>0</xdr:col>
      <xdr:colOff>194982</xdr:colOff>
      <xdr:row>18</xdr:row>
      <xdr:rowOff>118222</xdr:rowOff>
    </xdr:from>
    <xdr:to>
      <xdr:col>4</xdr:col>
      <xdr:colOff>123265</xdr:colOff>
      <xdr:row>20</xdr:row>
      <xdr:rowOff>118222</xdr:rowOff>
    </xdr:to>
    <xdr:sp macro="" textlink="">
      <xdr:nvSpPr>
        <xdr:cNvPr id="19" name="6 Rectángulo redondeado">
          <a:hlinkClick xmlns:r="http://schemas.openxmlformats.org/officeDocument/2006/relationships" r:id="rId13" tooltip="Base de Datos"/>
          <a:extLst>
            <a:ext uri="{FF2B5EF4-FFF2-40B4-BE49-F238E27FC236}">
              <a16:creationId xmlns:a16="http://schemas.microsoft.com/office/drawing/2014/main" id="{7FACE6E1-923B-4770-A1D6-7E2A32A82EE2}"/>
            </a:ext>
          </a:extLst>
        </xdr:cNvPr>
        <xdr:cNvSpPr/>
      </xdr:nvSpPr>
      <xdr:spPr>
        <a:xfrm>
          <a:off x="194982" y="2942104"/>
          <a:ext cx="2976283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MATRIZ DE</a:t>
          </a:r>
          <a:r>
            <a:rPr lang="es-ES" sz="1200" b="1" baseline="0">
              <a:latin typeface="+mj-lt"/>
            </a:rPr>
            <a:t> TIEMPOS EFECTIVOS - MOD</a:t>
          </a:r>
          <a:endParaRPr lang="es-ES" sz="1200" b="1">
            <a:latin typeface="+mj-lt"/>
          </a:endParaRPr>
        </a:p>
      </xdr:txBody>
    </xdr:sp>
    <xdr:clientData/>
  </xdr:twoCellAnchor>
  <xdr:twoCellAnchor>
    <xdr:from>
      <xdr:col>14</xdr:col>
      <xdr:colOff>387723</xdr:colOff>
      <xdr:row>10</xdr:row>
      <xdr:rowOff>142875</xdr:rowOff>
    </xdr:from>
    <xdr:to>
      <xdr:col>17</xdr:col>
      <xdr:colOff>387723</xdr:colOff>
      <xdr:row>12</xdr:row>
      <xdr:rowOff>142876</xdr:rowOff>
    </xdr:to>
    <xdr:sp macro="" textlink="">
      <xdr:nvSpPr>
        <xdr:cNvPr id="22" name="6 Rectángulo redondeado">
          <a:hlinkClick xmlns:r="http://schemas.openxmlformats.org/officeDocument/2006/relationships" r:id="rId14" tooltip="Base de Datos"/>
          <a:extLst>
            <a:ext uri="{FF2B5EF4-FFF2-40B4-BE49-F238E27FC236}">
              <a16:creationId xmlns:a16="http://schemas.microsoft.com/office/drawing/2014/main" id="{46C2918F-EC23-4CE4-B50E-9D2867D8CBD1}"/>
            </a:ext>
          </a:extLst>
        </xdr:cNvPr>
        <xdr:cNvSpPr/>
      </xdr:nvSpPr>
      <xdr:spPr>
        <a:xfrm>
          <a:off x="11055723" y="1711699"/>
          <a:ext cx="228600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 baseline="0">
              <a:latin typeface="+mj-lt"/>
            </a:rPr>
            <a:t>CMD</a:t>
          </a:r>
        </a:p>
      </xdr:txBody>
    </xdr:sp>
    <xdr:clientData/>
  </xdr:twoCellAnchor>
  <xdr:twoCellAnchor>
    <xdr:from>
      <xdr:col>14</xdr:col>
      <xdr:colOff>405652</xdr:colOff>
      <xdr:row>13</xdr:row>
      <xdr:rowOff>115981</xdr:rowOff>
    </xdr:from>
    <xdr:to>
      <xdr:col>17</xdr:col>
      <xdr:colOff>405652</xdr:colOff>
      <xdr:row>15</xdr:row>
      <xdr:rowOff>115982</xdr:rowOff>
    </xdr:to>
    <xdr:sp macro="" textlink="">
      <xdr:nvSpPr>
        <xdr:cNvPr id="23" name="6 Rectángulo redondeado">
          <a:hlinkClick xmlns:r="http://schemas.openxmlformats.org/officeDocument/2006/relationships" r:id="rId15" tooltip="Base de Datos"/>
          <a:extLst>
            <a:ext uri="{FF2B5EF4-FFF2-40B4-BE49-F238E27FC236}">
              <a16:creationId xmlns:a16="http://schemas.microsoft.com/office/drawing/2014/main" id="{40DD6C39-C92C-4661-8087-D626DCE838E4}"/>
            </a:ext>
          </a:extLst>
        </xdr:cNvPr>
        <xdr:cNvSpPr/>
      </xdr:nvSpPr>
      <xdr:spPr>
        <a:xfrm>
          <a:off x="11073652" y="2155452"/>
          <a:ext cx="228600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 baseline="0">
              <a:latin typeface="+mj-lt"/>
            </a:rPr>
            <a:t>CMOD</a:t>
          </a:r>
        </a:p>
      </xdr:txBody>
    </xdr:sp>
    <xdr:clientData/>
  </xdr:twoCellAnchor>
  <xdr:twoCellAnchor>
    <xdr:from>
      <xdr:col>14</xdr:col>
      <xdr:colOff>412376</xdr:colOff>
      <xdr:row>16</xdr:row>
      <xdr:rowOff>66676</xdr:rowOff>
    </xdr:from>
    <xdr:to>
      <xdr:col>17</xdr:col>
      <xdr:colOff>412376</xdr:colOff>
      <xdr:row>18</xdr:row>
      <xdr:rowOff>66677</xdr:rowOff>
    </xdr:to>
    <xdr:sp macro="" textlink="">
      <xdr:nvSpPr>
        <xdr:cNvPr id="24" name="6 Rectángulo redondeado">
          <a:hlinkClick xmlns:r="http://schemas.openxmlformats.org/officeDocument/2006/relationships" r:id="rId16" tooltip="Base de Datos"/>
          <a:extLst>
            <a:ext uri="{FF2B5EF4-FFF2-40B4-BE49-F238E27FC236}">
              <a16:creationId xmlns:a16="http://schemas.microsoft.com/office/drawing/2014/main" id="{0BDE12D3-CDE1-447B-8D4B-EE6842374119}"/>
            </a:ext>
          </a:extLst>
        </xdr:cNvPr>
        <xdr:cNvSpPr/>
      </xdr:nvSpPr>
      <xdr:spPr>
        <a:xfrm>
          <a:off x="11080376" y="2576794"/>
          <a:ext cx="2286000" cy="31376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 baseline="0">
              <a:latin typeface="+mj-lt"/>
            </a:rPr>
            <a:t>CSD</a:t>
          </a:r>
        </a:p>
      </xdr:txBody>
    </xdr:sp>
    <xdr:clientData/>
  </xdr:twoCellAnchor>
  <xdr:twoCellAnchor>
    <xdr:from>
      <xdr:col>3</xdr:col>
      <xdr:colOff>104775</xdr:colOff>
      <xdr:row>4</xdr:row>
      <xdr:rowOff>123825</xdr:rowOff>
    </xdr:from>
    <xdr:to>
      <xdr:col>6</xdr:col>
      <xdr:colOff>546286</xdr:colOff>
      <xdr:row>6</xdr:row>
      <xdr:rowOff>123825</xdr:rowOff>
    </xdr:to>
    <xdr:sp macro="" textlink="">
      <xdr:nvSpPr>
        <xdr:cNvPr id="20" name="6 Rectángulo redondeado">
          <a:hlinkClick xmlns:r="http://schemas.openxmlformats.org/officeDocument/2006/relationships" r:id="rId17" tooltip="Base de Datos"/>
          <a:extLst>
            <a:ext uri="{FF2B5EF4-FFF2-40B4-BE49-F238E27FC236}">
              <a16:creationId xmlns:a16="http://schemas.microsoft.com/office/drawing/2014/main" id="{EEF8671F-8727-4F6C-8FF6-9CB3A172532D}"/>
            </a:ext>
          </a:extLst>
        </xdr:cNvPr>
        <xdr:cNvSpPr/>
      </xdr:nvSpPr>
      <xdr:spPr>
        <a:xfrm>
          <a:off x="2390775" y="771525"/>
          <a:ext cx="2727511" cy="323850"/>
        </a:xfrm>
        <a:prstGeom prst="roundRect">
          <a:avLst/>
        </a:prstGeom>
        <a:solidFill>
          <a:schemeClr val="accent3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ANÁLISIS</a:t>
          </a:r>
          <a:r>
            <a:rPr lang="es-ES" sz="1200" b="1" baseline="0">
              <a:latin typeface="+mj-lt"/>
            </a:rPr>
            <a:t> DE RENTABILIDAD</a:t>
          </a:r>
          <a:endParaRPr lang="es-ES" sz="1200" b="1">
            <a:latin typeface="+mj-lt"/>
          </a:endParaRPr>
        </a:p>
      </xdr:txBody>
    </xdr:sp>
    <xdr:clientData/>
  </xdr:twoCellAnchor>
  <xdr:twoCellAnchor>
    <xdr:from>
      <xdr:col>5</xdr:col>
      <xdr:colOff>300879</xdr:colOff>
      <xdr:row>21</xdr:row>
      <xdr:rowOff>29695</xdr:rowOff>
    </xdr:from>
    <xdr:to>
      <xdr:col>8</xdr:col>
      <xdr:colOff>300879</xdr:colOff>
      <xdr:row>23</xdr:row>
      <xdr:rowOff>29695</xdr:rowOff>
    </xdr:to>
    <xdr:sp macro="" textlink="">
      <xdr:nvSpPr>
        <xdr:cNvPr id="21" name="7 Rectángulo redondeado">
          <a:hlinkClick xmlns:r="http://schemas.openxmlformats.org/officeDocument/2006/relationships" r:id="rId18" tooltip="Centro de Actividad"/>
          <a:extLst>
            <a:ext uri="{FF2B5EF4-FFF2-40B4-BE49-F238E27FC236}">
              <a16:creationId xmlns:a16="http://schemas.microsoft.com/office/drawing/2014/main" id="{7915688D-F7E0-4EFB-A597-ABB1E45AF1F7}"/>
            </a:ext>
          </a:extLst>
        </xdr:cNvPr>
        <xdr:cNvSpPr/>
      </xdr:nvSpPr>
      <xdr:spPr>
        <a:xfrm>
          <a:off x="4110879" y="3430120"/>
          <a:ext cx="2286000" cy="32385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VALOR  DE VENTA </a:t>
          </a:r>
          <a:r>
            <a:rPr lang="es-ES" sz="1200" b="1" baseline="0">
              <a:latin typeface="+mj-lt"/>
            </a:rPr>
            <a:t>POR OT</a:t>
          </a:r>
          <a:endParaRPr lang="es-ES" sz="1200" b="1">
            <a:latin typeface="+mj-lt"/>
          </a:endParaRPr>
        </a:p>
      </xdr:txBody>
    </xdr:sp>
    <xdr:clientData/>
  </xdr:twoCellAnchor>
  <xdr:twoCellAnchor>
    <xdr:from>
      <xdr:col>10</xdr:col>
      <xdr:colOff>180975</xdr:colOff>
      <xdr:row>7</xdr:row>
      <xdr:rowOff>104775</xdr:rowOff>
    </xdr:from>
    <xdr:to>
      <xdr:col>13</xdr:col>
      <xdr:colOff>622486</xdr:colOff>
      <xdr:row>9</xdr:row>
      <xdr:rowOff>104775</xdr:rowOff>
    </xdr:to>
    <xdr:sp macro="" textlink="">
      <xdr:nvSpPr>
        <xdr:cNvPr id="25" name="6 Rectángulo redondeado">
          <a:hlinkClick xmlns:r="http://schemas.openxmlformats.org/officeDocument/2006/relationships" r:id="rId9" tooltip="Base de Datos"/>
          <a:extLst>
            <a:ext uri="{FF2B5EF4-FFF2-40B4-BE49-F238E27FC236}">
              <a16:creationId xmlns:a16="http://schemas.microsoft.com/office/drawing/2014/main" id="{6113C4EF-DBF7-4983-A7C2-196067375753}"/>
            </a:ext>
          </a:extLst>
        </xdr:cNvPr>
        <xdr:cNvSpPr/>
      </xdr:nvSpPr>
      <xdr:spPr>
        <a:xfrm>
          <a:off x="7800975" y="1238250"/>
          <a:ext cx="2727511" cy="323850"/>
        </a:xfrm>
        <a:prstGeom prst="roundRect">
          <a:avLst/>
        </a:prstGeom>
        <a:solidFill>
          <a:srgbClr val="00660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CÁLCULO</a:t>
          </a:r>
          <a:r>
            <a:rPr lang="es-ES" sz="1200" b="1" baseline="0">
              <a:latin typeface="+mj-lt"/>
            </a:rPr>
            <a:t> DEL VALOR DE VENTA</a:t>
          </a:r>
          <a:endParaRPr lang="es-ES" sz="1200" b="1">
            <a:latin typeface="+mj-lt"/>
          </a:endParaRPr>
        </a:p>
      </xdr:txBody>
    </xdr:sp>
    <xdr:clientData/>
  </xdr:twoCellAnchor>
  <xdr:twoCellAnchor>
    <xdr:from>
      <xdr:col>3</xdr:col>
      <xdr:colOff>114300</xdr:colOff>
      <xdr:row>7</xdr:row>
      <xdr:rowOff>66675</xdr:rowOff>
    </xdr:from>
    <xdr:to>
      <xdr:col>6</xdr:col>
      <xdr:colOff>555811</xdr:colOff>
      <xdr:row>9</xdr:row>
      <xdr:rowOff>66675</xdr:rowOff>
    </xdr:to>
    <xdr:sp macro="" textlink="">
      <xdr:nvSpPr>
        <xdr:cNvPr id="26" name="6 Rectángulo redondeado">
          <a:hlinkClick xmlns:r="http://schemas.openxmlformats.org/officeDocument/2006/relationships" r:id="rId17" tooltip="Base de Datos"/>
          <a:extLst>
            <a:ext uri="{FF2B5EF4-FFF2-40B4-BE49-F238E27FC236}">
              <a16:creationId xmlns:a16="http://schemas.microsoft.com/office/drawing/2014/main" id="{B84112EB-261B-466B-BD6E-FBA5628A344C}"/>
            </a:ext>
          </a:extLst>
        </xdr:cNvPr>
        <xdr:cNvSpPr/>
      </xdr:nvSpPr>
      <xdr:spPr>
        <a:xfrm>
          <a:off x="2400300" y="1200150"/>
          <a:ext cx="2727511" cy="323850"/>
        </a:xfrm>
        <a:prstGeom prst="roundRect">
          <a:avLst/>
        </a:prstGeom>
        <a:solidFill>
          <a:srgbClr val="00B0F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s-ES" sz="1200" b="1">
              <a:latin typeface="+mj-lt"/>
            </a:rPr>
            <a:t>COMPARACIÓN DE COSTOS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149678</xdr:colOff>
      <xdr:row>0</xdr:row>
      <xdr:rowOff>24813</xdr:rowOff>
    </xdr:from>
    <xdr:ext cx="283766" cy="340351"/>
    <xdr:sp macro="" textlink="">
      <xdr:nvSpPr>
        <xdr:cNvPr id="4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9DCB8F7B-D63C-47FB-AA32-A6E83BACD9F5}"/>
            </a:ext>
          </a:extLst>
        </xdr:cNvPr>
        <xdr:cNvSpPr/>
      </xdr:nvSpPr>
      <xdr:spPr>
        <a:xfrm>
          <a:off x="3809999" y="24813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2</xdr:col>
      <xdr:colOff>586708</xdr:colOff>
      <xdr:row>0</xdr:row>
      <xdr:rowOff>13607</xdr:rowOff>
    </xdr:from>
    <xdr:ext cx="266599" cy="337323"/>
    <xdr:sp macro="" textlink="">
      <xdr:nvSpPr>
        <xdr:cNvPr id="5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08B7B671-CDCA-41BB-AA93-E88E9EF979B3}"/>
            </a:ext>
          </a:extLst>
        </xdr:cNvPr>
        <xdr:cNvSpPr/>
      </xdr:nvSpPr>
      <xdr:spPr>
        <a:xfrm>
          <a:off x="4247029" y="13607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6</xdr:row>
      <xdr:rowOff>142875</xdr:rowOff>
    </xdr:from>
    <xdr:to>
      <xdr:col>11</xdr:col>
      <xdr:colOff>378619</xdr:colOff>
      <xdr:row>8</xdr:row>
      <xdr:rowOff>47625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52759FBA-49E3-47E5-8DA9-1EFE1C51BEF3}"/>
            </a:ext>
          </a:extLst>
        </xdr:cNvPr>
        <xdr:cNvSpPr/>
      </xdr:nvSpPr>
      <xdr:spPr>
        <a:xfrm>
          <a:off x="11372850" y="1457325"/>
          <a:ext cx="940594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1190624</xdr:colOff>
      <xdr:row>8</xdr:row>
      <xdr:rowOff>133348</xdr:rowOff>
    </xdr:from>
    <xdr:to>
      <xdr:col>12</xdr:col>
      <xdr:colOff>533399</xdr:colOff>
      <xdr:row>15</xdr:row>
      <xdr:rowOff>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3C1407D8-0164-4514-A833-60AAA1FD0037}"/>
            </a:ext>
          </a:extLst>
        </xdr:cNvPr>
        <xdr:cNvSpPr/>
      </xdr:nvSpPr>
      <xdr:spPr>
        <a:xfrm>
          <a:off x="10782299" y="1828798"/>
          <a:ext cx="2447925" cy="1200152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NOTA: Son</a:t>
          </a:r>
          <a:r>
            <a:rPr lang="es-PE" sz="1200" b="1" baseline="0"/>
            <a:t> los 3 únicos productos que se ofertan. Sin embargo, se puede modificar algunas características, las cuales se detallan en las tablas adjuntas.</a:t>
          </a:r>
          <a:endParaRPr lang="es-PE" sz="1200" b="1"/>
        </a:p>
      </xdr:txBody>
    </xdr:sp>
    <xdr:clientData/>
  </xdr:twoCellAnchor>
  <xdr:twoCellAnchor>
    <xdr:from>
      <xdr:col>0</xdr:col>
      <xdr:colOff>809626</xdr:colOff>
      <xdr:row>9</xdr:row>
      <xdr:rowOff>171450</xdr:rowOff>
    </xdr:from>
    <xdr:to>
      <xdr:col>1</xdr:col>
      <xdr:colOff>311945</xdr:colOff>
      <xdr:row>11</xdr:row>
      <xdr:rowOff>76200</xdr:rowOff>
    </xdr:to>
    <xdr:sp macro="" textlink="">
      <xdr:nvSpPr>
        <xdr:cNvPr id="4" name="Flecha: hacia abajo 3">
          <a:extLst>
            <a:ext uri="{FF2B5EF4-FFF2-40B4-BE49-F238E27FC236}">
              <a16:creationId xmlns:a16="http://schemas.microsoft.com/office/drawing/2014/main" id="{77E89238-FD57-4FDE-A414-B4D48BA028B2}"/>
            </a:ext>
          </a:extLst>
        </xdr:cNvPr>
        <xdr:cNvSpPr/>
      </xdr:nvSpPr>
      <xdr:spPr>
        <a:xfrm>
          <a:off x="809626" y="2057400"/>
          <a:ext cx="940594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0</xdr:colOff>
      <xdr:row>11</xdr:row>
      <xdr:rowOff>114298</xdr:rowOff>
    </xdr:from>
    <xdr:to>
      <xdr:col>3</xdr:col>
      <xdr:colOff>85724</xdr:colOff>
      <xdr:row>18</xdr:row>
      <xdr:rowOff>171450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CEA4D05-80FF-477A-8798-F349C8E49E02}"/>
            </a:ext>
          </a:extLst>
        </xdr:cNvPr>
        <xdr:cNvSpPr/>
      </xdr:nvSpPr>
      <xdr:spPr>
        <a:xfrm>
          <a:off x="0" y="2381248"/>
          <a:ext cx="3171824" cy="1390652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NOTA: </a:t>
          </a:r>
        </a:p>
        <a:p>
          <a:pPr algn="l"/>
          <a:r>
            <a:rPr lang="es-PE" sz="1200" b="1"/>
            <a:t>-Estampado</a:t>
          </a:r>
          <a:r>
            <a:rPr lang="es-PE" sz="1200" b="1" baseline="0"/>
            <a:t> Pecho: Puede llevar como no</a:t>
          </a:r>
        </a:p>
        <a:p>
          <a:pPr algn="l"/>
          <a:r>
            <a:rPr lang="es-PE" sz="1200" b="1" baseline="0"/>
            <a:t>-Estampado Espalda: Puede llevar como no</a:t>
          </a:r>
        </a:p>
        <a:p>
          <a:pPr algn="l"/>
          <a:r>
            <a:rPr lang="es-PE" sz="1200" b="1" baseline="0"/>
            <a:t>-Tela: Solo se puede escoger una de las dos</a:t>
          </a:r>
        </a:p>
        <a:p>
          <a:pPr algn="l"/>
          <a:r>
            <a:rPr lang="es-PE" sz="1200" b="1" baseline="0"/>
            <a:t>-Insignia: Puede llevar como no</a:t>
          </a:r>
        </a:p>
        <a:p>
          <a:pPr algn="l"/>
          <a:r>
            <a:rPr lang="es-PE" sz="1200" b="1" baseline="0"/>
            <a:t>-Cuelo: Solo se puede escoger una de las dos</a:t>
          </a:r>
          <a:endParaRPr lang="es-PE" sz="1200" b="1"/>
        </a:p>
      </xdr:txBody>
    </xdr:sp>
    <xdr:clientData/>
  </xdr:twoCellAnchor>
  <xdr:twoCellAnchor>
    <xdr:from>
      <xdr:col>3</xdr:col>
      <xdr:colOff>1638301</xdr:colOff>
      <xdr:row>7</xdr:row>
      <xdr:rowOff>95250</xdr:rowOff>
    </xdr:from>
    <xdr:to>
      <xdr:col>4</xdr:col>
      <xdr:colOff>902495</xdr:colOff>
      <xdr:row>9</xdr:row>
      <xdr:rowOff>0</xdr:rowOff>
    </xdr:to>
    <xdr:sp macro="" textlink="">
      <xdr:nvSpPr>
        <xdr:cNvPr id="6" name="Flecha: hacia abajo 5">
          <a:extLst>
            <a:ext uri="{FF2B5EF4-FFF2-40B4-BE49-F238E27FC236}">
              <a16:creationId xmlns:a16="http://schemas.microsoft.com/office/drawing/2014/main" id="{F4EBCFE0-1E79-4796-8F0F-6FC505F303AD}"/>
            </a:ext>
          </a:extLst>
        </xdr:cNvPr>
        <xdr:cNvSpPr/>
      </xdr:nvSpPr>
      <xdr:spPr>
        <a:xfrm>
          <a:off x="4724401" y="1600200"/>
          <a:ext cx="940594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495300</xdr:colOff>
      <xdr:row>9</xdr:row>
      <xdr:rowOff>123822</xdr:rowOff>
    </xdr:from>
    <xdr:to>
      <xdr:col>5</xdr:col>
      <xdr:colOff>1114425</xdr:colOff>
      <xdr:row>14</xdr:row>
      <xdr:rowOff>57149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3DE54A2D-52B2-4503-AC7B-8D8BD1796CBB}"/>
            </a:ext>
          </a:extLst>
        </xdr:cNvPr>
        <xdr:cNvSpPr/>
      </xdr:nvSpPr>
      <xdr:spPr>
        <a:xfrm>
          <a:off x="3581400" y="2009772"/>
          <a:ext cx="3305175" cy="885827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NOTA: </a:t>
          </a:r>
        </a:p>
        <a:p>
          <a:pPr algn="l"/>
          <a:r>
            <a:rPr lang="es-PE" sz="1200" b="1"/>
            <a:t>-Bordado:</a:t>
          </a:r>
          <a:r>
            <a:rPr lang="es-PE" sz="1200" b="1" baseline="0"/>
            <a:t> Puede llevar como no</a:t>
          </a:r>
        </a:p>
        <a:p>
          <a:pPr algn="l"/>
          <a:r>
            <a:rPr lang="es-PE" sz="1200" b="1" baseline="0"/>
            <a:t>- Tela: Solo se puede escoger una de las dos</a:t>
          </a:r>
        </a:p>
        <a:p>
          <a:pPr algn="l"/>
          <a:r>
            <a:rPr lang="es-PE" sz="1200" b="1" baseline="0"/>
            <a:t>-Estampado Interno: Puede llevar como no</a:t>
          </a:r>
          <a:endParaRPr lang="es-PE" sz="1200" b="1"/>
        </a:p>
      </xdr:txBody>
    </xdr:sp>
    <xdr:clientData/>
  </xdr:twoCellAnchor>
  <xdr:twoCellAnchor>
    <xdr:from>
      <xdr:col>6</xdr:col>
      <xdr:colOff>1343026</xdr:colOff>
      <xdr:row>9</xdr:row>
      <xdr:rowOff>57150</xdr:rowOff>
    </xdr:from>
    <xdr:to>
      <xdr:col>7</xdr:col>
      <xdr:colOff>845345</xdr:colOff>
      <xdr:row>10</xdr:row>
      <xdr:rowOff>152400</xdr:rowOff>
    </xdr:to>
    <xdr:sp macro="" textlink="">
      <xdr:nvSpPr>
        <xdr:cNvPr id="8" name="Flecha: hacia abajo 7">
          <a:extLst>
            <a:ext uri="{FF2B5EF4-FFF2-40B4-BE49-F238E27FC236}">
              <a16:creationId xmlns:a16="http://schemas.microsoft.com/office/drawing/2014/main" id="{5689BA19-BDF8-474D-8ACA-D62014A066B5}"/>
            </a:ext>
          </a:extLst>
        </xdr:cNvPr>
        <xdr:cNvSpPr/>
      </xdr:nvSpPr>
      <xdr:spPr>
        <a:xfrm>
          <a:off x="8486776" y="1943100"/>
          <a:ext cx="940594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9525</xdr:colOff>
      <xdr:row>10</xdr:row>
      <xdr:rowOff>171448</xdr:rowOff>
    </xdr:from>
    <xdr:to>
      <xdr:col>8</xdr:col>
      <xdr:colOff>1066800</xdr:colOff>
      <xdr:row>17</xdr:row>
      <xdr:rowOff>57150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A667C57C-0665-459D-A935-4A45C5AD5179}"/>
            </a:ext>
          </a:extLst>
        </xdr:cNvPr>
        <xdr:cNvSpPr/>
      </xdr:nvSpPr>
      <xdr:spPr>
        <a:xfrm>
          <a:off x="7153275" y="2247898"/>
          <a:ext cx="3505200" cy="1219202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NOTA: </a:t>
          </a:r>
        </a:p>
        <a:p>
          <a:pPr algn="l"/>
          <a:r>
            <a:rPr lang="es-PE" sz="1200" b="1"/>
            <a:t>-Broche:</a:t>
          </a:r>
          <a:r>
            <a:rPr lang="es-PE" sz="1200" b="1" baseline="0"/>
            <a:t> Puede llevar como no</a:t>
          </a:r>
        </a:p>
        <a:p>
          <a:pPr algn="l"/>
          <a:r>
            <a:rPr lang="es-PE" sz="1200" b="1" baseline="0"/>
            <a:t>-Ciere: Puede llevar como no</a:t>
          </a:r>
        </a:p>
        <a:p>
          <a:pPr algn="l"/>
          <a:r>
            <a:rPr lang="es-PE" sz="1200" b="1" baseline="0"/>
            <a:t>-Tela: Solo se puede escoger una de las dos</a:t>
          </a:r>
        </a:p>
        <a:p>
          <a:pPr algn="l"/>
          <a:r>
            <a:rPr lang="es-PE" sz="1200" b="1" baseline="0"/>
            <a:t>-Bordado: Puede llevar como no.</a:t>
          </a:r>
        </a:p>
        <a:p>
          <a:pPr algn="l"/>
          <a:r>
            <a:rPr lang="es-PE" sz="1200" b="1" baseline="0"/>
            <a:t>-Estampado Interno:Puede llevar como no</a:t>
          </a:r>
          <a:endParaRPr lang="es-PE" sz="1200" b="1"/>
        </a:p>
      </xdr:txBody>
    </xdr:sp>
    <xdr:clientData/>
  </xdr:twoCellAnchor>
  <xdr:twoCellAnchor>
    <xdr:from>
      <xdr:col>7</xdr:col>
      <xdr:colOff>771525</xdr:colOff>
      <xdr:row>12</xdr:row>
      <xdr:rowOff>85725</xdr:rowOff>
    </xdr:from>
    <xdr:to>
      <xdr:col>7</xdr:col>
      <xdr:colOff>1000125</xdr:colOff>
      <xdr:row>13</xdr:row>
      <xdr:rowOff>76200</xdr:rowOff>
    </xdr:to>
    <xdr:sp macro="" textlink="">
      <xdr:nvSpPr>
        <xdr:cNvPr id="10" name="Flecha: a la derecha 9">
          <a:extLst>
            <a:ext uri="{FF2B5EF4-FFF2-40B4-BE49-F238E27FC236}">
              <a16:creationId xmlns:a16="http://schemas.microsoft.com/office/drawing/2014/main" id="{618248CF-377A-43CF-92D5-A8CA735B40F4}"/>
            </a:ext>
          </a:extLst>
        </xdr:cNvPr>
        <xdr:cNvSpPr/>
      </xdr:nvSpPr>
      <xdr:spPr>
        <a:xfrm>
          <a:off x="9353550" y="2543175"/>
          <a:ext cx="228600" cy="180975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1</xdr:colOff>
      <xdr:row>11</xdr:row>
      <xdr:rowOff>38100</xdr:rowOff>
    </xdr:from>
    <xdr:to>
      <xdr:col>8</xdr:col>
      <xdr:colOff>1057275</xdr:colOff>
      <xdr:row>13</xdr:row>
      <xdr:rowOff>161925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77BB4B50-6773-4AD5-9233-408BB35B602F}"/>
            </a:ext>
          </a:extLst>
        </xdr:cNvPr>
        <xdr:cNvSpPr/>
      </xdr:nvSpPr>
      <xdr:spPr>
        <a:xfrm>
          <a:off x="9591676" y="2305050"/>
          <a:ext cx="1057274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>
              <a:solidFill>
                <a:schemeClr val="tx1"/>
              </a:solidFill>
            </a:rPr>
            <a:t>Al menos uno de los dos</a:t>
          </a:r>
        </a:p>
      </xdr:txBody>
    </xdr:sp>
    <xdr:clientData/>
  </xdr:twoCellAnchor>
  <xdr:oneCellAnchor>
    <xdr:from>
      <xdr:col>4</xdr:col>
      <xdr:colOff>533400</xdr:colOff>
      <xdr:row>0</xdr:row>
      <xdr:rowOff>87406</xdr:rowOff>
    </xdr:from>
    <xdr:ext cx="283766" cy="340351"/>
    <xdr:sp macro="" textlink="">
      <xdr:nvSpPr>
        <xdr:cNvPr id="12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7D20100F-4719-4C0D-AEFC-311C859D758A}"/>
            </a:ext>
          </a:extLst>
        </xdr:cNvPr>
        <xdr:cNvSpPr/>
      </xdr:nvSpPr>
      <xdr:spPr>
        <a:xfrm>
          <a:off x="5295900" y="87406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735666</xdr:colOff>
      <xdr:row>5</xdr:row>
      <xdr:rowOff>89647</xdr:rowOff>
    </xdr:from>
    <xdr:ext cx="1552575" cy="564257"/>
    <xdr:sp macro="" textlink="">
      <xdr:nvSpPr>
        <xdr:cNvPr id="2" name="14 CuadroTexto">
          <a:extLst>
            <a:ext uri="{FF2B5EF4-FFF2-40B4-BE49-F238E27FC236}">
              <a16:creationId xmlns:a16="http://schemas.microsoft.com/office/drawing/2014/main" id="{1D56655F-0A7A-48C2-9884-F5B42C79B9BF}"/>
            </a:ext>
          </a:extLst>
        </xdr:cNvPr>
        <xdr:cNvSpPr txBox="1"/>
      </xdr:nvSpPr>
      <xdr:spPr>
        <a:xfrm>
          <a:off x="6069666" y="661147"/>
          <a:ext cx="1552575" cy="56425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MATERIALES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DIRECTOS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10</xdr:col>
      <xdr:colOff>313204</xdr:colOff>
      <xdr:row>5</xdr:row>
      <xdr:rowOff>112058</xdr:rowOff>
    </xdr:from>
    <xdr:ext cx="1552575" cy="564257"/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84940C5B-1BE1-44D3-AE6F-7E98D5506352}"/>
            </a:ext>
          </a:extLst>
        </xdr:cNvPr>
        <xdr:cNvSpPr txBox="1"/>
      </xdr:nvSpPr>
      <xdr:spPr>
        <a:xfrm>
          <a:off x="7933204" y="683558"/>
          <a:ext cx="1552575" cy="56425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SERVICIOS </a:t>
          </a:r>
          <a:r>
            <a:rPr lang="es-PE" sz="1600" b="1" baseline="0">
              <a:latin typeface="Arial" pitchFamily="34" charset="0"/>
              <a:cs typeface="Arial" pitchFamily="34" charset="0"/>
            </a:rPr>
            <a:t>DIRECTOS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12</xdr:col>
      <xdr:colOff>628088</xdr:colOff>
      <xdr:row>5</xdr:row>
      <xdr:rowOff>112057</xdr:rowOff>
    </xdr:from>
    <xdr:ext cx="1552575" cy="564257"/>
    <xdr:sp macro="" textlink="">
      <xdr:nvSpPr>
        <xdr:cNvPr id="4" name="16 CuadroTexto">
          <a:extLst>
            <a:ext uri="{FF2B5EF4-FFF2-40B4-BE49-F238E27FC236}">
              <a16:creationId xmlns:a16="http://schemas.microsoft.com/office/drawing/2014/main" id="{9BFEFD2B-E049-49A5-9052-2E632A872739}"/>
            </a:ext>
          </a:extLst>
        </xdr:cNvPr>
        <xdr:cNvSpPr txBox="1"/>
      </xdr:nvSpPr>
      <xdr:spPr>
        <a:xfrm>
          <a:off x="9772088" y="683557"/>
          <a:ext cx="1552575" cy="56425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 baseline="0">
              <a:latin typeface="Arial" pitchFamily="34" charset="0"/>
              <a:cs typeface="Arial" pitchFamily="34" charset="0"/>
            </a:rPr>
            <a:t>MANO OBRA DIRECTA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11206</xdr:colOff>
      <xdr:row>10</xdr:row>
      <xdr:rowOff>156883</xdr:rowOff>
    </xdr:from>
    <xdr:to>
      <xdr:col>14</xdr:col>
      <xdr:colOff>526676</xdr:colOff>
      <xdr:row>29</xdr:row>
      <xdr:rowOff>181686</xdr:rowOff>
    </xdr:to>
    <xdr:sp macro="" textlink="">
      <xdr:nvSpPr>
        <xdr:cNvPr id="5" name="1 Rectángulo">
          <a:extLst>
            <a:ext uri="{FF2B5EF4-FFF2-40B4-BE49-F238E27FC236}">
              <a16:creationId xmlns:a16="http://schemas.microsoft.com/office/drawing/2014/main" id="{4EC10E05-4C10-4B88-900A-367CE5FF9D81}"/>
            </a:ext>
          </a:extLst>
        </xdr:cNvPr>
        <xdr:cNvSpPr/>
      </xdr:nvSpPr>
      <xdr:spPr>
        <a:xfrm>
          <a:off x="11206" y="1680883"/>
          <a:ext cx="11183470" cy="364430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0</xdr:col>
      <xdr:colOff>69477</xdr:colOff>
      <xdr:row>17</xdr:row>
      <xdr:rowOff>44824</xdr:rowOff>
    </xdr:from>
    <xdr:ext cx="1656229" cy="800219"/>
    <xdr:sp macro="" textlink="">
      <xdr:nvSpPr>
        <xdr:cNvPr id="6" name="2 CuadroTexto">
          <a:extLst>
            <a:ext uri="{FF2B5EF4-FFF2-40B4-BE49-F238E27FC236}">
              <a16:creationId xmlns:a16="http://schemas.microsoft.com/office/drawing/2014/main" id="{AAF9D9F0-8999-4C74-9078-20A24731B5E4}"/>
            </a:ext>
          </a:extLst>
        </xdr:cNvPr>
        <xdr:cNvSpPr txBox="1"/>
      </xdr:nvSpPr>
      <xdr:spPr>
        <a:xfrm>
          <a:off x="69477" y="2902324"/>
          <a:ext cx="1656229" cy="800219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ELEMENTO DE COSTO</a:t>
          </a: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(EC)</a:t>
          </a:r>
        </a:p>
      </xdr:txBody>
    </xdr:sp>
    <xdr:clientData/>
  </xdr:oneCellAnchor>
  <xdr:oneCellAnchor>
    <xdr:from>
      <xdr:col>10</xdr:col>
      <xdr:colOff>75080</xdr:colOff>
      <xdr:row>16</xdr:row>
      <xdr:rowOff>119717</xdr:rowOff>
    </xdr:from>
    <xdr:ext cx="1171575" cy="800219"/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E346A76B-13BC-43F5-AFD3-3897A6EAC9EC}"/>
            </a:ext>
          </a:extLst>
        </xdr:cNvPr>
        <xdr:cNvSpPr txBox="1"/>
      </xdr:nvSpPr>
      <xdr:spPr>
        <a:xfrm>
          <a:off x="7695080" y="2786717"/>
          <a:ext cx="1171575" cy="800219"/>
        </a:xfrm>
        <a:prstGeom prst="rect">
          <a:avLst/>
        </a:prstGeom>
        <a:solidFill>
          <a:srgbClr val="92D050"/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ORDEN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TRABAJO (OT)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12</xdr:col>
      <xdr:colOff>496982</xdr:colOff>
      <xdr:row>16</xdr:row>
      <xdr:rowOff>119716</xdr:rowOff>
    </xdr:from>
    <xdr:ext cx="1390649" cy="800219"/>
    <xdr:sp macro="" textlink="">
      <xdr:nvSpPr>
        <xdr:cNvPr id="8" name="4 CuadroTexto">
          <a:extLst>
            <a:ext uri="{FF2B5EF4-FFF2-40B4-BE49-F238E27FC236}">
              <a16:creationId xmlns:a16="http://schemas.microsoft.com/office/drawing/2014/main" id="{E716CFB5-4DF4-4179-A331-7386F0DA2B6F}"/>
            </a:ext>
          </a:extLst>
        </xdr:cNvPr>
        <xdr:cNvSpPr txBox="1"/>
      </xdr:nvSpPr>
      <xdr:spPr>
        <a:xfrm>
          <a:off x="9640982" y="2786716"/>
          <a:ext cx="1390649" cy="80021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OBJETO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DE COSTO</a:t>
          </a:r>
          <a:endParaRPr lang="es-PE" sz="1600" b="1">
            <a:latin typeface="Arial" pitchFamily="34" charset="0"/>
            <a:cs typeface="Arial" pitchFamily="34" charset="0"/>
          </a:endParaRP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(OC)</a:t>
          </a:r>
        </a:p>
      </xdr:txBody>
    </xdr:sp>
    <xdr:clientData/>
  </xdr:oneCellAnchor>
  <xdr:oneCellAnchor>
    <xdr:from>
      <xdr:col>0</xdr:col>
      <xdr:colOff>190500</xdr:colOff>
      <xdr:row>22</xdr:row>
      <xdr:rowOff>174065</xdr:rowOff>
    </xdr:from>
    <xdr:ext cx="1737014" cy="254557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536D605C-E168-45B4-9049-8387255A44E5}"/>
            </a:ext>
          </a:extLst>
        </xdr:cNvPr>
        <xdr:cNvSpPr txBox="1"/>
      </xdr:nvSpPr>
      <xdr:spPr>
        <a:xfrm>
          <a:off x="190500" y="3984065"/>
          <a:ext cx="1737014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 EC - CA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508747</xdr:colOff>
      <xdr:row>25</xdr:row>
      <xdr:rowOff>140448</xdr:rowOff>
    </xdr:from>
    <xdr:ext cx="1737014" cy="254557"/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4239B2BF-607D-4C9F-8C58-7A8F289EABE8}"/>
            </a:ext>
          </a:extLst>
        </xdr:cNvPr>
        <xdr:cNvSpPr txBox="1"/>
      </xdr:nvSpPr>
      <xdr:spPr>
        <a:xfrm>
          <a:off x="2794747" y="4521948"/>
          <a:ext cx="1737014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 CA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 - AC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91888</xdr:colOff>
      <xdr:row>11</xdr:row>
      <xdr:rowOff>190313</xdr:rowOff>
    </xdr:from>
    <xdr:ext cx="1171575" cy="534762"/>
    <xdr:sp macro="" textlink="">
      <xdr:nvSpPr>
        <xdr:cNvPr id="11" name="11 CuadroTexto">
          <a:extLst>
            <a:ext uri="{FF2B5EF4-FFF2-40B4-BE49-F238E27FC236}">
              <a16:creationId xmlns:a16="http://schemas.microsoft.com/office/drawing/2014/main" id="{1E0B33C3-BACF-4712-9B31-530C348E853D}"/>
            </a:ext>
          </a:extLst>
        </xdr:cNvPr>
        <xdr:cNvSpPr txBox="1"/>
      </xdr:nvSpPr>
      <xdr:spPr>
        <a:xfrm>
          <a:off x="2377888" y="1949637"/>
          <a:ext cx="1171575" cy="534762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CENTRO DE ACTIVIDAD ESTRATÉGICA</a:t>
          </a:r>
        </a:p>
      </xdr:txBody>
    </xdr:sp>
    <xdr:clientData/>
  </xdr:oneCellAnchor>
  <xdr:oneCellAnchor>
    <xdr:from>
      <xdr:col>0</xdr:col>
      <xdr:colOff>148478</xdr:colOff>
      <xdr:row>5</xdr:row>
      <xdr:rowOff>98052</xdr:rowOff>
    </xdr:from>
    <xdr:ext cx="1552575" cy="564257"/>
    <xdr:sp macro="" textlink="">
      <xdr:nvSpPr>
        <xdr:cNvPr id="12" name="18 CuadroTexto">
          <a:extLst>
            <a:ext uri="{FF2B5EF4-FFF2-40B4-BE49-F238E27FC236}">
              <a16:creationId xmlns:a16="http://schemas.microsoft.com/office/drawing/2014/main" id="{A88CB51A-DCDA-41A5-A8A9-AFBCB77057F4}"/>
            </a:ext>
          </a:extLst>
        </xdr:cNvPr>
        <xdr:cNvSpPr txBox="1"/>
      </xdr:nvSpPr>
      <xdr:spPr>
        <a:xfrm>
          <a:off x="148478" y="714376"/>
          <a:ext cx="1552575" cy="56425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COSTOS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INDIRECTOS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721099</xdr:colOff>
      <xdr:row>17</xdr:row>
      <xdr:rowOff>176866</xdr:rowOff>
    </xdr:from>
    <xdr:ext cx="1171575" cy="534762"/>
    <xdr:sp macro="" textlink="">
      <xdr:nvSpPr>
        <xdr:cNvPr id="13" name="26 CuadroTexto">
          <a:extLst>
            <a:ext uri="{FF2B5EF4-FFF2-40B4-BE49-F238E27FC236}">
              <a16:creationId xmlns:a16="http://schemas.microsoft.com/office/drawing/2014/main" id="{8631211D-AC28-4EED-B922-C2E9E32D5D99}"/>
            </a:ext>
          </a:extLst>
        </xdr:cNvPr>
        <xdr:cNvSpPr txBox="1"/>
      </xdr:nvSpPr>
      <xdr:spPr>
        <a:xfrm>
          <a:off x="2245099" y="3034366"/>
          <a:ext cx="1171575" cy="534762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CENTRO DE ACTIVIDAD DE APOYO</a:t>
          </a:r>
        </a:p>
      </xdr:txBody>
    </xdr:sp>
    <xdr:clientData/>
  </xdr:oneCellAnchor>
  <xdr:oneCellAnchor>
    <xdr:from>
      <xdr:col>2</xdr:col>
      <xdr:colOff>676275</xdr:colOff>
      <xdr:row>22</xdr:row>
      <xdr:rowOff>121396</xdr:rowOff>
    </xdr:from>
    <xdr:ext cx="1171575" cy="534762"/>
    <xdr:sp macro="" textlink="">
      <xdr:nvSpPr>
        <xdr:cNvPr id="14" name="27 CuadroTexto">
          <a:extLst>
            <a:ext uri="{FF2B5EF4-FFF2-40B4-BE49-F238E27FC236}">
              <a16:creationId xmlns:a16="http://schemas.microsoft.com/office/drawing/2014/main" id="{017E10D8-9780-4373-8B35-28666C46196B}"/>
            </a:ext>
          </a:extLst>
        </xdr:cNvPr>
        <xdr:cNvSpPr txBox="1"/>
      </xdr:nvSpPr>
      <xdr:spPr>
        <a:xfrm>
          <a:off x="2200275" y="3931396"/>
          <a:ext cx="1171575" cy="534762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CENTRO DE ACTIVIDAD OPERATIVA</a:t>
          </a:r>
        </a:p>
      </xdr:txBody>
    </xdr:sp>
    <xdr:clientData/>
  </xdr:oneCellAnchor>
  <xdr:oneCellAnchor>
    <xdr:from>
      <xdr:col>9</xdr:col>
      <xdr:colOff>334271</xdr:colOff>
      <xdr:row>23</xdr:row>
      <xdr:rowOff>30929</xdr:rowOff>
    </xdr:from>
    <xdr:ext cx="1846659" cy="254557"/>
    <xdr:sp macro="" textlink="">
      <xdr:nvSpPr>
        <xdr:cNvPr id="15" name="22 CuadroTexto">
          <a:extLst>
            <a:ext uri="{FF2B5EF4-FFF2-40B4-BE49-F238E27FC236}">
              <a16:creationId xmlns:a16="http://schemas.microsoft.com/office/drawing/2014/main" id="{8A4B9366-DCBC-4AD5-87DB-3D33FAC07612}"/>
            </a:ext>
          </a:extLst>
        </xdr:cNvPr>
        <xdr:cNvSpPr txBox="1"/>
      </xdr:nvSpPr>
      <xdr:spPr>
        <a:xfrm>
          <a:off x="7192271" y="4031429"/>
          <a:ext cx="1846659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 ACO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 - OT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</xdr:col>
      <xdr:colOff>201706</xdr:colOff>
      <xdr:row>13</xdr:row>
      <xdr:rowOff>76694</xdr:rowOff>
    </xdr:from>
    <xdr:to>
      <xdr:col>3</xdr:col>
      <xdr:colOff>91888</xdr:colOff>
      <xdr:row>19</xdr:row>
      <xdr:rowOff>63934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7957FDA6-9996-49E4-857E-5E8F5E242FF2}"/>
            </a:ext>
          </a:extLst>
        </xdr:cNvPr>
        <xdr:cNvCxnSpPr>
          <a:stCxn id="6" idx="3"/>
          <a:endCxn id="11" idx="1"/>
        </xdr:cNvCxnSpPr>
      </xdr:nvCxnSpPr>
      <xdr:spPr>
        <a:xfrm flipV="1">
          <a:off x="1725706" y="2217018"/>
          <a:ext cx="652182" cy="1130240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201706</xdr:colOff>
      <xdr:row>19</xdr:row>
      <xdr:rowOff>63247</xdr:rowOff>
    </xdr:from>
    <xdr:to>
      <xdr:col>2</xdr:col>
      <xdr:colOff>721099</xdr:colOff>
      <xdr:row>19</xdr:row>
      <xdr:rowOff>63934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DF5D7BB8-D1E5-4294-90B4-130D5941595A}"/>
            </a:ext>
          </a:extLst>
        </xdr:cNvPr>
        <xdr:cNvCxnSpPr>
          <a:stCxn id="6" idx="3"/>
          <a:endCxn id="13" idx="1"/>
        </xdr:cNvCxnSpPr>
      </xdr:nvCxnSpPr>
      <xdr:spPr>
        <a:xfrm flipV="1">
          <a:off x="1725706" y="3301747"/>
          <a:ext cx="519393" cy="687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201706</xdr:colOff>
      <xdr:row>19</xdr:row>
      <xdr:rowOff>63934</xdr:rowOff>
    </xdr:from>
    <xdr:to>
      <xdr:col>2</xdr:col>
      <xdr:colOff>676275</xdr:colOff>
      <xdr:row>24</xdr:row>
      <xdr:rowOff>7777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A1EEDA88-503F-4662-9531-13B4C2762A7C}"/>
            </a:ext>
          </a:extLst>
        </xdr:cNvPr>
        <xdr:cNvCxnSpPr>
          <a:stCxn id="6" idx="3"/>
          <a:endCxn id="14" idx="1"/>
        </xdr:cNvCxnSpPr>
      </xdr:nvCxnSpPr>
      <xdr:spPr>
        <a:xfrm>
          <a:off x="1725706" y="3302434"/>
          <a:ext cx="474569" cy="896343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135592</xdr:colOff>
      <xdr:row>8</xdr:row>
      <xdr:rowOff>90809</xdr:rowOff>
    </xdr:from>
    <xdr:to>
      <xdr:col>1</xdr:col>
      <xdr:colOff>162766</xdr:colOff>
      <xdr:row>17</xdr:row>
      <xdr:rowOff>44824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F5C01183-F804-49D4-95CD-6C082982C5EA}"/>
            </a:ext>
          </a:extLst>
        </xdr:cNvPr>
        <xdr:cNvCxnSpPr>
          <a:stCxn id="12" idx="2"/>
          <a:endCxn id="6" idx="0"/>
        </xdr:cNvCxnSpPr>
      </xdr:nvCxnSpPr>
      <xdr:spPr>
        <a:xfrm flipH="1">
          <a:off x="897592" y="1278633"/>
          <a:ext cx="27174" cy="1668515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484655</xdr:colOff>
      <xdr:row>18</xdr:row>
      <xdr:rowOff>138826</xdr:rowOff>
    </xdr:from>
    <xdr:to>
      <xdr:col>12</xdr:col>
      <xdr:colOff>496982</xdr:colOff>
      <xdr:row>18</xdr:row>
      <xdr:rowOff>138827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27218A7A-4DD3-46F9-95C8-3D389F65EC0A}"/>
            </a:ext>
          </a:extLst>
        </xdr:cNvPr>
        <xdr:cNvCxnSpPr>
          <a:stCxn id="7" idx="3"/>
          <a:endCxn id="8" idx="1"/>
        </xdr:cNvCxnSpPr>
      </xdr:nvCxnSpPr>
      <xdr:spPr>
        <a:xfrm flipV="1">
          <a:off x="8866655" y="3186826"/>
          <a:ext cx="774327" cy="1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660868</xdr:colOff>
      <xdr:row>8</xdr:row>
      <xdr:rowOff>104814</xdr:rowOff>
    </xdr:from>
    <xdr:to>
      <xdr:col>13</xdr:col>
      <xdr:colOff>642376</xdr:colOff>
      <xdr:row>16</xdr:row>
      <xdr:rowOff>119717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B3BA184D-8B31-4D48-8C83-3401541373E0}"/>
            </a:ext>
          </a:extLst>
        </xdr:cNvPr>
        <xdr:cNvCxnSpPr>
          <a:stCxn id="4" idx="2"/>
          <a:endCxn id="7" idx="0"/>
        </xdr:cNvCxnSpPr>
      </xdr:nvCxnSpPr>
      <xdr:spPr>
        <a:xfrm flipH="1">
          <a:off x="8280868" y="1247814"/>
          <a:ext cx="2267508" cy="1538903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660868</xdr:colOff>
      <xdr:row>8</xdr:row>
      <xdr:rowOff>104815</xdr:rowOff>
    </xdr:from>
    <xdr:to>
      <xdr:col>11</xdr:col>
      <xdr:colOff>327492</xdr:colOff>
      <xdr:row>16</xdr:row>
      <xdr:rowOff>119717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717F69BF-5925-4CD3-99F0-2D764DAF1AB9}"/>
            </a:ext>
          </a:extLst>
        </xdr:cNvPr>
        <xdr:cNvCxnSpPr>
          <a:stCxn id="3" idx="2"/>
          <a:endCxn id="7" idx="0"/>
        </xdr:cNvCxnSpPr>
      </xdr:nvCxnSpPr>
      <xdr:spPr>
        <a:xfrm flipH="1">
          <a:off x="8280868" y="1247815"/>
          <a:ext cx="428624" cy="1538902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749954</xdr:colOff>
      <xdr:row>8</xdr:row>
      <xdr:rowOff>82404</xdr:rowOff>
    </xdr:from>
    <xdr:to>
      <xdr:col>10</xdr:col>
      <xdr:colOff>660868</xdr:colOff>
      <xdr:row>16</xdr:row>
      <xdr:rowOff>119717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920B75BD-9AD4-4FF8-ABF1-E98DAB0FF5A6}"/>
            </a:ext>
          </a:extLst>
        </xdr:cNvPr>
        <xdr:cNvCxnSpPr>
          <a:stCxn id="2" idx="2"/>
          <a:endCxn id="7" idx="0"/>
        </xdr:cNvCxnSpPr>
      </xdr:nvCxnSpPr>
      <xdr:spPr>
        <a:xfrm>
          <a:off x="6845954" y="1225404"/>
          <a:ext cx="1434914" cy="1561313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416858</xdr:colOff>
      <xdr:row>12</xdr:row>
      <xdr:rowOff>67048</xdr:rowOff>
    </xdr:from>
    <xdr:ext cx="1171575" cy="387286"/>
    <xdr:sp macro="" textlink="">
      <xdr:nvSpPr>
        <xdr:cNvPr id="24" name="11 CuadroTexto">
          <a:extLst>
            <a:ext uri="{FF2B5EF4-FFF2-40B4-BE49-F238E27FC236}">
              <a16:creationId xmlns:a16="http://schemas.microsoft.com/office/drawing/2014/main" id="{79B5962A-1469-498A-99E1-5EAF4FA86CC4}"/>
            </a:ext>
          </a:extLst>
        </xdr:cNvPr>
        <xdr:cNvSpPr txBox="1"/>
      </xdr:nvSpPr>
      <xdr:spPr>
        <a:xfrm>
          <a:off x="4226858" y="2016872"/>
          <a:ext cx="1171575" cy="387286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ACTIVIDAD ESTRATÉGICA</a:t>
          </a:r>
        </a:p>
      </xdr:txBody>
    </xdr:sp>
    <xdr:clientData/>
  </xdr:oneCellAnchor>
  <xdr:oneCellAnchor>
    <xdr:from>
      <xdr:col>5</xdr:col>
      <xdr:colOff>98612</xdr:colOff>
      <xdr:row>18</xdr:row>
      <xdr:rowOff>40153</xdr:rowOff>
    </xdr:from>
    <xdr:ext cx="1171575" cy="387286"/>
    <xdr:sp macro="" textlink="">
      <xdr:nvSpPr>
        <xdr:cNvPr id="25" name="11 CuadroTexto">
          <a:extLst>
            <a:ext uri="{FF2B5EF4-FFF2-40B4-BE49-F238E27FC236}">
              <a16:creationId xmlns:a16="http://schemas.microsoft.com/office/drawing/2014/main" id="{086DF2B7-7B6E-4BF9-B9E8-15495A2A05D9}"/>
            </a:ext>
          </a:extLst>
        </xdr:cNvPr>
        <xdr:cNvSpPr txBox="1"/>
      </xdr:nvSpPr>
      <xdr:spPr>
        <a:xfrm>
          <a:off x="3908612" y="3088153"/>
          <a:ext cx="1171575" cy="387286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ACTIVIDAD DE APOYO</a:t>
          </a:r>
        </a:p>
      </xdr:txBody>
    </xdr:sp>
    <xdr:clientData/>
  </xdr:oneCellAnchor>
  <xdr:oneCellAnchor>
    <xdr:from>
      <xdr:col>7</xdr:col>
      <xdr:colOff>463924</xdr:colOff>
      <xdr:row>23</xdr:row>
      <xdr:rowOff>24466</xdr:rowOff>
    </xdr:from>
    <xdr:ext cx="1171575" cy="387286"/>
    <xdr:sp macro="" textlink="">
      <xdr:nvSpPr>
        <xdr:cNvPr id="26" name="11 CuadroTexto">
          <a:extLst>
            <a:ext uri="{FF2B5EF4-FFF2-40B4-BE49-F238E27FC236}">
              <a16:creationId xmlns:a16="http://schemas.microsoft.com/office/drawing/2014/main" id="{8CA00927-3D83-4D8B-8B13-8635645C4C2A}"/>
            </a:ext>
          </a:extLst>
        </xdr:cNvPr>
        <xdr:cNvSpPr txBox="1"/>
      </xdr:nvSpPr>
      <xdr:spPr>
        <a:xfrm>
          <a:off x="5797924" y="4024966"/>
          <a:ext cx="1171575" cy="387286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ACTIVIDAD OPERATIVA</a:t>
          </a:r>
        </a:p>
      </xdr:txBody>
    </xdr:sp>
    <xdr:clientData/>
  </xdr:oneCellAnchor>
  <xdr:twoCellAnchor>
    <xdr:from>
      <xdr:col>4</xdr:col>
      <xdr:colOff>501463</xdr:colOff>
      <xdr:row>13</xdr:row>
      <xdr:rowOff>70191</xdr:rowOff>
    </xdr:from>
    <xdr:to>
      <xdr:col>5</xdr:col>
      <xdr:colOff>416858</xdr:colOff>
      <xdr:row>13</xdr:row>
      <xdr:rowOff>76694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2959273B-AD4A-40D5-B0C1-8C2C0CC48B8C}"/>
            </a:ext>
          </a:extLst>
        </xdr:cNvPr>
        <xdr:cNvCxnSpPr>
          <a:stCxn id="11" idx="3"/>
          <a:endCxn id="24" idx="1"/>
        </xdr:cNvCxnSpPr>
      </xdr:nvCxnSpPr>
      <xdr:spPr>
        <a:xfrm flipV="1">
          <a:off x="3549463" y="2210515"/>
          <a:ext cx="677395" cy="6503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368674</xdr:colOff>
      <xdr:row>19</xdr:row>
      <xdr:rowOff>43296</xdr:rowOff>
    </xdr:from>
    <xdr:to>
      <xdr:col>5</xdr:col>
      <xdr:colOff>98612</xdr:colOff>
      <xdr:row>19</xdr:row>
      <xdr:rowOff>63247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0528074D-0090-4051-BA63-D536CE79EC6E}"/>
            </a:ext>
          </a:extLst>
        </xdr:cNvPr>
        <xdr:cNvCxnSpPr>
          <a:stCxn id="13" idx="3"/>
          <a:endCxn id="25" idx="1"/>
        </xdr:cNvCxnSpPr>
      </xdr:nvCxnSpPr>
      <xdr:spPr>
        <a:xfrm flipV="1">
          <a:off x="3416674" y="3281796"/>
          <a:ext cx="491938" cy="19951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24</xdr:row>
      <xdr:rowOff>7777</xdr:rowOff>
    </xdr:from>
    <xdr:to>
      <xdr:col>7</xdr:col>
      <xdr:colOff>463924</xdr:colOff>
      <xdr:row>24</xdr:row>
      <xdr:rowOff>27609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BEAB6A25-C189-4793-B651-1747D2A32B51}"/>
            </a:ext>
          </a:extLst>
        </xdr:cNvPr>
        <xdr:cNvCxnSpPr>
          <a:stCxn id="14" idx="3"/>
          <a:endCxn id="26" idx="1"/>
        </xdr:cNvCxnSpPr>
      </xdr:nvCxnSpPr>
      <xdr:spPr>
        <a:xfrm>
          <a:off x="3371850" y="4198777"/>
          <a:ext cx="2426074" cy="19832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684400</xdr:colOff>
      <xdr:row>14</xdr:row>
      <xdr:rowOff>73334</xdr:rowOff>
    </xdr:from>
    <xdr:to>
      <xdr:col>6</xdr:col>
      <xdr:colOff>240646</xdr:colOff>
      <xdr:row>18</xdr:row>
      <xdr:rowOff>40153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90947174-9A9B-4826-904A-F16DD92D891B}"/>
            </a:ext>
          </a:extLst>
        </xdr:cNvPr>
        <xdr:cNvCxnSpPr>
          <a:stCxn id="24" idx="2"/>
          <a:endCxn id="25" idx="0"/>
        </xdr:cNvCxnSpPr>
      </xdr:nvCxnSpPr>
      <xdr:spPr>
        <a:xfrm flipH="1">
          <a:off x="4494400" y="2404158"/>
          <a:ext cx="318246" cy="728819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240646</xdr:colOff>
      <xdr:row>14</xdr:row>
      <xdr:rowOff>73334</xdr:rowOff>
    </xdr:from>
    <xdr:to>
      <xdr:col>8</xdr:col>
      <xdr:colOff>287712</xdr:colOff>
      <xdr:row>23</xdr:row>
      <xdr:rowOff>24466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0CCD2CCB-C41D-4A2F-9EA0-D5DBEEE5E279}"/>
            </a:ext>
          </a:extLst>
        </xdr:cNvPr>
        <xdr:cNvCxnSpPr>
          <a:stCxn id="24" idx="2"/>
          <a:endCxn id="26" idx="0"/>
        </xdr:cNvCxnSpPr>
      </xdr:nvCxnSpPr>
      <xdr:spPr>
        <a:xfrm>
          <a:off x="4812646" y="2404158"/>
          <a:ext cx="1571066" cy="1665632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684400</xdr:colOff>
      <xdr:row>20</xdr:row>
      <xdr:rowOff>46439</xdr:rowOff>
    </xdr:from>
    <xdr:to>
      <xdr:col>8</xdr:col>
      <xdr:colOff>287712</xdr:colOff>
      <xdr:row>23</xdr:row>
      <xdr:rowOff>24466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52766CDD-D218-415B-9BCD-F6F02D0E1F28}"/>
            </a:ext>
          </a:extLst>
        </xdr:cNvPr>
        <xdr:cNvCxnSpPr>
          <a:stCxn id="25" idx="2"/>
          <a:endCxn id="26" idx="0"/>
        </xdr:cNvCxnSpPr>
      </xdr:nvCxnSpPr>
      <xdr:spPr>
        <a:xfrm>
          <a:off x="4494400" y="3475439"/>
          <a:ext cx="1889312" cy="549527"/>
        </a:xfrm>
        <a:prstGeom prst="straightConnector1">
          <a:avLst/>
        </a:prstGeom>
        <a:ln w="57150">
          <a:solidFill>
            <a:srgbClr val="00B0F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111499</xdr:colOff>
      <xdr:row>18</xdr:row>
      <xdr:rowOff>138827</xdr:rowOff>
    </xdr:from>
    <xdr:to>
      <xdr:col>10</xdr:col>
      <xdr:colOff>75080</xdr:colOff>
      <xdr:row>24</xdr:row>
      <xdr:rowOff>27609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98B99997-046A-4469-AC8C-55E85DB4E5CB}"/>
            </a:ext>
          </a:extLst>
        </xdr:cNvPr>
        <xdr:cNvCxnSpPr>
          <a:stCxn id="26" idx="3"/>
          <a:endCxn id="7" idx="1"/>
        </xdr:cNvCxnSpPr>
      </xdr:nvCxnSpPr>
      <xdr:spPr>
        <a:xfrm flipV="1">
          <a:off x="6969499" y="3186827"/>
          <a:ext cx="725581" cy="1031782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56029</xdr:colOff>
      <xdr:row>11</xdr:row>
      <xdr:rowOff>172009</xdr:rowOff>
    </xdr:from>
    <xdr:to>
      <xdr:col>9</xdr:col>
      <xdr:colOff>515470</xdr:colOff>
      <xdr:row>14</xdr:row>
      <xdr:rowOff>85555</xdr:rowOff>
    </xdr:to>
    <xdr:sp macro="" textlink="">
      <xdr:nvSpPr>
        <xdr:cNvPr id="34" name="9 Elipse">
          <a:extLst>
            <a:ext uri="{FF2B5EF4-FFF2-40B4-BE49-F238E27FC236}">
              <a16:creationId xmlns:a16="http://schemas.microsoft.com/office/drawing/2014/main" id="{03176017-624E-4BB8-B372-41F66ABB49BA}"/>
            </a:ext>
          </a:extLst>
        </xdr:cNvPr>
        <xdr:cNvSpPr/>
      </xdr:nvSpPr>
      <xdr:spPr>
        <a:xfrm>
          <a:off x="6914029" y="1886509"/>
          <a:ext cx="459441" cy="485046"/>
        </a:xfrm>
        <a:prstGeom prst="ellipse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twoCellAnchor>
  <xdr:twoCellAnchor>
    <xdr:from>
      <xdr:col>10</xdr:col>
      <xdr:colOff>331694</xdr:colOff>
      <xdr:row>10</xdr:row>
      <xdr:rowOff>178732</xdr:rowOff>
    </xdr:from>
    <xdr:to>
      <xdr:col>11</xdr:col>
      <xdr:colOff>29135</xdr:colOff>
      <xdr:row>13</xdr:row>
      <xdr:rowOff>92278</xdr:rowOff>
    </xdr:to>
    <xdr:sp macro="" textlink="">
      <xdr:nvSpPr>
        <xdr:cNvPr id="35" name="9 Elipse">
          <a:extLst>
            <a:ext uri="{FF2B5EF4-FFF2-40B4-BE49-F238E27FC236}">
              <a16:creationId xmlns:a16="http://schemas.microsoft.com/office/drawing/2014/main" id="{5201BFF9-1495-47A6-8993-ACE329E7CD68}"/>
            </a:ext>
          </a:extLst>
        </xdr:cNvPr>
        <xdr:cNvSpPr/>
      </xdr:nvSpPr>
      <xdr:spPr>
        <a:xfrm>
          <a:off x="7951694" y="1702732"/>
          <a:ext cx="459441" cy="485046"/>
        </a:xfrm>
        <a:prstGeom prst="ellipse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twoCellAnchor>
  <xdr:twoCellAnchor>
    <xdr:from>
      <xdr:col>12</xdr:col>
      <xdr:colOff>416859</xdr:colOff>
      <xdr:row>12</xdr:row>
      <xdr:rowOff>6161</xdr:rowOff>
    </xdr:from>
    <xdr:to>
      <xdr:col>13</xdr:col>
      <xdr:colOff>114300</xdr:colOff>
      <xdr:row>14</xdr:row>
      <xdr:rowOff>110207</xdr:rowOff>
    </xdr:to>
    <xdr:sp macro="" textlink="">
      <xdr:nvSpPr>
        <xdr:cNvPr id="36" name="9 Elipse">
          <a:extLst>
            <a:ext uri="{FF2B5EF4-FFF2-40B4-BE49-F238E27FC236}">
              <a16:creationId xmlns:a16="http://schemas.microsoft.com/office/drawing/2014/main" id="{4197E709-17CB-4215-BBA6-C1F7812631A1}"/>
            </a:ext>
          </a:extLst>
        </xdr:cNvPr>
        <xdr:cNvSpPr/>
      </xdr:nvSpPr>
      <xdr:spPr>
        <a:xfrm>
          <a:off x="9560859" y="1911161"/>
          <a:ext cx="459441" cy="485046"/>
        </a:xfrm>
        <a:prstGeom prst="ellipse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twoCellAnchor>
  <xdr:twoCellAnchor>
    <xdr:from>
      <xdr:col>1</xdr:col>
      <xdr:colOff>345141</xdr:colOff>
      <xdr:row>11</xdr:row>
      <xdr:rowOff>80120</xdr:rowOff>
    </xdr:from>
    <xdr:to>
      <xdr:col>2</xdr:col>
      <xdr:colOff>42582</xdr:colOff>
      <xdr:row>13</xdr:row>
      <xdr:rowOff>184166</xdr:rowOff>
    </xdr:to>
    <xdr:sp macro="" textlink="">
      <xdr:nvSpPr>
        <xdr:cNvPr id="37" name="9 Elipse">
          <a:extLst>
            <a:ext uri="{FF2B5EF4-FFF2-40B4-BE49-F238E27FC236}">
              <a16:creationId xmlns:a16="http://schemas.microsoft.com/office/drawing/2014/main" id="{4212350D-B065-4A20-9F75-2122942B7DBE}"/>
            </a:ext>
          </a:extLst>
        </xdr:cNvPr>
        <xdr:cNvSpPr/>
      </xdr:nvSpPr>
      <xdr:spPr>
        <a:xfrm>
          <a:off x="1107141" y="1839444"/>
          <a:ext cx="459441" cy="485046"/>
        </a:xfrm>
        <a:prstGeom prst="ellipse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</a:t>
          </a:r>
        </a:p>
      </xdr:txBody>
    </xdr:sp>
    <xdr:clientData/>
  </xdr:twoCellAnchor>
  <xdr:twoCellAnchor>
    <xdr:from>
      <xdr:col>2</xdr:col>
      <xdr:colOff>728384</xdr:colOff>
      <xdr:row>15</xdr:row>
      <xdr:rowOff>1605</xdr:rowOff>
    </xdr:from>
    <xdr:to>
      <xdr:col>3</xdr:col>
      <xdr:colOff>470648</xdr:colOff>
      <xdr:row>17</xdr:row>
      <xdr:rowOff>156883</xdr:rowOff>
    </xdr:to>
    <xdr:sp macro="" textlink="">
      <xdr:nvSpPr>
        <xdr:cNvPr id="38" name="9 Elipse">
          <a:extLst>
            <a:ext uri="{FF2B5EF4-FFF2-40B4-BE49-F238E27FC236}">
              <a16:creationId xmlns:a16="http://schemas.microsoft.com/office/drawing/2014/main" id="{0E04787D-2FB7-4E90-B135-C0EDDFB6C40A}"/>
            </a:ext>
          </a:extLst>
        </xdr:cNvPr>
        <xdr:cNvSpPr/>
      </xdr:nvSpPr>
      <xdr:spPr>
        <a:xfrm>
          <a:off x="2252384" y="2522929"/>
          <a:ext cx="504264" cy="536278"/>
        </a:xfrm>
        <a:prstGeom prst="ellipse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4A</a:t>
          </a:r>
        </a:p>
      </xdr:txBody>
    </xdr:sp>
    <xdr:clientData/>
  </xdr:twoCellAnchor>
  <xdr:twoCellAnchor>
    <xdr:from>
      <xdr:col>4</xdr:col>
      <xdr:colOff>510989</xdr:colOff>
      <xdr:row>14</xdr:row>
      <xdr:rowOff>97975</xdr:rowOff>
    </xdr:from>
    <xdr:to>
      <xdr:col>5</xdr:col>
      <xdr:colOff>253253</xdr:colOff>
      <xdr:row>17</xdr:row>
      <xdr:rowOff>62753</xdr:rowOff>
    </xdr:to>
    <xdr:sp macro="" textlink="">
      <xdr:nvSpPr>
        <xdr:cNvPr id="39" name="9 Elipse">
          <a:extLst>
            <a:ext uri="{FF2B5EF4-FFF2-40B4-BE49-F238E27FC236}">
              <a16:creationId xmlns:a16="http://schemas.microsoft.com/office/drawing/2014/main" id="{1930C115-CB8F-4865-A929-84746BDFC631}"/>
            </a:ext>
          </a:extLst>
        </xdr:cNvPr>
        <xdr:cNvSpPr/>
      </xdr:nvSpPr>
      <xdr:spPr>
        <a:xfrm>
          <a:off x="3558989" y="2428799"/>
          <a:ext cx="504264" cy="536278"/>
        </a:xfrm>
        <a:prstGeom prst="ellipse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4B</a:t>
          </a:r>
        </a:p>
      </xdr:txBody>
    </xdr:sp>
    <xdr:clientData/>
  </xdr:twoCellAnchor>
  <xdr:twoCellAnchor>
    <xdr:from>
      <xdr:col>7</xdr:col>
      <xdr:colOff>192743</xdr:colOff>
      <xdr:row>12</xdr:row>
      <xdr:rowOff>71083</xdr:rowOff>
    </xdr:from>
    <xdr:to>
      <xdr:col>7</xdr:col>
      <xdr:colOff>697007</xdr:colOff>
      <xdr:row>15</xdr:row>
      <xdr:rowOff>35861</xdr:rowOff>
    </xdr:to>
    <xdr:sp macro="" textlink="">
      <xdr:nvSpPr>
        <xdr:cNvPr id="40" name="9 Elipse">
          <a:extLst>
            <a:ext uri="{FF2B5EF4-FFF2-40B4-BE49-F238E27FC236}">
              <a16:creationId xmlns:a16="http://schemas.microsoft.com/office/drawing/2014/main" id="{FB66170E-CDE4-493B-B4CE-8D5FED5AD750}"/>
            </a:ext>
          </a:extLst>
        </xdr:cNvPr>
        <xdr:cNvSpPr/>
      </xdr:nvSpPr>
      <xdr:spPr>
        <a:xfrm>
          <a:off x="5526743" y="2020907"/>
          <a:ext cx="504264" cy="536278"/>
        </a:xfrm>
        <a:prstGeom prst="ellipse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4C</a:t>
          </a:r>
        </a:p>
      </xdr:txBody>
    </xdr:sp>
    <xdr:clientData/>
  </xdr:twoCellAnchor>
  <xdr:twoCellAnchor>
    <xdr:from>
      <xdr:col>5</xdr:col>
      <xdr:colOff>289113</xdr:colOff>
      <xdr:row>20</xdr:row>
      <xdr:rowOff>156246</xdr:rowOff>
    </xdr:from>
    <xdr:to>
      <xdr:col>6</xdr:col>
      <xdr:colOff>31377</xdr:colOff>
      <xdr:row>23</xdr:row>
      <xdr:rowOff>121024</xdr:rowOff>
    </xdr:to>
    <xdr:sp macro="" textlink="">
      <xdr:nvSpPr>
        <xdr:cNvPr id="41" name="9 Elipse">
          <a:extLst>
            <a:ext uri="{FF2B5EF4-FFF2-40B4-BE49-F238E27FC236}">
              <a16:creationId xmlns:a16="http://schemas.microsoft.com/office/drawing/2014/main" id="{3FD2C262-DC60-42B7-A4BC-8667D9959660}"/>
            </a:ext>
          </a:extLst>
        </xdr:cNvPr>
        <xdr:cNvSpPr/>
      </xdr:nvSpPr>
      <xdr:spPr>
        <a:xfrm>
          <a:off x="4099113" y="3585246"/>
          <a:ext cx="504264" cy="536278"/>
        </a:xfrm>
        <a:prstGeom prst="ellipse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4D</a:t>
          </a:r>
        </a:p>
      </xdr:txBody>
    </xdr:sp>
    <xdr:clientData/>
  </xdr:twoCellAnchor>
  <xdr:twoCellAnchor>
    <xdr:from>
      <xdr:col>8</xdr:col>
      <xdr:colOff>598395</xdr:colOff>
      <xdr:row>19</xdr:row>
      <xdr:rowOff>39705</xdr:rowOff>
    </xdr:from>
    <xdr:to>
      <xdr:col>9</xdr:col>
      <xdr:colOff>340659</xdr:colOff>
      <xdr:row>22</xdr:row>
      <xdr:rowOff>4483</xdr:rowOff>
    </xdr:to>
    <xdr:sp macro="" textlink="">
      <xdr:nvSpPr>
        <xdr:cNvPr id="42" name="9 Elipse">
          <a:extLst>
            <a:ext uri="{FF2B5EF4-FFF2-40B4-BE49-F238E27FC236}">
              <a16:creationId xmlns:a16="http://schemas.microsoft.com/office/drawing/2014/main" id="{CD768625-4A77-46E0-BB9D-B5A42998FF91}"/>
            </a:ext>
          </a:extLst>
        </xdr:cNvPr>
        <xdr:cNvSpPr/>
      </xdr:nvSpPr>
      <xdr:spPr>
        <a:xfrm>
          <a:off x="6694395" y="3278205"/>
          <a:ext cx="504264" cy="536278"/>
        </a:xfrm>
        <a:prstGeom prst="ellipse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4E</a:t>
          </a:r>
        </a:p>
      </xdr:txBody>
    </xdr:sp>
    <xdr:clientData/>
  </xdr:twoCellAnchor>
  <xdr:oneCellAnchor>
    <xdr:from>
      <xdr:col>6</xdr:col>
      <xdr:colOff>128084</xdr:colOff>
      <xdr:row>20</xdr:row>
      <xdr:rowOff>127300</xdr:rowOff>
    </xdr:from>
    <xdr:ext cx="1250240" cy="432994"/>
    <xdr:sp macro="" textlink="">
      <xdr:nvSpPr>
        <xdr:cNvPr id="43" name="22 CuadroTexto">
          <a:extLst>
            <a:ext uri="{FF2B5EF4-FFF2-40B4-BE49-F238E27FC236}">
              <a16:creationId xmlns:a16="http://schemas.microsoft.com/office/drawing/2014/main" id="{19BEB0EF-AAFA-4734-8B89-4B23B01BD4EB}"/>
            </a:ext>
          </a:extLst>
        </xdr:cNvPr>
        <xdr:cNvSpPr txBox="1"/>
      </xdr:nvSpPr>
      <xdr:spPr>
        <a:xfrm>
          <a:off x="4700084" y="3556300"/>
          <a:ext cx="1250240" cy="43299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 ACA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 - ACO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7</xdr:col>
      <xdr:colOff>314101</xdr:colOff>
      <xdr:row>16</xdr:row>
      <xdr:rowOff>10759</xdr:rowOff>
    </xdr:from>
    <xdr:ext cx="1250240" cy="432994"/>
    <xdr:sp macro="" textlink="">
      <xdr:nvSpPr>
        <xdr:cNvPr id="44" name="22 CuadroTexto">
          <a:extLst>
            <a:ext uri="{FF2B5EF4-FFF2-40B4-BE49-F238E27FC236}">
              <a16:creationId xmlns:a16="http://schemas.microsoft.com/office/drawing/2014/main" id="{59A72E0A-5A46-4E0E-87D1-36DB6944A0C6}"/>
            </a:ext>
          </a:extLst>
        </xdr:cNvPr>
        <xdr:cNvSpPr txBox="1"/>
      </xdr:nvSpPr>
      <xdr:spPr>
        <a:xfrm>
          <a:off x="5648101" y="2722583"/>
          <a:ext cx="1250240" cy="43299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 ACE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 - ACA/ACO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12</xdr:col>
      <xdr:colOff>0</xdr:colOff>
      <xdr:row>1</xdr:row>
      <xdr:rowOff>0</xdr:rowOff>
    </xdr:from>
    <xdr:ext cx="283766" cy="340351"/>
    <xdr:sp macro="" textlink="">
      <xdr:nvSpPr>
        <xdr:cNvPr id="45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BA152918-EBA5-45E6-9D5E-0647578F0578}"/>
            </a:ext>
          </a:extLst>
        </xdr:cNvPr>
        <xdr:cNvSpPr/>
      </xdr:nvSpPr>
      <xdr:spPr>
        <a:xfrm>
          <a:off x="9144000" y="224118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12</xdr:col>
      <xdr:colOff>437030</xdr:colOff>
      <xdr:row>0</xdr:row>
      <xdr:rowOff>212912</xdr:rowOff>
    </xdr:from>
    <xdr:ext cx="266599" cy="337323"/>
    <xdr:sp macro="" textlink="">
      <xdr:nvSpPr>
        <xdr:cNvPr id="46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3A64C60B-1672-4BF6-87F5-4969B6719C0B}"/>
            </a:ext>
          </a:extLst>
        </xdr:cNvPr>
        <xdr:cNvSpPr/>
      </xdr:nvSpPr>
      <xdr:spPr>
        <a:xfrm>
          <a:off x="9581030" y="212912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  <xdr:oneCellAnchor>
    <xdr:from>
      <xdr:col>2</xdr:col>
      <xdr:colOff>249331</xdr:colOff>
      <xdr:row>5</xdr:row>
      <xdr:rowOff>86845</xdr:rowOff>
    </xdr:from>
    <xdr:ext cx="2350434" cy="564257"/>
    <xdr:sp macro="" textlink="">
      <xdr:nvSpPr>
        <xdr:cNvPr id="47" name="18 CuadroTexto">
          <a:extLst>
            <a:ext uri="{FF2B5EF4-FFF2-40B4-BE49-F238E27FC236}">
              <a16:creationId xmlns:a16="http://schemas.microsoft.com/office/drawing/2014/main" id="{A556F6FC-141B-4AC2-8555-655A6ED2DE8F}"/>
            </a:ext>
          </a:extLst>
        </xdr:cNvPr>
        <xdr:cNvSpPr txBox="1"/>
      </xdr:nvSpPr>
      <xdr:spPr>
        <a:xfrm>
          <a:off x="1773331" y="703169"/>
          <a:ext cx="2350434" cy="56425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GASTOS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DE VENTAS Y ADMINISTRACIÓN 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</xdr:col>
      <xdr:colOff>168088</xdr:colOff>
      <xdr:row>8</xdr:row>
      <xdr:rowOff>79602</xdr:rowOff>
    </xdr:from>
    <xdr:to>
      <xdr:col>3</xdr:col>
      <xdr:colOff>662548</xdr:colOff>
      <xdr:row>17</xdr:row>
      <xdr:rowOff>33617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D585B23B-E935-4559-A911-8B93F6C668D5}"/>
            </a:ext>
          </a:extLst>
        </xdr:cNvPr>
        <xdr:cNvCxnSpPr>
          <a:stCxn id="47" idx="2"/>
        </xdr:cNvCxnSpPr>
      </xdr:nvCxnSpPr>
      <xdr:spPr>
        <a:xfrm flipH="1">
          <a:off x="930088" y="1267426"/>
          <a:ext cx="2018460" cy="1668515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4115742</xdr:colOff>
      <xdr:row>0</xdr:row>
      <xdr:rowOff>104775</xdr:rowOff>
    </xdr:from>
    <xdr:ext cx="283766" cy="340351"/>
    <xdr:sp macro="" textlink="">
      <xdr:nvSpPr>
        <xdr:cNvPr id="3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0297467" y="104775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5</xdr:col>
      <xdr:colOff>4476750</xdr:colOff>
      <xdr:row>0</xdr:row>
      <xdr:rowOff>106289</xdr:rowOff>
    </xdr:from>
    <xdr:ext cx="266599" cy="337323"/>
    <xdr:sp macro="" textlink="">
      <xdr:nvSpPr>
        <xdr:cNvPr id="4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0658475" y="106289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  <xdr:oneCellAnchor>
    <xdr:from>
      <xdr:col>5</xdr:col>
      <xdr:colOff>3762375</xdr:colOff>
      <xdr:row>0</xdr:row>
      <xdr:rowOff>106289</xdr:rowOff>
    </xdr:from>
    <xdr:ext cx="266598" cy="337323"/>
    <xdr:sp macro="" textlink="">
      <xdr:nvSpPr>
        <xdr:cNvPr id="5" name="4 Rectángulo redondeado">
          <a:hlinkClick xmlns:r="http://schemas.openxmlformats.org/officeDocument/2006/relationships" r:id="rId3" tooltip="Anterior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9944100" y="106289"/>
          <a:ext cx="266598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ingdings 3"/>
            </a:rPr>
            <a:t></a:t>
          </a:r>
          <a:endParaRPr lang="es-ES" sz="2000"/>
        </a:p>
      </xdr:txBody>
    </xdr:sp>
    <xdr:clientData/>
  </xdr:oneCellAnchor>
  <xdr:twoCellAnchor>
    <xdr:from>
      <xdr:col>4</xdr:col>
      <xdr:colOff>238124</xdr:colOff>
      <xdr:row>0</xdr:row>
      <xdr:rowOff>396874</xdr:rowOff>
    </xdr:from>
    <xdr:to>
      <xdr:col>8</xdr:col>
      <xdr:colOff>3857625</xdr:colOff>
      <xdr:row>17</xdr:row>
      <xdr:rowOff>15875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194669F0-CE18-4821-B791-CE58BD8C1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4" r:lo="rId5" r:qs="rId6" r:cs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3448050</xdr:colOff>
      <xdr:row>1</xdr:row>
      <xdr:rowOff>30256</xdr:rowOff>
    </xdr:from>
    <xdr:ext cx="283766" cy="340351"/>
    <xdr:sp macro="" textlink="">
      <xdr:nvSpPr>
        <xdr:cNvPr id="10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67F7FF5B-A0E1-45C2-B1E2-54A4E6DDE69D}"/>
            </a:ext>
          </a:extLst>
        </xdr:cNvPr>
        <xdr:cNvSpPr/>
      </xdr:nvSpPr>
      <xdr:spPr>
        <a:xfrm>
          <a:off x="4286250" y="220756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1</xdr:col>
      <xdr:colOff>3789830</xdr:colOff>
      <xdr:row>1</xdr:row>
      <xdr:rowOff>28575</xdr:rowOff>
    </xdr:from>
    <xdr:ext cx="266599" cy="337323"/>
    <xdr:sp macro="" textlink="">
      <xdr:nvSpPr>
        <xdr:cNvPr id="11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FBC3610F-1D33-4AFA-B87B-4AC668E0C449}"/>
            </a:ext>
          </a:extLst>
        </xdr:cNvPr>
        <xdr:cNvSpPr/>
      </xdr:nvSpPr>
      <xdr:spPr>
        <a:xfrm>
          <a:off x="4628030" y="219075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48846</xdr:colOff>
      <xdr:row>9</xdr:row>
      <xdr:rowOff>132800</xdr:rowOff>
    </xdr:from>
    <xdr:to>
      <xdr:col>16</xdr:col>
      <xdr:colOff>29918</xdr:colOff>
      <xdr:row>11</xdr:row>
      <xdr:rowOff>194469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ACFE244F-D585-41C8-9400-4C9B76E85F76}"/>
            </a:ext>
          </a:extLst>
        </xdr:cNvPr>
        <xdr:cNvSpPr/>
      </xdr:nvSpPr>
      <xdr:spPr>
        <a:xfrm rot="19889608">
          <a:off x="14545896" y="2218775"/>
          <a:ext cx="743072" cy="44266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15</xdr:col>
      <xdr:colOff>48847</xdr:colOff>
      <xdr:row>13</xdr:row>
      <xdr:rowOff>41824</xdr:rowOff>
    </xdr:from>
    <xdr:to>
      <xdr:col>16</xdr:col>
      <xdr:colOff>29919</xdr:colOff>
      <xdr:row>15</xdr:row>
      <xdr:rowOff>103493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6C42953E-8276-4C76-8FAA-45D771E693CF}"/>
            </a:ext>
          </a:extLst>
        </xdr:cNvPr>
        <xdr:cNvSpPr/>
      </xdr:nvSpPr>
      <xdr:spPr>
        <a:xfrm rot="1491097">
          <a:off x="14545897" y="2889799"/>
          <a:ext cx="743072" cy="44266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101357</xdr:colOff>
      <xdr:row>7</xdr:row>
      <xdr:rowOff>178287</xdr:rowOff>
    </xdr:from>
    <xdr:to>
      <xdr:col>19</xdr:col>
      <xdr:colOff>520822</xdr:colOff>
      <xdr:row>12</xdr:row>
      <xdr:rowOff>165771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404CAFD8-EE47-484F-89F1-357E5B081393}"/>
            </a:ext>
          </a:extLst>
        </xdr:cNvPr>
        <xdr:cNvSpPr/>
      </xdr:nvSpPr>
      <xdr:spPr>
        <a:xfrm>
          <a:off x="15360407" y="1883262"/>
          <a:ext cx="3657965" cy="939984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600" b="1"/>
            <a:t>NOTA: En</a:t>
          </a:r>
          <a:r>
            <a:rPr lang="es-PE" sz="1600" b="1" baseline="0"/>
            <a:t> el caso de la Franela y el Frech, solo se escoge uno para la elaboración ya sea de Poleras o Casacas</a:t>
          </a:r>
          <a:endParaRPr lang="es-PE" sz="1600" b="1"/>
        </a:p>
      </xdr:txBody>
    </xdr:sp>
    <xdr:clientData/>
  </xdr:twoCellAnchor>
  <xdr:twoCellAnchor>
    <xdr:from>
      <xdr:col>16</xdr:col>
      <xdr:colOff>101357</xdr:colOff>
      <xdr:row>13</xdr:row>
      <xdr:rowOff>101356</xdr:rowOff>
    </xdr:from>
    <xdr:to>
      <xdr:col>19</xdr:col>
      <xdr:colOff>627979</xdr:colOff>
      <xdr:row>17</xdr:row>
      <xdr:rowOff>248504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77F60776-BB21-4F43-9621-73FC30AF3763}"/>
            </a:ext>
          </a:extLst>
        </xdr:cNvPr>
        <xdr:cNvSpPr/>
      </xdr:nvSpPr>
      <xdr:spPr>
        <a:xfrm>
          <a:off x="15360407" y="2949331"/>
          <a:ext cx="3765122" cy="909148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600" b="1">
              <a:solidFill>
                <a:schemeClr val="dk1"/>
              </a:solidFill>
              <a:latin typeface="+mn-lt"/>
              <a:ea typeface="+mn-ea"/>
              <a:cs typeface="+mn-cs"/>
            </a:rPr>
            <a:t>NOTA: En el caso del</a:t>
          </a:r>
          <a:r>
            <a:rPr lang="es-PE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Jersey y el Algodón</a:t>
          </a:r>
          <a:r>
            <a:rPr lang="es-PE" sz="1600" b="1">
              <a:solidFill>
                <a:schemeClr val="dk1"/>
              </a:solidFill>
              <a:latin typeface="+mn-lt"/>
              <a:ea typeface="+mn-ea"/>
              <a:cs typeface="+mn-cs"/>
            </a:rPr>
            <a:t>, solo se escoge uno para la elaboración de</a:t>
          </a:r>
          <a:r>
            <a:rPr lang="es-PE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los Polos.</a:t>
          </a:r>
          <a:endParaRPr lang="es-PE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84566</xdr:colOff>
      <xdr:row>2</xdr:row>
      <xdr:rowOff>143180</xdr:rowOff>
    </xdr:from>
    <xdr:to>
      <xdr:col>16</xdr:col>
      <xdr:colOff>113263</xdr:colOff>
      <xdr:row>5</xdr:row>
      <xdr:rowOff>9464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38A51572-B346-4B29-B156-EE6C0CEBE13D}"/>
            </a:ext>
          </a:extLst>
        </xdr:cNvPr>
        <xdr:cNvSpPr/>
      </xdr:nvSpPr>
      <xdr:spPr>
        <a:xfrm>
          <a:off x="14581616" y="895655"/>
          <a:ext cx="790697" cy="4377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160889</xdr:colOff>
      <xdr:row>1</xdr:row>
      <xdr:rowOff>97692</xdr:rowOff>
    </xdr:from>
    <xdr:to>
      <xdr:col>20</xdr:col>
      <xdr:colOff>251865</xdr:colOff>
      <xdr:row>7</xdr:row>
      <xdr:rowOff>47323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E20C35D1-FEB8-48A4-976C-01390521A183}"/>
            </a:ext>
          </a:extLst>
        </xdr:cNvPr>
        <xdr:cNvSpPr/>
      </xdr:nvSpPr>
      <xdr:spPr>
        <a:xfrm>
          <a:off x="15419939" y="288192"/>
          <a:ext cx="4091476" cy="146410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600" b="1"/>
            <a:t>NOTA:</a:t>
          </a:r>
        </a:p>
        <a:p>
          <a:pPr algn="l"/>
          <a:r>
            <a:rPr lang="es-PE" sz="1600" b="1"/>
            <a:t>-En</a:t>
          </a:r>
          <a:r>
            <a:rPr lang="es-PE" sz="1600" b="1" baseline="0"/>
            <a:t> el caso de los broches: puede ir como no en las casacas. El mismo comportamiento tiene el cierre. Cabe indicar que siempre debe de ir alguno de estos elementos</a:t>
          </a:r>
          <a:endParaRPr lang="es-PE" sz="1600" b="1"/>
        </a:p>
      </xdr:txBody>
    </xdr:sp>
    <xdr:clientData/>
  </xdr:twoCellAnchor>
  <xdr:twoCellAnchor>
    <xdr:from>
      <xdr:col>1</xdr:col>
      <xdr:colOff>3653692</xdr:colOff>
      <xdr:row>20</xdr:row>
      <xdr:rowOff>232020</xdr:rowOff>
    </xdr:from>
    <xdr:to>
      <xdr:col>2</xdr:col>
      <xdr:colOff>393517</xdr:colOff>
      <xdr:row>22</xdr:row>
      <xdr:rowOff>78155</xdr:rowOff>
    </xdr:to>
    <xdr:sp macro="" textlink="">
      <xdr:nvSpPr>
        <xdr:cNvPr id="8" name="Flecha: hacia abajo 7">
          <a:extLst>
            <a:ext uri="{FF2B5EF4-FFF2-40B4-BE49-F238E27FC236}">
              <a16:creationId xmlns:a16="http://schemas.microsoft.com/office/drawing/2014/main" id="{5BAD0FC8-B793-4859-B06D-3BA5A348E78E}"/>
            </a:ext>
          </a:extLst>
        </xdr:cNvPr>
        <xdr:cNvSpPr/>
      </xdr:nvSpPr>
      <xdr:spPr>
        <a:xfrm>
          <a:off x="4491892" y="4908795"/>
          <a:ext cx="940350" cy="2747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952498</xdr:colOff>
      <xdr:row>22</xdr:row>
      <xdr:rowOff>125779</xdr:rowOff>
    </xdr:from>
    <xdr:to>
      <xdr:col>7</xdr:col>
      <xdr:colOff>109904</xdr:colOff>
      <xdr:row>26</xdr:row>
      <xdr:rowOff>158750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BD595C60-2515-471B-A2BB-4589E3047FC7}"/>
            </a:ext>
          </a:extLst>
        </xdr:cNvPr>
        <xdr:cNvSpPr/>
      </xdr:nvSpPr>
      <xdr:spPr>
        <a:xfrm>
          <a:off x="1790698" y="5231179"/>
          <a:ext cx="6615481" cy="794971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El</a:t>
          </a:r>
          <a:r>
            <a:rPr lang="es-PE" sz="1200" b="1" baseline="0"/>
            <a:t> uso que se le da es el siguiente: cuando llega el material para ser trabajado, hay un espacio en la planta donde se deja el material "temporalmente" y conforme se va avanzando en la fabricación del producto se va consumiendo hasta que se acaba y desaparece el inventario que se había formado</a:t>
          </a:r>
          <a:endParaRPr lang="es-PE" sz="1200" b="1"/>
        </a:p>
      </xdr:txBody>
    </xdr:sp>
    <xdr:clientData/>
  </xdr:twoCellAnchor>
  <xdr:oneCellAnchor>
    <xdr:from>
      <xdr:col>1</xdr:col>
      <xdr:colOff>3448050</xdr:colOff>
      <xdr:row>1</xdr:row>
      <xdr:rowOff>30256</xdr:rowOff>
    </xdr:from>
    <xdr:ext cx="283766" cy="340351"/>
    <xdr:sp macro="" textlink="">
      <xdr:nvSpPr>
        <xdr:cNvPr id="10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80AE1E3F-E49E-4753-9B24-AB2ED03EAE59}"/>
            </a:ext>
          </a:extLst>
        </xdr:cNvPr>
        <xdr:cNvSpPr/>
      </xdr:nvSpPr>
      <xdr:spPr>
        <a:xfrm>
          <a:off x="4286250" y="220756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1</xdr:col>
      <xdr:colOff>3789830</xdr:colOff>
      <xdr:row>1</xdr:row>
      <xdr:rowOff>28575</xdr:rowOff>
    </xdr:from>
    <xdr:ext cx="266599" cy="337323"/>
    <xdr:sp macro="" textlink="">
      <xdr:nvSpPr>
        <xdr:cNvPr id="11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2CB209E1-1CA9-460A-BB28-AD92D86D5DAE}"/>
            </a:ext>
          </a:extLst>
        </xdr:cNvPr>
        <xdr:cNvSpPr/>
      </xdr:nvSpPr>
      <xdr:spPr>
        <a:xfrm>
          <a:off x="4628030" y="219075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130969</xdr:colOff>
      <xdr:row>7</xdr:row>
      <xdr:rowOff>58431</xdr:rowOff>
    </xdr:from>
    <xdr:to>
      <xdr:col>9</xdr:col>
      <xdr:colOff>753758</xdr:colOff>
      <xdr:row>8</xdr:row>
      <xdr:rowOff>356392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F520B8C5-44F4-409C-A132-0A720EC25E89}"/>
            </a:ext>
          </a:extLst>
        </xdr:cNvPr>
        <xdr:cNvSpPr/>
      </xdr:nvSpPr>
      <xdr:spPr>
        <a:xfrm rot="1026985">
          <a:off x="11399044" y="1496706"/>
          <a:ext cx="622789" cy="48846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10</xdr:col>
      <xdr:colOff>33154</xdr:colOff>
      <xdr:row>7</xdr:row>
      <xdr:rowOff>69056</xdr:rowOff>
    </xdr:from>
    <xdr:to>
      <xdr:col>12</xdr:col>
      <xdr:colOff>540543</xdr:colOff>
      <xdr:row>9</xdr:row>
      <xdr:rowOff>69544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E1D0CED-A40F-4FCF-BA01-5DE014FDC53D}"/>
            </a:ext>
          </a:extLst>
        </xdr:cNvPr>
        <xdr:cNvSpPr/>
      </xdr:nvSpPr>
      <xdr:spPr>
        <a:xfrm>
          <a:off x="12063229" y="1507331"/>
          <a:ext cx="2031389" cy="781538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Estos montos se utilizarán</a:t>
          </a:r>
          <a:r>
            <a:rPr lang="es-PE" sz="1200" b="1" baseline="0"/>
            <a:t> </a:t>
          </a:r>
          <a:r>
            <a:rPr lang="es-PE" sz="1200" b="1"/>
            <a:t>para el cálculo</a:t>
          </a:r>
          <a:r>
            <a:rPr lang="es-PE" sz="1200" b="1" baseline="0"/>
            <a:t> de la Tasa soles por Minuto Efectivo</a:t>
          </a:r>
          <a:endParaRPr lang="es-PE" sz="1200" b="1"/>
        </a:p>
      </xdr:txBody>
    </xdr:sp>
    <xdr:clientData/>
  </xdr:twoCellAnchor>
  <xdr:oneCellAnchor>
    <xdr:from>
      <xdr:col>1</xdr:col>
      <xdr:colOff>2131218</xdr:colOff>
      <xdr:row>0</xdr:row>
      <xdr:rowOff>58831</xdr:rowOff>
    </xdr:from>
    <xdr:ext cx="283766" cy="340351"/>
    <xdr:sp macro="" textlink="">
      <xdr:nvSpPr>
        <xdr:cNvPr id="4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14E6D23A-82B6-4F11-8A8E-3C57B1BF6877}"/>
            </a:ext>
          </a:extLst>
        </xdr:cNvPr>
        <xdr:cNvSpPr/>
      </xdr:nvSpPr>
      <xdr:spPr>
        <a:xfrm>
          <a:off x="2690812" y="58831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2</xdr:col>
      <xdr:colOff>222717</xdr:colOff>
      <xdr:row>0</xdr:row>
      <xdr:rowOff>47625</xdr:rowOff>
    </xdr:from>
    <xdr:ext cx="266599" cy="337323"/>
    <xdr:sp macro="" textlink="">
      <xdr:nvSpPr>
        <xdr:cNvPr id="5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28A21C37-8E56-4BDA-9232-DB2B89B57EB8}"/>
            </a:ext>
          </a:extLst>
        </xdr:cNvPr>
        <xdr:cNvSpPr/>
      </xdr:nvSpPr>
      <xdr:spPr>
        <a:xfrm>
          <a:off x="3127842" y="47625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97692</xdr:colOff>
      <xdr:row>3</xdr:row>
      <xdr:rowOff>122115</xdr:rowOff>
    </xdr:from>
    <xdr:to>
      <xdr:col>8</xdr:col>
      <xdr:colOff>720481</xdr:colOff>
      <xdr:row>6</xdr:row>
      <xdr:rowOff>24423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9896BB71-7BAE-4C79-B742-B06570AAAB84}"/>
            </a:ext>
          </a:extLst>
        </xdr:cNvPr>
        <xdr:cNvSpPr/>
      </xdr:nvSpPr>
      <xdr:spPr>
        <a:xfrm>
          <a:off x="11165742" y="769815"/>
          <a:ext cx="622789" cy="47380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757115</xdr:colOff>
      <xdr:row>2</xdr:row>
      <xdr:rowOff>122117</xdr:rowOff>
    </xdr:from>
    <xdr:to>
      <xdr:col>11</xdr:col>
      <xdr:colOff>402981</xdr:colOff>
      <xdr:row>6</xdr:row>
      <xdr:rowOff>170963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EF34751-75EA-4CDD-8A45-1B0347A7302A}"/>
            </a:ext>
          </a:extLst>
        </xdr:cNvPr>
        <xdr:cNvSpPr/>
      </xdr:nvSpPr>
      <xdr:spPr>
        <a:xfrm>
          <a:off x="11825165" y="626942"/>
          <a:ext cx="2798641" cy="763221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Tiempo en minutos por prenda que se utilizará para el cálculo</a:t>
          </a:r>
          <a:r>
            <a:rPr lang="es-PE" sz="1200" b="1" baseline="0"/>
            <a:t> del tiempo total efectivo que trabaja cada operario</a:t>
          </a:r>
          <a:endParaRPr lang="es-PE" sz="1200" b="1"/>
        </a:p>
      </xdr:txBody>
    </xdr:sp>
    <xdr:clientData/>
  </xdr:twoCellAnchor>
  <xdr:oneCellAnchor>
    <xdr:from>
      <xdr:col>1</xdr:col>
      <xdr:colOff>523875</xdr:colOff>
      <xdr:row>0</xdr:row>
      <xdr:rowOff>11206</xdr:rowOff>
    </xdr:from>
    <xdr:ext cx="283766" cy="340351"/>
    <xdr:sp macro="" textlink="">
      <xdr:nvSpPr>
        <xdr:cNvPr id="4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A531609D-E7D0-4B53-BD17-76CCCF5CE10D}"/>
            </a:ext>
          </a:extLst>
        </xdr:cNvPr>
        <xdr:cNvSpPr/>
      </xdr:nvSpPr>
      <xdr:spPr>
        <a:xfrm>
          <a:off x="1304925" y="11206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1</xdr:col>
      <xdr:colOff>960905</xdr:colOff>
      <xdr:row>0</xdr:row>
      <xdr:rowOff>0</xdr:rowOff>
    </xdr:from>
    <xdr:ext cx="266599" cy="337323"/>
    <xdr:sp macro="" textlink="">
      <xdr:nvSpPr>
        <xdr:cNvPr id="5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B4965E56-39BA-41EE-92C9-1A31DD65A344}"/>
            </a:ext>
          </a:extLst>
        </xdr:cNvPr>
        <xdr:cNvSpPr/>
      </xdr:nvSpPr>
      <xdr:spPr>
        <a:xfrm>
          <a:off x="1741955" y="0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238125</xdr:colOff>
      <xdr:row>13</xdr:row>
      <xdr:rowOff>119063</xdr:rowOff>
    </xdr:from>
    <xdr:to>
      <xdr:col>24</xdr:col>
      <xdr:colOff>0</xdr:colOff>
      <xdr:row>16</xdr:row>
      <xdr:rowOff>1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99AAFD9C-44ED-4841-961E-219C61B733EE}"/>
            </a:ext>
          </a:extLst>
        </xdr:cNvPr>
        <xdr:cNvSpPr/>
      </xdr:nvSpPr>
      <xdr:spPr>
        <a:xfrm rot="19889608">
          <a:off x="20983575" y="2605088"/>
          <a:ext cx="1285875" cy="45243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22</xdr:col>
      <xdr:colOff>238126</xdr:colOff>
      <xdr:row>17</xdr:row>
      <xdr:rowOff>57150</xdr:rowOff>
    </xdr:from>
    <xdr:to>
      <xdr:col>24</xdr:col>
      <xdr:colOff>1</xdr:colOff>
      <xdr:row>19</xdr:row>
      <xdr:rowOff>128588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1E3F878F-2E58-48BD-8499-4A37F0E470D5}"/>
            </a:ext>
          </a:extLst>
        </xdr:cNvPr>
        <xdr:cNvSpPr/>
      </xdr:nvSpPr>
      <xdr:spPr>
        <a:xfrm rot="1491097">
          <a:off x="20983576" y="3295650"/>
          <a:ext cx="1285875" cy="45243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22</xdr:col>
      <xdr:colOff>273845</xdr:colOff>
      <xdr:row>6</xdr:row>
      <xdr:rowOff>95250</xdr:rowOff>
    </xdr:from>
    <xdr:to>
      <xdr:col>24</xdr:col>
      <xdr:colOff>83345</xdr:colOff>
      <xdr:row>8</xdr:row>
      <xdr:rowOff>166688</xdr:rowOff>
    </xdr:to>
    <xdr:sp macro="" textlink="">
      <xdr:nvSpPr>
        <xdr:cNvPr id="4" name="Flecha: a la derecha 6">
          <a:extLst>
            <a:ext uri="{FF2B5EF4-FFF2-40B4-BE49-F238E27FC236}">
              <a16:creationId xmlns:a16="http://schemas.microsoft.com/office/drawing/2014/main" id="{14E701DF-88DC-4532-9ED7-E0D27AD12EEC}"/>
            </a:ext>
          </a:extLst>
        </xdr:cNvPr>
        <xdr:cNvSpPr/>
      </xdr:nvSpPr>
      <xdr:spPr>
        <a:xfrm>
          <a:off x="21019295" y="1247775"/>
          <a:ext cx="1333500" cy="45243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26</xdr:col>
      <xdr:colOff>276225</xdr:colOff>
      <xdr:row>15</xdr:row>
      <xdr:rowOff>190498</xdr:rowOff>
    </xdr:from>
    <xdr:to>
      <xdr:col>31</xdr:col>
      <xdr:colOff>109537</xdr:colOff>
      <xdr:row>21</xdr:row>
      <xdr:rowOff>2381</xdr:rowOff>
    </xdr:to>
    <xdr:sp macro="" textlink="">
      <xdr:nvSpPr>
        <xdr:cNvPr id="5" name="Rectángulo: esquinas redondeadas 3">
          <a:extLst>
            <a:ext uri="{FF2B5EF4-FFF2-40B4-BE49-F238E27FC236}">
              <a16:creationId xmlns:a16="http://schemas.microsoft.com/office/drawing/2014/main" id="{8ADB0FC3-BB83-4CE3-BC6A-00752FAAC899}"/>
            </a:ext>
          </a:extLst>
        </xdr:cNvPr>
        <xdr:cNvSpPr/>
      </xdr:nvSpPr>
      <xdr:spPr>
        <a:xfrm>
          <a:off x="24069675" y="3057523"/>
          <a:ext cx="3643312" cy="964408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600" b="1"/>
            <a:t>NOTA: En</a:t>
          </a:r>
          <a:r>
            <a:rPr lang="es-PE" sz="1600" b="1" baseline="0"/>
            <a:t> el caso de la Franela y el Frech, solo se escoge uno para la elaboración ya sea de Poleras o Casacas</a:t>
          </a:r>
          <a:endParaRPr lang="es-PE" sz="1600" b="1"/>
        </a:p>
      </xdr:txBody>
    </xdr:sp>
    <xdr:clientData/>
  </xdr:twoCellAnchor>
  <xdr:twoCellAnchor>
    <xdr:from>
      <xdr:col>12</xdr:col>
      <xdr:colOff>0</xdr:colOff>
      <xdr:row>81</xdr:row>
      <xdr:rowOff>47625</xdr:rowOff>
    </xdr:from>
    <xdr:to>
      <xdr:col>16</xdr:col>
      <xdr:colOff>702469</xdr:colOff>
      <xdr:row>86</xdr:row>
      <xdr:rowOff>23812</xdr:rowOff>
    </xdr:to>
    <xdr:sp macro="" textlink="">
      <xdr:nvSpPr>
        <xdr:cNvPr id="6" name="Rectángulo: esquinas redondeadas 4">
          <a:extLst>
            <a:ext uri="{FF2B5EF4-FFF2-40B4-BE49-F238E27FC236}">
              <a16:creationId xmlns:a16="http://schemas.microsoft.com/office/drawing/2014/main" id="{AC25BDF1-AB2E-427C-A68C-0A1660E51DD8}"/>
            </a:ext>
          </a:extLst>
        </xdr:cNvPr>
        <xdr:cNvSpPr/>
      </xdr:nvSpPr>
      <xdr:spPr>
        <a:xfrm>
          <a:off x="13125450" y="15563850"/>
          <a:ext cx="3750469" cy="928687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600" b="1">
              <a:solidFill>
                <a:schemeClr val="dk1"/>
              </a:solidFill>
              <a:latin typeface="+mn-lt"/>
              <a:ea typeface="+mn-ea"/>
              <a:cs typeface="+mn-cs"/>
            </a:rPr>
            <a:t>NOTA: En el caso del</a:t>
          </a:r>
          <a:r>
            <a:rPr lang="es-PE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Jersey y el Algodón</a:t>
          </a:r>
          <a:r>
            <a:rPr lang="es-PE" sz="1600" b="1">
              <a:solidFill>
                <a:schemeClr val="dk1"/>
              </a:solidFill>
              <a:latin typeface="+mn-lt"/>
              <a:ea typeface="+mn-ea"/>
              <a:cs typeface="+mn-cs"/>
            </a:rPr>
            <a:t>, solo se escoge uno para la elaboración de</a:t>
          </a:r>
          <a:r>
            <a:rPr lang="es-PE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los Polos.</a:t>
          </a:r>
          <a:endParaRPr lang="es-PE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335757</xdr:colOff>
      <xdr:row>7</xdr:row>
      <xdr:rowOff>95250</xdr:rowOff>
    </xdr:from>
    <xdr:to>
      <xdr:col>31</xdr:col>
      <xdr:colOff>597695</xdr:colOff>
      <xdr:row>15</xdr:row>
      <xdr:rowOff>59534</xdr:rowOff>
    </xdr:to>
    <xdr:sp macro="" textlink="">
      <xdr:nvSpPr>
        <xdr:cNvPr id="7" name="Rectángulo: esquinas redondeadas 7">
          <a:extLst>
            <a:ext uri="{FF2B5EF4-FFF2-40B4-BE49-F238E27FC236}">
              <a16:creationId xmlns:a16="http://schemas.microsoft.com/office/drawing/2014/main" id="{2C7DD005-FD4F-4478-8E6B-CE302E42A7F5}"/>
            </a:ext>
          </a:extLst>
        </xdr:cNvPr>
        <xdr:cNvSpPr/>
      </xdr:nvSpPr>
      <xdr:spPr>
        <a:xfrm>
          <a:off x="24129207" y="1438275"/>
          <a:ext cx="4071938" cy="1488284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600" b="1"/>
            <a:t>NOTA:</a:t>
          </a:r>
        </a:p>
        <a:p>
          <a:pPr algn="l"/>
          <a:r>
            <a:rPr lang="es-PE" sz="1600" b="1"/>
            <a:t>-En</a:t>
          </a:r>
          <a:r>
            <a:rPr lang="es-PE" sz="1600" b="1" baseline="0"/>
            <a:t> el caso de los broches: puede ir como no en las casacas. El mismo comportamiento tiene el cierre. Cabe indicar que siempre debe de ir alguno de estos elementos</a:t>
          </a:r>
          <a:endParaRPr lang="es-PE" sz="1600" b="1"/>
        </a:p>
      </xdr:txBody>
    </xdr:sp>
    <xdr:clientData/>
  </xdr:twoCellAnchor>
  <xdr:oneCellAnchor>
    <xdr:from>
      <xdr:col>4</xdr:col>
      <xdr:colOff>171450</xdr:colOff>
      <xdr:row>0</xdr:row>
      <xdr:rowOff>28575</xdr:rowOff>
    </xdr:from>
    <xdr:ext cx="283766" cy="340351"/>
    <xdr:sp macro="" textlink="">
      <xdr:nvSpPr>
        <xdr:cNvPr id="10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25799A4F-9168-4B13-9594-A0F6DBE9E883}"/>
            </a:ext>
          </a:extLst>
        </xdr:cNvPr>
        <xdr:cNvSpPr/>
      </xdr:nvSpPr>
      <xdr:spPr>
        <a:xfrm>
          <a:off x="6848475" y="28575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4</xdr:col>
      <xdr:colOff>532458</xdr:colOff>
      <xdr:row>0</xdr:row>
      <xdr:rowOff>30089</xdr:rowOff>
    </xdr:from>
    <xdr:ext cx="266599" cy="337323"/>
    <xdr:sp macro="" textlink="">
      <xdr:nvSpPr>
        <xdr:cNvPr id="11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66F924ED-83FF-438B-B682-6F83D6C90F4E}"/>
            </a:ext>
          </a:extLst>
        </xdr:cNvPr>
        <xdr:cNvSpPr/>
      </xdr:nvSpPr>
      <xdr:spPr>
        <a:xfrm>
          <a:off x="7209483" y="30089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285750</xdr:colOff>
      <xdr:row>0</xdr:row>
      <xdr:rowOff>68356</xdr:rowOff>
    </xdr:from>
    <xdr:ext cx="283766" cy="340351"/>
    <xdr:sp macro="" textlink="">
      <xdr:nvSpPr>
        <xdr:cNvPr id="2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D1F9D0DF-250B-4EF4-94FA-3C59A667F890}"/>
            </a:ext>
          </a:extLst>
        </xdr:cNvPr>
        <xdr:cNvSpPr/>
      </xdr:nvSpPr>
      <xdr:spPr>
        <a:xfrm>
          <a:off x="5734050" y="68356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5</xdr:col>
      <xdr:colOff>722780</xdr:colOff>
      <xdr:row>0</xdr:row>
      <xdr:rowOff>57150</xdr:rowOff>
    </xdr:from>
    <xdr:ext cx="266599" cy="337323"/>
    <xdr:sp macro="" textlink="">
      <xdr:nvSpPr>
        <xdr:cNvPr id="3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E85BD84A-8755-435A-927F-06C540754B61}"/>
            </a:ext>
          </a:extLst>
        </xdr:cNvPr>
        <xdr:cNvSpPr/>
      </xdr:nvSpPr>
      <xdr:spPr>
        <a:xfrm>
          <a:off x="6171080" y="57150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104775</xdr:colOff>
      <xdr:row>9</xdr:row>
      <xdr:rowOff>123825</xdr:rowOff>
    </xdr:from>
    <xdr:to>
      <xdr:col>18</xdr:col>
      <xdr:colOff>704850</xdr:colOff>
      <xdr:row>11</xdr:row>
      <xdr:rowOff>114300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37EAF773-8643-4300-8408-6EDB537E3558}"/>
            </a:ext>
          </a:extLst>
        </xdr:cNvPr>
        <xdr:cNvSpPr/>
      </xdr:nvSpPr>
      <xdr:spPr>
        <a:xfrm rot="10800000">
          <a:off x="5572125" y="5857875"/>
          <a:ext cx="600075" cy="3714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250032</xdr:colOff>
      <xdr:row>13</xdr:row>
      <xdr:rowOff>64295</xdr:rowOff>
    </xdr:from>
    <xdr:to>
      <xdr:col>20</xdr:col>
      <xdr:colOff>271464</xdr:colOff>
      <xdr:row>17</xdr:row>
      <xdr:rowOff>14288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7009D849-2F45-4A32-866C-6F17BF3D4B31}"/>
            </a:ext>
          </a:extLst>
        </xdr:cNvPr>
        <xdr:cNvSpPr/>
      </xdr:nvSpPr>
      <xdr:spPr>
        <a:xfrm>
          <a:off x="13608845" y="2552701"/>
          <a:ext cx="1819275" cy="7239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1"/>
            <a:t>De</a:t>
          </a:r>
          <a:r>
            <a:rPr lang="es-PE" sz="1100" b="1" baseline="0"/>
            <a:t> acuerdo a lo que se pida, el producto puede como no tener estampados y bordados</a:t>
          </a:r>
          <a:endParaRPr lang="es-PE" sz="1100" b="1"/>
        </a:p>
      </xdr:txBody>
    </xdr:sp>
    <xdr:clientData/>
  </xdr:twoCellAnchor>
  <xdr:oneCellAnchor>
    <xdr:from>
      <xdr:col>7</xdr:col>
      <xdr:colOff>190500</xdr:colOff>
      <xdr:row>0</xdr:row>
      <xdr:rowOff>23112</xdr:rowOff>
    </xdr:from>
    <xdr:ext cx="283766" cy="340351"/>
    <xdr:sp macro="" textlink="">
      <xdr:nvSpPr>
        <xdr:cNvPr id="4" name="2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2EDDE3A0-2BF6-4022-96D0-1C56CFBFF934}"/>
            </a:ext>
          </a:extLst>
        </xdr:cNvPr>
        <xdr:cNvSpPr/>
      </xdr:nvSpPr>
      <xdr:spPr>
        <a:xfrm>
          <a:off x="5786438" y="23112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7</xdr:col>
      <xdr:colOff>627530</xdr:colOff>
      <xdr:row>0</xdr:row>
      <xdr:rowOff>11906</xdr:rowOff>
    </xdr:from>
    <xdr:ext cx="266599" cy="337323"/>
    <xdr:sp macro="" textlink="">
      <xdr:nvSpPr>
        <xdr:cNvPr id="5" name="3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8256AD89-477E-4ECF-8140-6C0217D0217C}"/>
            </a:ext>
          </a:extLst>
        </xdr:cNvPr>
        <xdr:cNvSpPr/>
      </xdr:nvSpPr>
      <xdr:spPr>
        <a:xfrm>
          <a:off x="6223468" y="11906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562917</xdr:colOff>
      <xdr:row>0</xdr:row>
      <xdr:rowOff>85725</xdr:rowOff>
    </xdr:from>
    <xdr:ext cx="283766" cy="340351"/>
    <xdr:sp macro="" textlink="">
      <xdr:nvSpPr>
        <xdr:cNvPr id="2" name="1 Rectángulo redondeado">
          <a:hlinkClick xmlns:r="http://schemas.openxmlformats.org/officeDocument/2006/relationships" r:id="rId1" tooltip="Incio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0240317" y="85725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7</xdr:col>
      <xdr:colOff>923925</xdr:colOff>
      <xdr:row>0</xdr:row>
      <xdr:rowOff>87239</xdr:rowOff>
    </xdr:from>
    <xdr:ext cx="266599" cy="337323"/>
    <xdr:sp macro="" textlink="">
      <xdr:nvSpPr>
        <xdr:cNvPr id="3" name="2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601325" y="87239"/>
          <a:ext cx="266599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 3"/>
            </a:rPr>
            <a:t></a:t>
          </a:r>
          <a:endParaRPr lang="es-ES" sz="2000"/>
        </a:p>
      </xdr:txBody>
    </xdr:sp>
    <xdr:clientData/>
  </xdr:oneCellAnchor>
  <xdr:oneCellAnchor>
    <xdr:from>
      <xdr:col>7</xdr:col>
      <xdr:colOff>209550</xdr:colOff>
      <xdr:row>0</xdr:row>
      <xdr:rowOff>87239</xdr:rowOff>
    </xdr:from>
    <xdr:ext cx="266598" cy="337323"/>
    <xdr:sp macro="" textlink="">
      <xdr:nvSpPr>
        <xdr:cNvPr id="4" name="3 Rectángulo redondeado">
          <a:hlinkClick xmlns:r="http://schemas.openxmlformats.org/officeDocument/2006/relationships" r:id="rId3" tooltip="Anterior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9893300" y="87239"/>
          <a:ext cx="266598" cy="33732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ingdings 3"/>
            </a:rPr>
            <a:t></a:t>
          </a:r>
          <a:endParaRPr lang="es-ES" sz="20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361950</xdr:colOff>
      <xdr:row>0</xdr:row>
      <xdr:rowOff>104775</xdr:rowOff>
    </xdr:from>
    <xdr:ext cx="409646" cy="334295"/>
    <xdr:sp macro="" textlink="">
      <xdr:nvSpPr>
        <xdr:cNvPr id="2" name="1 Rectángulo redondeado">
          <a:hlinkClick xmlns:r="http://schemas.openxmlformats.org/officeDocument/2006/relationships" r:id="rId1" tooltip="Retornar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201275" y="104775"/>
          <a:ext cx="409646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ES" sz="2000" b="1">
              <a:sym typeface="Wingdings 3"/>
            </a:rPr>
            <a:t></a:t>
          </a:r>
          <a:endParaRPr lang="es-ES" sz="2000" b="1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696267</xdr:colOff>
      <xdr:row>0</xdr:row>
      <xdr:rowOff>95250</xdr:rowOff>
    </xdr:from>
    <xdr:ext cx="283766" cy="340351"/>
    <xdr:sp macro="" textlink="">
      <xdr:nvSpPr>
        <xdr:cNvPr id="2" name="1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735617" y="95250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10</xdr:col>
      <xdr:colOff>292632</xdr:colOff>
      <xdr:row>0</xdr:row>
      <xdr:rowOff>98278</xdr:rowOff>
    </xdr:from>
    <xdr:ext cx="252835" cy="334295"/>
    <xdr:sp macro="" textlink="">
      <xdr:nvSpPr>
        <xdr:cNvPr id="3" name="2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1093982" y="98278"/>
          <a:ext cx="252835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"/>
            </a:rPr>
            <a:t></a:t>
          </a:r>
          <a:endParaRPr lang="es-ES" sz="2000"/>
        </a:p>
      </xdr:txBody>
    </xdr:sp>
    <xdr:clientData/>
  </xdr:oneCellAnchor>
  <xdr:oneCellAnchor>
    <xdr:from>
      <xdr:col>9</xdr:col>
      <xdr:colOff>16407</xdr:colOff>
      <xdr:row>0</xdr:row>
      <xdr:rowOff>104775</xdr:rowOff>
    </xdr:from>
    <xdr:ext cx="252835" cy="334295"/>
    <xdr:sp macro="" textlink="">
      <xdr:nvSpPr>
        <xdr:cNvPr id="4" name="3 Rectángulo redondeado">
          <a:hlinkClick xmlns:r="http://schemas.openxmlformats.org/officeDocument/2006/relationships" r:id="rId3" tooltip="Anterior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0055757" y="104775"/>
          <a:ext cx="252835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ingdings"/>
            </a:rPr>
            <a:t></a:t>
          </a:r>
          <a:endParaRPr lang="es-ES" sz="2000"/>
        </a:p>
      </xdr:txBody>
    </xdr:sp>
    <xdr:clientData/>
  </xdr:oneCellAnchor>
  <xdr:oneCellAnchor>
    <xdr:from>
      <xdr:col>9</xdr:col>
      <xdr:colOff>342900</xdr:colOff>
      <xdr:row>0</xdr:row>
      <xdr:rowOff>101747</xdr:rowOff>
    </xdr:from>
    <xdr:ext cx="283908" cy="340351"/>
    <xdr:sp macro="" textlink="">
      <xdr:nvSpPr>
        <xdr:cNvPr id="5" name="4 Rectángulo redondeado">
          <a:hlinkClick xmlns:r="http://schemas.openxmlformats.org/officeDocument/2006/relationships" r:id="rId4" tooltip="Auxiliar 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0382250" y="101747"/>
          <a:ext cx="283908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 b="1">
              <a:sym typeface="Webdings"/>
            </a:rPr>
            <a:t></a:t>
          </a:r>
          <a:endParaRPr lang="es-ES" sz="2000" b="1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314254</xdr:colOff>
      <xdr:row>0</xdr:row>
      <xdr:rowOff>95250</xdr:rowOff>
    </xdr:from>
    <xdr:ext cx="409646" cy="334295"/>
    <xdr:sp macro="" textlink="">
      <xdr:nvSpPr>
        <xdr:cNvPr id="3" name="2 Rectángulo redondeado">
          <a:hlinkClick xmlns:r="http://schemas.openxmlformats.org/officeDocument/2006/relationships" r:id="rId1" tooltip="Retornar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0534579" y="95250"/>
          <a:ext cx="409646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0" tIns="0" rIns="0" bIns="0" rtlCol="0" anchor="ctr">
          <a:noAutofit/>
        </a:bodyPr>
        <a:lstStyle/>
        <a:p>
          <a:pPr algn="ctr"/>
          <a:r>
            <a:rPr lang="es-ES" sz="2000" b="1">
              <a:sym typeface="Wingdings 3"/>
            </a:rPr>
            <a:t></a:t>
          </a:r>
          <a:endParaRPr lang="es-ES" sz="2000" b="1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1048621</xdr:colOff>
      <xdr:row>0</xdr:row>
      <xdr:rowOff>99646</xdr:rowOff>
    </xdr:from>
    <xdr:ext cx="283908" cy="340351"/>
    <xdr:sp macro="" textlink="">
      <xdr:nvSpPr>
        <xdr:cNvPr id="2" name="1 Rectángulo redondeado">
          <a:hlinkClick xmlns:r="http://schemas.openxmlformats.org/officeDocument/2006/relationships" r:id="rId1" tooltip="Auxiliar 2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0802221" y="99646"/>
          <a:ext cx="283908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 b="1">
              <a:sym typeface="Webdings"/>
            </a:rPr>
            <a:t></a:t>
          </a:r>
          <a:endParaRPr lang="es-ES" sz="2000" b="1"/>
        </a:p>
      </xdr:txBody>
    </xdr:sp>
    <xdr:clientData/>
  </xdr:oneCellAnchor>
  <xdr:oneCellAnchor>
    <xdr:from>
      <xdr:col>6</xdr:col>
      <xdr:colOff>1390205</xdr:colOff>
      <xdr:row>0</xdr:row>
      <xdr:rowOff>101941</xdr:rowOff>
    </xdr:from>
    <xdr:ext cx="252835" cy="334295"/>
    <xdr:sp macro="" textlink="">
      <xdr:nvSpPr>
        <xdr:cNvPr id="3" name="2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1143805" y="101941"/>
          <a:ext cx="252835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"/>
            </a:rPr>
            <a:t></a:t>
          </a:r>
          <a:endParaRPr lang="es-ES" sz="2000"/>
        </a:p>
      </xdr:txBody>
    </xdr:sp>
    <xdr:clientData/>
  </xdr:oneCellAnchor>
  <xdr:oneCellAnchor>
    <xdr:from>
      <xdr:col>6</xdr:col>
      <xdr:colOff>698152</xdr:colOff>
      <xdr:row>0</xdr:row>
      <xdr:rowOff>90121</xdr:rowOff>
    </xdr:from>
    <xdr:ext cx="283767" cy="340351"/>
    <xdr:sp macro="" textlink="">
      <xdr:nvSpPr>
        <xdr:cNvPr id="4" name="3 Rectángulo redondeado">
          <a:hlinkClick xmlns:r="http://schemas.openxmlformats.org/officeDocument/2006/relationships" r:id="rId3" tooltip="Inicio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0451752" y="90121"/>
          <a:ext cx="283767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ebdings"/>
            </a:rPr>
            <a:t></a:t>
          </a:r>
          <a:endParaRPr kumimoji="0" lang="es-ES" sz="20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378357</xdr:colOff>
      <xdr:row>0</xdr:row>
      <xdr:rowOff>93149</xdr:rowOff>
    </xdr:from>
    <xdr:ext cx="252835" cy="334295"/>
    <xdr:sp macro="" textlink="">
      <xdr:nvSpPr>
        <xdr:cNvPr id="5" name="4 Rectángulo redondeado">
          <a:hlinkClick xmlns:r="http://schemas.openxmlformats.org/officeDocument/2006/relationships" r:id="rId4" tooltip="Anterior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0131957" y="93149"/>
          <a:ext cx="252835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"/>
            </a:rPr>
            <a:t></a:t>
          </a:r>
          <a:endParaRPr lang="es-ES" sz="2000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48567</xdr:colOff>
      <xdr:row>0</xdr:row>
      <xdr:rowOff>104775</xdr:rowOff>
    </xdr:from>
    <xdr:ext cx="283766" cy="340351"/>
    <xdr:sp macro="" textlink="">
      <xdr:nvSpPr>
        <xdr:cNvPr id="2" name="1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1049942" y="104775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9</xdr:col>
      <xdr:colOff>416457</xdr:colOff>
      <xdr:row>0</xdr:row>
      <xdr:rowOff>107803</xdr:rowOff>
    </xdr:from>
    <xdr:ext cx="252835" cy="334295"/>
    <xdr:sp macro="" textlink="">
      <xdr:nvSpPr>
        <xdr:cNvPr id="3" name="2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417832" y="107803"/>
          <a:ext cx="252835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"/>
            </a:rPr>
            <a:t></a:t>
          </a:r>
          <a:endParaRPr lang="es-ES" sz="2000"/>
        </a:p>
      </xdr:txBody>
    </xdr:sp>
    <xdr:clientData/>
  </xdr:oneCellAnchor>
  <xdr:oneCellAnchor>
    <xdr:from>
      <xdr:col>8</xdr:col>
      <xdr:colOff>464082</xdr:colOff>
      <xdr:row>0</xdr:row>
      <xdr:rowOff>107803</xdr:rowOff>
    </xdr:from>
    <xdr:ext cx="252835" cy="334295"/>
    <xdr:sp macro="" textlink="">
      <xdr:nvSpPr>
        <xdr:cNvPr id="4" name="3 Rectángulo redondeado">
          <a:hlinkClick xmlns:r="http://schemas.openxmlformats.org/officeDocument/2006/relationships" r:id="rId3" tooltip="Anterior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0703457" y="107803"/>
          <a:ext cx="252835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ingdings"/>
            </a:rPr>
            <a:t></a:t>
          </a:r>
          <a:endParaRPr lang="es-ES" sz="2000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734367</xdr:colOff>
      <xdr:row>0</xdr:row>
      <xdr:rowOff>95250</xdr:rowOff>
    </xdr:from>
    <xdr:ext cx="283766" cy="340351"/>
    <xdr:sp macro="" textlink="">
      <xdr:nvSpPr>
        <xdr:cNvPr id="2" name="1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0878492" y="95250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9</xdr:col>
      <xdr:colOff>340257</xdr:colOff>
      <xdr:row>0</xdr:row>
      <xdr:rowOff>98278</xdr:rowOff>
    </xdr:from>
    <xdr:ext cx="252835" cy="334295"/>
    <xdr:sp macro="" textlink="">
      <xdr:nvSpPr>
        <xdr:cNvPr id="3" name="2 Rectángulo redondeado">
          <a:hlinkClick xmlns:r="http://schemas.openxmlformats.org/officeDocument/2006/relationships" r:id="rId2" tooltip="Siguiente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1246382" y="98278"/>
          <a:ext cx="252835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2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  <a:sym typeface="Wingdings"/>
            </a:rPr>
            <a:t></a:t>
          </a:r>
          <a:endParaRPr lang="es-ES" sz="2000"/>
        </a:p>
      </xdr:txBody>
    </xdr:sp>
    <xdr:clientData/>
  </xdr:oneCellAnchor>
  <xdr:oneCellAnchor>
    <xdr:from>
      <xdr:col>8</xdr:col>
      <xdr:colOff>387882</xdr:colOff>
      <xdr:row>0</xdr:row>
      <xdr:rowOff>98278</xdr:rowOff>
    </xdr:from>
    <xdr:ext cx="252835" cy="334295"/>
    <xdr:sp macro="" textlink="">
      <xdr:nvSpPr>
        <xdr:cNvPr id="4" name="3 Rectángulo redondeado">
          <a:hlinkClick xmlns:r="http://schemas.openxmlformats.org/officeDocument/2006/relationships" r:id="rId3" tooltip="Anterior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0532007" y="98278"/>
          <a:ext cx="252835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ingdings"/>
            </a:rPr>
            <a:t></a:t>
          </a:r>
          <a:endParaRPr lang="es-ES" sz="20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10467</xdr:colOff>
      <xdr:row>0</xdr:row>
      <xdr:rowOff>95250</xdr:rowOff>
    </xdr:from>
    <xdr:ext cx="283766" cy="340351"/>
    <xdr:sp macro="" textlink="">
      <xdr:nvSpPr>
        <xdr:cNvPr id="2" name="1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0821342" y="95250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  <xdr:oneCellAnchor>
    <xdr:from>
      <xdr:col>8</xdr:col>
      <xdr:colOff>264057</xdr:colOff>
      <xdr:row>0</xdr:row>
      <xdr:rowOff>117328</xdr:rowOff>
    </xdr:from>
    <xdr:ext cx="252835" cy="334295"/>
    <xdr:sp macro="" textlink="">
      <xdr:nvSpPr>
        <xdr:cNvPr id="4" name="3 Rectángulo redondeado">
          <a:hlinkClick xmlns:r="http://schemas.openxmlformats.org/officeDocument/2006/relationships" r:id="rId2" tooltip="Anterior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8369832" y="117328"/>
          <a:ext cx="252835" cy="33429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ingdings"/>
            </a:rPr>
            <a:t></a:t>
          </a:r>
          <a:endParaRPr lang="es-ES" sz="2000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12</xdr:row>
      <xdr:rowOff>95250</xdr:rowOff>
    </xdr:from>
    <xdr:to>
      <xdr:col>7</xdr:col>
      <xdr:colOff>586963</xdr:colOff>
      <xdr:row>19</xdr:row>
      <xdr:rowOff>12887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25E9F70-590D-4AF9-BDE7-3558DB0D891B}"/>
            </a:ext>
          </a:extLst>
        </xdr:cNvPr>
        <xdr:cNvSpPr/>
      </xdr:nvSpPr>
      <xdr:spPr>
        <a:xfrm>
          <a:off x="3705225" y="2171700"/>
          <a:ext cx="3415888" cy="105111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NOTA: </a:t>
          </a:r>
          <a:r>
            <a:rPr lang="es-PE" sz="1200" b="0"/>
            <a:t>Los</a:t>
          </a:r>
          <a:r>
            <a:rPr lang="es-PE" sz="1200" b="0" baseline="0"/>
            <a:t> precios de Venta se van modificando de acuerdo a las características que se quieren agregar en el producto. Se ha fijado precios base para las Casacas, Polos y Poleras con un modelo simple.</a:t>
          </a:r>
          <a:endParaRPr lang="es-PE" sz="1200" b="0"/>
        </a:p>
      </xdr:txBody>
    </xdr:sp>
    <xdr:clientData/>
  </xdr:twoCellAnchor>
  <xdr:oneCellAnchor>
    <xdr:from>
      <xdr:col>4</xdr:col>
      <xdr:colOff>600075</xdr:colOff>
      <xdr:row>0</xdr:row>
      <xdr:rowOff>142875</xdr:rowOff>
    </xdr:from>
    <xdr:ext cx="283766" cy="340351"/>
    <xdr:sp macro="" textlink="">
      <xdr:nvSpPr>
        <xdr:cNvPr id="3" name="1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1FE644C1-3E12-403D-A268-F6F5037BBB09}"/>
            </a:ext>
          </a:extLst>
        </xdr:cNvPr>
        <xdr:cNvSpPr/>
      </xdr:nvSpPr>
      <xdr:spPr>
        <a:xfrm>
          <a:off x="4848225" y="142875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0</xdr:row>
      <xdr:rowOff>0</xdr:rowOff>
    </xdr:from>
    <xdr:ext cx="390525" cy="346407"/>
    <xdr:sp macro="" textlink="">
      <xdr:nvSpPr>
        <xdr:cNvPr id="2" name="1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3C5CC62B-A67F-4EE1-968A-1DCD0893EDD1}"/>
            </a:ext>
          </a:extLst>
        </xdr:cNvPr>
        <xdr:cNvSpPr/>
      </xdr:nvSpPr>
      <xdr:spPr>
        <a:xfrm>
          <a:off x="5734050" y="0"/>
          <a:ext cx="390525" cy="346407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133349</xdr:colOff>
      <xdr:row>0</xdr:row>
      <xdr:rowOff>241134</xdr:rowOff>
    </xdr:from>
    <xdr:ext cx="390525" cy="346407"/>
    <xdr:sp macro="" textlink="">
      <xdr:nvSpPr>
        <xdr:cNvPr id="2" name="1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C1ED6C03-AF77-4575-B773-16CAA50BB759}"/>
            </a:ext>
          </a:extLst>
        </xdr:cNvPr>
        <xdr:cNvSpPr/>
      </xdr:nvSpPr>
      <xdr:spPr>
        <a:xfrm>
          <a:off x="5876924" y="241134"/>
          <a:ext cx="390525" cy="346407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400050</xdr:colOff>
      <xdr:row>0</xdr:row>
      <xdr:rowOff>47625</xdr:rowOff>
    </xdr:from>
    <xdr:ext cx="283766" cy="340351"/>
    <xdr:sp macro="" textlink="">
      <xdr:nvSpPr>
        <xdr:cNvPr id="2" name="1 Rectángulo redondeado">
          <a:hlinkClick xmlns:r="http://schemas.openxmlformats.org/officeDocument/2006/relationships" r:id="rId1" tooltip="Inicio"/>
          <a:extLst>
            <a:ext uri="{FF2B5EF4-FFF2-40B4-BE49-F238E27FC236}">
              <a16:creationId xmlns:a16="http://schemas.microsoft.com/office/drawing/2014/main" id="{840E2EB4-08BD-4031-AAF9-1C4A605328CD}"/>
            </a:ext>
          </a:extLst>
        </xdr:cNvPr>
        <xdr:cNvSpPr/>
      </xdr:nvSpPr>
      <xdr:spPr>
        <a:xfrm>
          <a:off x="5229225" y="47625"/>
          <a:ext cx="283766" cy="34035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none" lIns="0" tIns="0" rIns="0" bIns="0" rtlCol="0" anchor="ctr">
          <a:spAutoFit/>
        </a:bodyPr>
        <a:lstStyle/>
        <a:p>
          <a:pPr algn="ctr"/>
          <a:r>
            <a:rPr lang="es-ES" sz="2000">
              <a:sym typeface="Webdings"/>
            </a:rPr>
            <a:t></a:t>
          </a:r>
          <a:endParaRPr lang="es-ES" sz="20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DETALLES%20INCATEX%20S.A.C%20(16%20&#243;rdenes%20de%20trabajo)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DETALLES%20INCATEX%20S.A.C%20(16%20&#243;rdenes%20de%20trabajo)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fer/Downloads/DETALLES%20INCATEX%20S.A.C%20(16%20&#243;rdenes%20de%20trabajo)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ción de Característic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_de_Cálculo_Costos"/>
      <sheetName val="Data"/>
      <sheetName val="Elección de Características"/>
      <sheetName val="Maestro_Materiales"/>
      <sheetName val="Matriz_Tiemp_Efec_MOD"/>
      <sheetName val="Matriz_Remu_MOD "/>
      <sheetName val="CMD"/>
      <sheetName val="CMOD"/>
      <sheetName val="CSD"/>
      <sheetName val="CMOI"/>
      <sheetName val="OT"/>
      <sheetName val="CIF1"/>
      <sheetName val="CIF2"/>
      <sheetName val="CIF3"/>
      <sheetName val="Horas_Adm"/>
      <sheetName val="Gastos_ADM"/>
      <sheetName val="Horas_Ven"/>
      <sheetName val="Gastos_VEN"/>
      <sheetName val="Precio_De_Venta"/>
      <sheetName val="HojadeCostosxOT"/>
      <sheetName val="Ana_Rentabilidad"/>
      <sheetName val="EstadoResultados"/>
    </sheetNames>
    <sheetDataSet>
      <sheetData sheetId="0"/>
      <sheetData sheetId="1">
        <row r="28">
          <cell r="A28" t="str">
            <v>CCA1</v>
          </cell>
        </row>
      </sheetData>
      <sheetData sheetId="2"/>
      <sheetData sheetId="3">
        <row r="3">
          <cell r="A3" t="str">
            <v>MD01</v>
          </cell>
          <cell r="B3" t="str">
            <v>Bolsas para empaquetado</v>
          </cell>
          <cell r="K3" t="str">
            <v xml:space="preserve">unidad </v>
          </cell>
        </row>
        <row r="4">
          <cell r="A4" t="str">
            <v>MD02</v>
          </cell>
          <cell r="B4" t="str">
            <v>Broches</v>
          </cell>
          <cell r="K4" t="str">
            <v xml:space="preserve">unidad </v>
          </cell>
        </row>
        <row r="5">
          <cell r="A5" t="str">
            <v>MD03</v>
          </cell>
          <cell r="B5" t="str">
            <v>Cierre</v>
          </cell>
          <cell r="K5" t="str">
            <v xml:space="preserve">unidad </v>
          </cell>
        </row>
        <row r="6">
          <cell r="A6" t="str">
            <v>MD04</v>
          </cell>
          <cell r="B6" t="str">
            <v>Etiqueta de la marca</v>
          </cell>
          <cell r="K6" t="str">
            <v xml:space="preserve">unidad </v>
          </cell>
        </row>
        <row r="7">
          <cell r="A7" t="str">
            <v>MD05</v>
          </cell>
          <cell r="B7" t="str">
            <v>Etiqueta de los nombre</v>
          </cell>
          <cell r="K7" t="str">
            <v xml:space="preserve">unidad </v>
          </cell>
        </row>
        <row r="8">
          <cell r="A8" t="str">
            <v>MD06</v>
          </cell>
          <cell r="B8" t="str">
            <v>Etiqueta de los piezas (Etiquetas de Transferencia Térmica)</v>
          </cell>
          <cell r="K8" t="str">
            <v xml:space="preserve">unidad </v>
          </cell>
        </row>
        <row r="9">
          <cell r="A9" t="str">
            <v>MD07</v>
          </cell>
          <cell r="B9" t="str">
            <v>Hilo de costura</v>
          </cell>
          <cell r="K9" t="str">
            <v xml:space="preserve">unidad </v>
          </cell>
        </row>
        <row r="10">
          <cell r="A10" t="str">
            <v>MD08</v>
          </cell>
          <cell r="B10" t="str">
            <v>Hilo pasador</v>
          </cell>
          <cell r="K10" t="str">
            <v xml:space="preserve">unidad </v>
          </cell>
        </row>
        <row r="11">
          <cell r="A11" t="str">
            <v>MD09</v>
          </cell>
          <cell r="B11" t="str">
            <v>Rib</v>
          </cell>
          <cell r="K11" t="str">
            <v>metro</v>
          </cell>
        </row>
        <row r="12">
          <cell r="A12" t="str">
            <v>MD10</v>
          </cell>
          <cell r="B12" t="str">
            <v>Franela Perchada 24/1</v>
          </cell>
          <cell r="K12" t="str">
            <v>metro</v>
          </cell>
        </row>
        <row r="13">
          <cell r="A13" t="str">
            <v>MD11</v>
          </cell>
          <cell r="B13" t="str">
            <v>Frech Terry 24/1</v>
          </cell>
          <cell r="K13" t="str">
            <v>metro</v>
          </cell>
        </row>
        <row r="14">
          <cell r="A14" t="str">
            <v>MD12</v>
          </cell>
          <cell r="B14" t="str">
            <v>Jersey 30/1</v>
          </cell>
          <cell r="K14" t="str">
            <v>metro</v>
          </cell>
        </row>
        <row r="15">
          <cell r="A15" t="str">
            <v>MD13</v>
          </cell>
          <cell r="B15" t="str">
            <v>Algodón tacto</v>
          </cell>
          <cell r="K15" t="str">
            <v xml:space="preserve">unidad 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8">
          <cell r="O8">
            <v>27</v>
          </cell>
        </row>
        <row r="12">
          <cell r="O12">
            <v>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_de_Cálculo_Costos"/>
      <sheetName val="Data"/>
      <sheetName val="OT"/>
      <sheetName val="Elección de Características"/>
      <sheetName val="Maestro_Materiales"/>
      <sheetName val="Matriz_Tiemp_Efec_MOD"/>
      <sheetName val="Matriz_Remu_MOD "/>
      <sheetName val="CMD"/>
      <sheetName val="CMOD"/>
      <sheetName val="CMOI"/>
      <sheetName val="CSD"/>
      <sheetName val="CIF1"/>
      <sheetName val="CIF2"/>
      <sheetName val="CIF3"/>
      <sheetName val="Horas_Adm"/>
      <sheetName val="Gastos_ADM"/>
      <sheetName val="Horas_Ven"/>
      <sheetName val="Gastos_VEN"/>
      <sheetName val="Precio_De_Venta"/>
      <sheetName val="HojadeCostosxOT"/>
      <sheetName val="Ana_Rentabilidad"/>
      <sheetName val="EstadoResultados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I4">
            <v>150</v>
          </cell>
        </row>
        <row r="5">
          <cell r="I5">
            <v>1000</v>
          </cell>
        </row>
        <row r="6">
          <cell r="I6">
            <v>250</v>
          </cell>
        </row>
        <row r="7">
          <cell r="I7">
            <v>250</v>
          </cell>
        </row>
      </sheetData>
      <sheetData sheetId="7">
        <row r="24">
          <cell r="G24" t="str">
            <v>CASACAS</v>
          </cell>
          <cell r="H24" t="str">
            <v>CASACAS</v>
          </cell>
          <cell r="I24" t="str">
            <v>POLOS</v>
          </cell>
          <cell r="J24" t="str">
            <v>POLERAS</v>
          </cell>
          <cell r="K24" t="str">
            <v>CASACA</v>
          </cell>
          <cell r="L24" t="str">
            <v>POLERAS</v>
          </cell>
          <cell r="M24" t="str">
            <v>POLOS</v>
          </cell>
          <cell r="N24" t="str">
            <v>POLERAS</v>
          </cell>
          <cell r="O24" t="str">
            <v>CASACAS</v>
          </cell>
          <cell r="P24" t="str">
            <v>POLERAS</v>
          </cell>
          <cell r="Q24" t="str">
            <v>POLOS</v>
          </cell>
          <cell r="R24" t="str">
            <v>POLERAS</v>
          </cell>
          <cell r="S24" t="str">
            <v>CASACAS</v>
          </cell>
          <cell r="T24" t="str">
            <v>CASACAS</v>
          </cell>
          <cell r="U24" t="str">
            <v>CASACAS</v>
          </cell>
          <cell r="V24" t="str">
            <v>POLERAS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00"/>
  </sheetPr>
  <dimension ref="A1"/>
  <sheetViews>
    <sheetView tabSelected="1" workbookViewId="0"/>
  </sheetViews>
  <sheetFormatPr baseColWidth="10" defaultRowHeight="12.75" x14ac:dyDescent="0.2"/>
  <cols>
    <col min="1" max="16384" width="11.42578125" style="140"/>
  </cols>
  <sheetData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00"/>
  </sheetPr>
  <dimension ref="A2:P36"/>
  <sheetViews>
    <sheetView topLeftCell="C1" workbookViewId="0">
      <selection activeCell="F5" sqref="F5:H9"/>
    </sheetView>
  </sheetViews>
  <sheetFormatPr baseColWidth="10" defaultRowHeight="15" x14ac:dyDescent="0.25"/>
  <cols>
    <col min="1" max="1" width="9.5703125" style="143" bestFit="1" customWidth="1"/>
    <col min="2" max="2" width="45.28515625" style="143" customWidth="1"/>
    <col min="3" max="3" width="12.42578125" style="143" customWidth="1"/>
    <col min="4" max="4" width="13.5703125" style="143" customWidth="1"/>
    <col min="5" max="5" width="12.140625" style="143" customWidth="1"/>
    <col min="6" max="6" width="18.85546875" style="143" bestFit="1" customWidth="1"/>
    <col min="7" max="8" width="23" style="143" bestFit="1" customWidth="1"/>
    <col min="9" max="9" width="11.7109375" style="143" bestFit="1" customWidth="1"/>
    <col min="10" max="10" width="19.140625" style="143" bestFit="1" customWidth="1"/>
    <col min="11" max="15" width="3.85546875" style="143" bestFit="1" customWidth="1"/>
    <col min="16" max="16" width="18.28515625" style="143" customWidth="1"/>
    <col min="17" max="16384" width="11.42578125" style="143"/>
  </cols>
  <sheetData>
    <row r="2" spans="1:16" x14ac:dyDescent="0.25">
      <c r="A2" s="409" t="s">
        <v>385</v>
      </c>
      <c r="B2" s="409"/>
    </row>
    <row r="3" spans="1:16" x14ac:dyDescent="0.25">
      <c r="A3" s="410" t="s">
        <v>386</v>
      </c>
      <c r="B3" s="410" t="s">
        <v>259</v>
      </c>
      <c r="C3" s="411" t="s">
        <v>387</v>
      </c>
      <c r="D3" s="411" t="s">
        <v>388</v>
      </c>
      <c r="E3" s="407" t="s">
        <v>389</v>
      </c>
      <c r="F3" s="407" t="s">
        <v>390</v>
      </c>
      <c r="G3" s="407" t="s">
        <v>391</v>
      </c>
      <c r="H3" s="407" t="s">
        <v>392</v>
      </c>
      <c r="I3" s="407" t="s">
        <v>393</v>
      </c>
      <c r="J3" s="407" t="s">
        <v>394</v>
      </c>
      <c r="K3" s="417" t="s">
        <v>395</v>
      </c>
      <c r="L3" s="417"/>
      <c r="M3" s="417"/>
      <c r="N3" s="417"/>
      <c r="O3" s="417"/>
      <c r="P3" s="416" t="s">
        <v>396</v>
      </c>
    </row>
    <row r="4" spans="1:16" ht="18.75" customHeight="1" x14ac:dyDescent="0.25">
      <c r="A4" s="410"/>
      <c r="B4" s="410"/>
      <c r="C4" s="412"/>
      <c r="D4" s="412"/>
      <c r="E4" s="408"/>
      <c r="F4" s="408"/>
      <c r="G4" s="408"/>
      <c r="H4" s="408"/>
      <c r="I4" s="408"/>
      <c r="J4" s="408"/>
      <c r="K4" s="240" t="s">
        <v>397</v>
      </c>
      <c r="L4" s="240" t="s">
        <v>398</v>
      </c>
      <c r="M4" s="240" t="s">
        <v>399</v>
      </c>
      <c r="N4" s="240" t="s">
        <v>400</v>
      </c>
      <c r="O4" s="240" t="s">
        <v>401</v>
      </c>
      <c r="P4" s="416"/>
    </row>
    <row r="5" spans="1:16" x14ac:dyDescent="0.25">
      <c r="A5" s="241" t="s">
        <v>402</v>
      </c>
      <c r="B5" s="242" t="s">
        <v>403</v>
      </c>
      <c r="C5" s="243">
        <v>42828</v>
      </c>
      <c r="D5" s="243">
        <v>42835</v>
      </c>
      <c r="E5" s="244" t="s">
        <v>278</v>
      </c>
      <c r="F5" s="242" t="s">
        <v>313</v>
      </c>
      <c r="G5" s="242" t="s">
        <v>318</v>
      </c>
      <c r="H5" s="242" t="s">
        <v>319</v>
      </c>
      <c r="I5" s="242" t="s">
        <v>312</v>
      </c>
      <c r="J5" s="222" t="s">
        <v>322</v>
      </c>
      <c r="K5" s="145">
        <v>4</v>
      </c>
      <c r="L5" s="145">
        <v>4</v>
      </c>
      <c r="M5" s="145">
        <v>8</v>
      </c>
      <c r="N5" s="145">
        <v>5</v>
      </c>
      <c r="O5" s="145">
        <v>0</v>
      </c>
      <c r="P5" s="245" t="s">
        <v>404</v>
      </c>
    </row>
    <row r="6" spans="1:16" x14ac:dyDescent="0.25">
      <c r="A6" s="241"/>
      <c r="B6" s="242"/>
      <c r="C6" s="242"/>
      <c r="D6" s="242"/>
      <c r="E6" s="242"/>
      <c r="F6" s="242" t="s">
        <v>310</v>
      </c>
      <c r="G6" s="242" t="s">
        <v>310</v>
      </c>
      <c r="H6" s="242" t="s">
        <v>317</v>
      </c>
      <c r="I6" s="242" t="s">
        <v>310</v>
      </c>
      <c r="J6" s="222" t="s">
        <v>310</v>
      </c>
      <c r="K6" s="145"/>
      <c r="L6" s="413" t="s">
        <v>285</v>
      </c>
      <c r="M6" s="414"/>
      <c r="N6" s="415"/>
      <c r="O6" s="246">
        <f>SUM(K5:O5)</f>
        <v>21</v>
      </c>
      <c r="P6" s="245"/>
    </row>
    <row r="7" spans="1:16" x14ac:dyDescent="0.25">
      <c r="A7" s="241" t="s">
        <v>263</v>
      </c>
      <c r="B7" s="242" t="s">
        <v>405</v>
      </c>
      <c r="C7" s="243">
        <v>42829</v>
      </c>
      <c r="D7" s="243">
        <v>42839</v>
      </c>
      <c r="E7" s="244" t="s">
        <v>278</v>
      </c>
      <c r="F7" s="242" t="s">
        <v>313</v>
      </c>
      <c r="G7" s="242" t="s">
        <v>318</v>
      </c>
      <c r="H7" s="242" t="s">
        <v>319</v>
      </c>
      <c r="I7" s="242" t="s">
        <v>312</v>
      </c>
      <c r="J7" s="222" t="s">
        <v>322</v>
      </c>
      <c r="K7" s="145">
        <v>2</v>
      </c>
      <c r="L7" s="145">
        <v>5</v>
      </c>
      <c r="M7" s="145">
        <v>16</v>
      </c>
      <c r="N7" s="145">
        <v>4</v>
      </c>
      <c r="O7" s="145">
        <v>0</v>
      </c>
      <c r="P7" s="245" t="s">
        <v>406</v>
      </c>
    </row>
    <row r="8" spans="1:16" x14ac:dyDescent="0.25">
      <c r="A8" s="241"/>
      <c r="B8" s="242"/>
      <c r="C8" s="242"/>
      <c r="D8" s="242"/>
      <c r="E8" s="242"/>
      <c r="F8" s="242" t="s">
        <v>310</v>
      </c>
      <c r="G8" s="242" t="s">
        <v>311</v>
      </c>
      <c r="H8" s="242" t="s">
        <v>317</v>
      </c>
      <c r="I8" s="242" t="s">
        <v>310</v>
      </c>
      <c r="J8" s="222" t="s">
        <v>310</v>
      </c>
      <c r="K8" s="145"/>
      <c r="L8" s="413" t="s">
        <v>285</v>
      </c>
      <c r="M8" s="414"/>
      <c r="N8" s="415"/>
      <c r="O8" s="246">
        <f>SUM(K7:O7)</f>
        <v>27</v>
      </c>
      <c r="P8" s="245"/>
    </row>
    <row r="9" spans="1:16" x14ac:dyDescent="0.25">
      <c r="A9" s="241" t="s">
        <v>264</v>
      </c>
      <c r="B9" s="242" t="s">
        <v>407</v>
      </c>
      <c r="C9" s="243">
        <v>42842</v>
      </c>
      <c r="D9" s="243">
        <v>42852</v>
      </c>
      <c r="E9" s="244" t="s">
        <v>279</v>
      </c>
      <c r="F9" s="242" t="s">
        <v>309</v>
      </c>
      <c r="G9" s="242" t="s">
        <v>314</v>
      </c>
      <c r="H9" s="242" t="s">
        <v>319</v>
      </c>
      <c r="I9" s="242" t="s">
        <v>323</v>
      </c>
      <c r="J9" s="242" t="s">
        <v>324</v>
      </c>
      <c r="K9" s="145">
        <v>0</v>
      </c>
      <c r="L9" s="145">
        <v>3</v>
      </c>
      <c r="M9" s="145">
        <v>5</v>
      </c>
      <c r="N9" s="145">
        <v>15</v>
      </c>
      <c r="O9" s="145">
        <v>4</v>
      </c>
      <c r="P9" s="245" t="s">
        <v>406</v>
      </c>
    </row>
    <row r="10" spans="1:16" x14ac:dyDescent="0.25">
      <c r="A10" s="241"/>
      <c r="B10" s="242"/>
      <c r="C10" s="242"/>
      <c r="D10" s="242"/>
      <c r="E10" s="242"/>
      <c r="F10" s="242" t="s">
        <v>310</v>
      </c>
      <c r="G10" s="242" t="s">
        <v>311</v>
      </c>
      <c r="H10" s="242" t="s">
        <v>321</v>
      </c>
      <c r="I10" s="242" t="s">
        <v>310</v>
      </c>
      <c r="J10" s="242" t="s">
        <v>326</v>
      </c>
      <c r="K10" s="145"/>
      <c r="L10" s="413" t="s">
        <v>285</v>
      </c>
      <c r="M10" s="414"/>
      <c r="N10" s="415"/>
      <c r="O10" s="246">
        <f>SUM(K9:O9)</f>
        <v>27</v>
      </c>
      <c r="P10" s="245"/>
    </row>
    <row r="11" spans="1:16" x14ac:dyDescent="0.25">
      <c r="A11" s="247" t="s">
        <v>265</v>
      </c>
      <c r="B11" s="242" t="s">
        <v>408</v>
      </c>
      <c r="C11" s="243">
        <v>42835</v>
      </c>
      <c r="D11" s="243">
        <v>42853</v>
      </c>
      <c r="E11" s="244" t="s">
        <v>280</v>
      </c>
      <c r="F11" s="242" t="s">
        <v>312</v>
      </c>
      <c r="G11" s="242" t="s">
        <v>315</v>
      </c>
      <c r="H11" s="222" t="s">
        <v>322</v>
      </c>
      <c r="I11" s="242" t="s">
        <v>409</v>
      </c>
      <c r="J11" s="242" t="s">
        <v>409</v>
      </c>
      <c r="K11" s="145">
        <v>0</v>
      </c>
      <c r="L11" s="145">
        <v>4</v>
      </c>
      <c r="M11" s="145">
        <v>24</v>
      </c>
      <c r="N11" s="145">
        <v>26</v>
      </c>
      <c r="O11" s="145">
        <v>0</v>
      </c>
      <c r="P11" s="245" t="s">
        <v>406</v>
      </c>
    </row>
    <row r="12" spans="1:16" x14ac:dyDescent="0.25">
      <c r="A12" s="247"/>
      <c r="B12" s="242"/>
      <c r="C12" s="242"/>
      <c r="D12" s="242"/>
      <c r="E12" s="242"/>
      <c r="F12" s="242" t="s">
        <v>310</v>
      </c>
      <c r="G12" s="242" t="s">
        <v>317</v>
      </c>
      <c r="H12" s="222" t="s">
        <v>310</v>
      </c>
      <c r="I12" s="242"/>
      <c r="J12" s="242"/>
      <c r="K12" s="145"/>
      <c r="L12" s="413" t="s">
        <v>285</v>
      </c>
      <c r="M12" s="414"/>
      <c r="N12" s="415"/>
      <c r="O12" s="246">
        <f>SUM(K11:O11)</f>
        <v>54</v>
      </c>
      <c r="P12" s="245"/>
    </row>
    <row r="13" spans="1:16" x14ac:dyDescent="0.25">
      <c r="A13" s="241" t="s">
        <v>410</v>
      </c>
      <c r="B13" s="242" t="s">
        <v>411</v>
      </c>
      <c r="C13" s="243">
        <v>42844</v>
      </c>
      <c r="D13" s="243">
        <v>42856</v>
      </c>
      <c r="E13" s="244" t="s">
        <v>278</v>
      </c>
      <c r="F13" s="242" t="s">
        <v>313</v>
      </c>
      <c r="G13" s="242" t="s">
        <v>318</v>
      </c>
      <c r="H13" s="242" t="s">
        <v>319</v>
      </c>
      <c r="I13" s="242" t="s">
        <v>312</v>
      </c>
      <c r="J13" s="222" t="s">
        <v>322</v>
      </c>
      <c r="K13" s="145">
        <v>0</v>
      </c>
      <c r="L13" s="145">
        <v>1</v>
      </c>
      <c r="M13" s="145">
        <v>10</v>
      </c>
      <c r="N13" s="145">
        <v>10</v>
      </c>
      <c r="O13" s="145">
        <v>0</v>
      </c>
      <c r="P13" s="245" t="s">
        <v>404</v>
      </c>
    </row>
    <row r="14" spans="1:16" x14ac:dyDescent="0.25">
      <c r="A14" s="241"/>
      <c r="B14" s="242"/>
      <c r="C14" s="242"/>
      <c r="D14" s="242"/>
      <c r="E14" s="242"/>
      <c r="F14" s="242" t="s">
        <v>310</v>
      </c>
      <c r="G14" s="242" t="s">
        <v>310</v>
      </c>
      <c r="H14" s="242" t="s">
        <v>316</v>
      </c>
      <c r="I14" s="242" t="s">
        <v>310</v>
      </c>
      <c r="J14" s="222" t="s">
        <v>310</v>
      </c>
      <c r="K14" s="145"/>
      <c r="L14" s="413" t="s">
        <v>285</v>
      </c>
      <c r="M14" s="414"/>
      <c r="N14" s="415"/>
      <c r="O14" s="246">
        <f>SUM(K13:O13)</f>
        <v>21</v>
      </c>
      <c r="P14" s="245"/>
    </row>
    <row r="15" spans="1:16" x14ac:dyDescent="0.25">
      <c r="A15" s="241" t="s">
        <v>412</v>
      </c>
      <c r="B15" s="242" t="s">
        <v>413</v>
      </c>
      <c r="C15" s="243">
        <v>42849</v>
      </c>
      <c r="D15" s="243">
        <v>42859</v>
      </c>
      <c r="E15" s="244" t="s">
        <v>280</v>
      </c>
      <c r="F15" s="242" t="s">
        <v>312</v>
      </c>
      <c r="G15" s="242" t="s">
        <v>315</v>
      </c>
      <c r="H15" s="222" t="s">
        <v>322</v>
      </c>
      <c r="I15" s="242" t="s">
        <v>409</v>
      </c>
      <c r="J15" s="242" t="s">
        <v>409</v>
      </c>
      <c r="K15" s="145">
        <v>0</v>
      </c>
      <c r="L15" s="145">
        <v>4</v>
      </c>
      <c r="M15" s="145">
        <v>10</v>
      </c>
      <c r="N15" s="145">
        <v>3</v>
      </c>
      <c r="O15" s="145">
        <v>7</v>
      </c>
      <c r="P15" s="245" t="s">
        <v>406</v>
      </c>
    </row>
    <row r="16" spans="1:16" x14ac:dyDescent="0.25">
      <c r="A16" s="241"/>
      <c r="B16" s="242"/>
      <c r="C16" s="242"/>
      <c r="D16" s="242"/>
      <c r="E16" s="242"/>
      <c r="F16" s="242" t="s">
        <v>310</v>
      </c>
      <c r="G16" s="242" t="s">
        <v>316</v>
      </c>
      <c r="H16" s="222" t="s">
        <v>310</v>
      </c>
      <c r="I16" s="242"/>
      <c r="J16" s="222"/>
      <c r="K16" s="145"/>
      <c r="L16" s="413" t="s">
        <v>285</v>
      </c>
      <c r="M16" s="414"/>
      <c r="N16" s="415"/>
      <c r="O16" s="246">
        <f>SUM(K15:O15)</f>
        <v>24</v>
      </c>
      <c r="P16" s="245"/>
    </row>
    <row r="17" spans="1:16" x14ac:dyDescent="0.25">
      <c r="A17" s="241" t="s">
        <v>414</v>
      </c>
      <c r="B17" s="242" t="s">
        <v>415</v>
      </c>
      <c r="C17" s="243">
        <v>42858</v>
      </c>
      <c r="D17" s="243">
        <v>42863</v>
      </c>
      <c r="E17" s="244" t="s">
        <v>279</v>
      </c>
      <c r="F17" s="242" t="s">
        <v>309</v>
      </c>
      <c r="G17" s="242" t="s">
        <v>314</v>
      </c>
      <c r="H17" s="242" t="s">
        <v>319</v>
      </c>
      <c r="I17" s="242" t="s">
        <v>323</v>
      </c>
      <c r="J17" s="242" t="s">
        <v>324</v>
      </c>
      <c r="K17" s="145">
        <v>0</v>
      </c>
      <c r="L17" s="145">
        <v>1</v>
      </c>
      <c r="M17" s="145">
        <v>19</v>
      </c>
      <c r="N17" s="145">
        <v>6</v>
      </c>
      <c r="O17" s="145">
        <v>0</v>
      </c>
      <c r="P17" s="245" t="s">
        <v>406</v>
      </c>
    </row>
    <row r="18" spans="1:16" x14ac:dyDescent="0.25">
      <c r="A18" s="241"/>
      <c r="B18" s="242"/>
      <c r="C18" s="242"/>
      <c r="D18" s="242"/>
      <c r="E18" s="242"/>
      <c r="F18" s="242" t="s">
        <v>310</v>
      </c>
      <c r="G18" s="242" t="s">
        <v>311</v>
      </c>
      <c r="H18" s="242" t="s">
        <v>416</v>
      </c>
      <c r="I18" s="242" t="s">
        <v>310</v>
      </c>
      <c r="J18" s="242" t="s">
        <v>325</v>
      </c>
      <c r="K18" s="145"/>
      <c r="L18" s="413" t="s">
        <v>285</v>
      </c>
      <c r="M18" s="414"/>
      <c r="N18" s="415"/>
      <c r="O18" s="246">
        <f>SUM(K17:O17)</f>
        <v>26</v>
      </c>
      <c r="P18" s="245"/>
    </row>
    <row r="19" spans="1:16" x14ac:dyDescent="0.25">
      <c r="A19" s="247" t="s">
        <v>417</v>
      </c>
      <c r="B19" s="242" t="s">
        <v>418</v>
      </c>
      <c r="C19" s="243">
        <v>42859</v>
      </c>
      <c r="D19" s="243">
        <v>42871</v>
      </c>
      <c r="E19" s="244" t="s">
        <v>280</v>
      </c>
      <c r="F19" s="242" t="s">
        <v>312</v>
      </c>
      <c r="G19" s="242" t="s">
        <v>315</v>
      </c>
      <c r="H19" s="222" t="s">
        <v>322</v>
      </c>
      <c r="I19" s="242" t="s">
        <v>409</v>
      </c>
      <c r="J19" s="242" t="s">
        <v>409</v>
      </c>
      <c r="K19" s="145">
        <v>0</v>
      </c>
      <c r="L19" s="145">
        <v>3</v>
      </c>
      <c r="M19" s="145">
        <v>12</v>
      </c>
      <c r="N19" s="145">
        <v>12</v>
      </c>
      <c r="O19" s="145">
        <v>1</v>
      </c>
      <c r="P19" s="245" t="s">
        <v>406</v>
      </c>
    </row>
    <row r="20" spans="1:16" x14ac:dyDescent="0.25">
      <c r="A20" s="247"/>
      <c r="B20" s="242"/>
      <c r="C20" s="242"/>
      <c r="D20" s="242"/>
      <c r="E20" s="242"/>
      <c r="F20" s="242" t="s">
        <v>310</v>
      </c>
      <c r="G20" s="242" t="s">
        <v>317</v>
      </c>
      <c r="H20" s="222" t="s">
        <v>310</v>
      </c>
      <c r="I20" s="242"/>
      <c r="J20" s="242"/>
      <c r="K20" s="145"/>
      <c r="L20" s="413" t="s">
        <v>285</v>
      </c>
      <c r="M20" s="414"/>
      <c r="N20" s="415"/>
      <c r="O20" s="246">
        <f>SUM(K19:O19)</f>
        <v>28</v>
      </c>
      <c r="P20" s="245"/>
    </row>
    <row r="21" spans="1:16" x14ac:dyDescent="0.25">
      <c r="A21" s="241" t="s">
        <v>419</v>
      </c>
      <c r="B21" s="242" t="s">
        <v>420</v>
      </c>
      <c r="C21" s="243">
        <v>42872</v>
      </c>
      <c r="D21" s="243">
        <v>42880</v>
      </c>
      <c r="E21" s="244" t="s">
        <v>280</v>
      </c>
      <c r="F21" s="242" t="s">
        <v>312</v>
      </c>
      <c r="G21" s="242" t="s">
        <v>315</v>
      </c>
      <c r="H21" s="222" t="s">
        <v>322</v>
      </c>
      <c r="I21" s="242" t="s">
        <v>409</v>
      </c>
      <c r="J21" s="242" t="s">
        <v>409</v>
      </c>
      <c r="K21" s="145">
        <v>0</v>
      </c>
      <c r="L21" s="145">
        <v>0</v>
      </c>
      <c r="M21" s="145">
        <v>17</v>
      </c>
      <c r="N21" s="145">
        <v>0</v>
      </c>
      <c r="O21" s="145">
        <v>0</v>
      </c>
      <c r="P21" s="245" t="s">
        <v>404</v>
      </c>
    </row>
    <row r="22" spans="1:16" x14ac:dyDescent="0.25">
      <c r="A22" s="241"/>
      <c r="B22" s="242"/>
      <c r="C22" s="242"/>
      <c r="D22" s="242"/>
      <c r="E22" s="242"/>
      <c r="F22" s="242" t="s">
        <v>310</v>
      </c>
      <c r="G22" s="242" t="s">
        <v>317</v>
      </c>
      <c r="H22" s="222" t="s">
        <v>310</v>
      </c>
      <c r="I22" s="242"/>
      <c r="J22" s="222"/>
      <c r="K22" s="145"/>
      <c r="L22" s="413" t="s">
        <v>285</v>
      </c>
      <c r="M22" s="414"/>
      <c r="N22" s="415"/>
      <c r="O22" s="246">
        <f>SUM(K21:O21)</f>
        <v>17</v>
      </c>
      <c r="P22" s="245"/>
    </row>
    <row r="23" spans="1:16" x14ac:dyDescent="0.25">
      <c r="A23" s="241" t="s">
        <v>421</v>
      </c>
      <c r="B23" s="242" t="s">
        <v>422</v>
      </c>
      <c r="C23" s="243">
        <v>42875</v>
      </c>
      <c r="D23" s="243">
        <v>42886</v>
      </c>
      <c r="E23" s="244" t="s">
        <v>280</v>
      </c>
      <c r="F23" s="242" t="s">
        <v>312</v>
      </c>
      <c r="G23" s="242" t="s">
        <v>315</v>
      </c>
      <c r="H23" s="222" t="s">
        <v>322</v>
      </c>
      <c r="I23" s="242" t="s">
        <v>409</v>
      </c>
      <c r="J23" s="242" t="s">
        <v>409</v>
      </c>
      <c r="K23" s="145">
        <v>0</v>
      </c>
      <c r="L23" s="145">
        <v>6</v>
      </c>
      <c r="M23" s="145">
        <v>5</v>
      </c>
      <c r="N23" s="145">
        <v>2</v>
      </c>
      <c r="O23" s="145">
        <v>1</v>
      </c>
      <c r="P23" s="245" t="s">
        <v>406</v>
      </c>
    </row>
    <row r="24" spans="1:16" x14ac:dyDescent="0.25">
      <c r="A24" s="241"/>
      <c r="B24" s="242"/>
      <c r="C24" s="242"/>
      <c r="D24" s="242"/>
      <c r="E24" s="242"/>
      <c r="F24" s="242" t="s">
        <v>310</v>
      </c>
      <c r="G24" s="242" t="s">
        <v>316</v>
      </c>
      <c r="H24" s="222" t="s">
        <v>310</v>
      </c>
      <c r="I24" s="242"/>
      <c r="J24" s="222"/>
      <c r="K24" s="145"/>
      <c r="L24" s="413" t="s">
        <v>285</v>
      </c>
      <c r="M24" s="414"/>
      <c r="N24" s="415"/>
      <c r="O24" s="246">
        <f>SUM(K23:O23)</f>
        <v>14</v>
      </c>
      <c r="P24" s="245"/>
    </row>
    <row r="25" spans="1:16" x14ac:dyDescent="0.25">
      <c r="A25" s="241" t="s">
        <v>423</v>
      </c>
      <c r="B25" s="242" t="s">
        <v>424</v>
      </c>
      <c r="C25" s="243">
        <v>42880</v>
      </c>
      <c r="D25" s="243">
        <v>42890</v>
      </c>
      <c r="E25" s="244" t="s">
        <v>279</v>
      </c>
      <c r="F25" s="242" t="s">
        <v>309</v>
      </c>
      <c r="G25" s="242" t="s">
        <v>314</v>
      </c>
      <c r="H25" s="242" t="s">
        <v>319</v>
      </c>
      <c r="I25" s="242" t="s">
        <v>323</v>
      </c>
      <c r="J25" s="242" t="s">
        <v>324</v>
      </c>
      <c r="K25" s="145">
        <v>0</v>
      </c>
      <c r="L25" s="145">
        <v>10</v>
      </c>
      <c r="M25" s="145">
        <v>16</v>
      </c>
      <c r="N25" s="145">
        <v>6</v>
      </c>
      <c r="O25" s="145">
        <v>2</v>
      </c>
      <c r="P25" s="245" t="s">
        <v>406</v>
      </c>
    </row>
    <row r="26" spans="1:16" x14ac:dyDescent="0.25">
      <c r="A26" s="241"/>
      <c r="B26" s="242"/>
      <c r="C26" s="242"/>
      <c r="D26" s="242"/>
      <c r="E26" s="242"/>
      <c r="F26" s="242" t="s">
        <v>310</v>
      </c>
      <c r="G26" s="242" t="s">
        <v>311</v>
      </c>
      <c r="H26" s="242" t="s">
        <v>321</v>
      </c>
      <c r="I26" s="242" t="s">
        <v>310</v>
      </c>
      <c r="J26" s="242" t="s">
        <v>326</v>
      </c>
      <c r="K26" s="145"/>
      <c r="L26" s="413" t="s">
        <v>285</v>
      </c>
      <c r="M26" s="414"/>
      <c r="N26" s="415"/>
      <c r="O26" s="246">
        <f>SUM(K25:O25)</f>
        <v>34</v>
      </c>
      <c r="P26" s="245"/>
    </row>
    <row r="27" spans="1:16" x14ac:dyDescent="0.25">
      <c r="A27" s="247" t="s">
        <v>425</v>
      </c>
      <c r="B27" s="242" t="s">
        <v>426</v>
      </c>
      <c r="C27" s="300">
        <v>42886</v>
      </c>
      <c r="D27" s="243">
        <v>42894</v>
      </c>
      <c r="E27" s="244" t="s">
        <v>280</v>
      </c>
      <c r="F27" s="242" t="s">
        <v>312</v>
      </c>
      <c r="G27" s="242" t="s">
        <v>315</v>
      </c>
      <c r="H27" s="222" t="s">
        <v>322</v>
      </c>
      <c r="I27" s="242" t="s">
        <v>409</v>
      </c>
      <c r="J27" s="242" t="s">
        <v>409</v>
      </c>
      <c r="K27" s="145">
        <v>0</v>
      </c>
      <c r="L27" s="145">
        <v>2</v>
      </c>
      <c r="M27" s="145">
        <v>6</v>
      </c>
      <c r="N27" s="145">
        <v>12</v>
      </c>
      <c r="O27" s="145">
        <v>2</v>
      </c>
      <c r="P27" s="245" t="s">
        <v>406</v>
      </c>
    </row>
    <row r="28" spans="1:16" x14ac:dyDescent="0.25">
      <c r="A28" s="247"/>
      <c r="B28" s="242"/>
      <c r="C28" s="242"/>
      <c r="D28" s="242"/>
      <c r="E28" s="242"/>
      <c r="F28" s="242" t="s">
        <v>310</v>
      </c>
      <c r="G28" s="242" t="s">
        <v>316</v>
      </c>
      <c r="H28" s="222" t="s">
        <v>310</v>
      </c>
      <c r="I28" s="242"/>
      <c r="J28" s="242"/>
      <c r="K28" s="145"/>
      <c r="L28" s="413" t="s">
        <v>285</v>
      </c>
      <c r="M28" s="414"/>
      <c r="N28" s="415"/>
      <c r="O28" s="246">
        <f>SUM(K27:O27)</f>
        <v>22</v>
      </c>
      <c r="P28" s="245"/>
    </row>
    <row r="29" spans="1:16" x14ac:dyDescent="0.25">
      <c r="A29" s="241" t="s">
        <v>427</v>
      </c>
      <c r="B29" s="242" t="s">
        <v>428</v>
      </c>
      <c r="C29" s="243">
        <v>42893</v>
      </c>
      <c r="D29" s="243">
        <v>42903</v>
      </c>
      <c r="E29" s="244" t="s">
        <v>278</v>
      </c>
      <c r="F29" s="242" t="s">
        <v>313</v>
      </c>
      <c r="G29" s="242" t="s">
        <v>318</v>
      </c>
      <c r="H29" s="242" t="s">
        <v>319</v>
      </c>
      <c r="I29" s="242" t="s">
        <v>312</v>
      </c>
      <c r="J29" s="222" t="s">
        <v>322</v>
      </c>
      <c r="K29" s="145">
        <v>0</v>
      </c>
      <c r="L29" s="145">
        <v>0</v>
      </c>
      <c r="M29" s="145">
        <v>10</v>
      </c>
      <c r="N29" s="145">
        <v>7</v>
      </c>
      <c r="O29" s="145">
        <v>6</v>
      </c>
      <c r="P29" s="245" t="s">
        <v>404</v>
      </c>
    </row>
    <row r="30" spans="1:16" x14ac:dyDescent="0.25">
      <c r="A30" s="241"/>
      <c r="B30" s="242"/>
      <c r="C30" s="242"/>
      <c r="D30" s="242"/>
      <c r="E30" s="242"/>
      <c r="F30" s="242" t="s">
        <v>311</v>
      </c>
      <c r="G30" s="242" t="s">
        <v>310</v>
      </c>
      <c r="H30" s="242" t="s">
        <v>316</v>
      </c>
      <c r="I30" s="242" t="s">
        <v>310</v>
      </c>
      <c r="J30" s="222" t="s">
        <v>310</v>
      </c>
      <c r="K30" s="145"/>
      <c r="L30" s="413" t="s">
        <v>285</v>
      </c>
      <c r="M30" s="414"/>
      <c r="N30" s="415"/>
      <c r="O30" s="246">
        <f>SUM(K29:O29)</f>
        <v>23</v>
      </c>
      <c r="P30" s="245"/>
    </row>
    <row r="31" spans="1:16" x14ac:dyDescent="0.25">
      <c r="A31" s="241" t="s">
        <v>429</v>
      </c>
      <c r="B31" s="242" t="s">
        <v>430</v>
      </c>
      <c r="C31" s="243">
        <v>42896</v>
      </c>
      <c r="D31" s="243">
        <v>42906</v>
      </c>
      <c r="E31" s="244" t="s">
        <v>278</v>
      </c>
      <c r="F31" s="242" t="s">
        <v>313</v>
      </c>
      <c r="G31" s="242" t="s">
        <v>318</v>
      </c>
      <c r="H31" s="242" t="s">
        <v>319</v>
      </c>
      <c r="I31" s="242" t="s">
        <v>312</v>
      </c>
      <c r="J31" s="222" t="s">
        <v>322</v>
      </c>
      <c r="K31" s="145">
        <v>0</v>
      </c>
      <c r="L31" s="145">
        <v>4</v>
      </c>
      <c r="M31" s="145">
        <v>13</v>
      </c>
      <c r="N31" s="145">
        <v>10</v>
      </c>
      <c r="O31" s="145">
        <v>2</v>
      </c>
      <c r="P31" s="245" t="s">
        <v>406</v>
      </c>
    </row>
    <row r="32" spans="1:16" x14ac:dyDescent="0.25">
      <c r="A32" s="241"/>
      <c r="B32" s="242"/>
      <c r="C32" s="242"/>
      <c r="D32" s="242"/>
      <c r="E32" s="242"/>
      <c r="F32" s="242" t="s">
        <v>310</v>
      </c>
      <c r="G32" s="242" t="s">
        <v>311</v>
      </c>
      <c r="H32" s="242" t="s">
        <v>317</v>
      </c>
      <c r="I32" s="242" t="s">
        <v>310</v>
      </c>
      <c r="J32" s="222" t="s">
        <v>310</v>
      </c>
      <c r="K32" s="145"/>
      <c r="L32" s="413" t="s">
        <v>285</v>
      </c>
      <c r="M32" s="414"/>
      <c r="N32" s="415"/>
      <c r="O32" s="246">
        <f>SUM(K31:O31)</f>
        <v>29</v>
      </c>
      <c r="P32" s="245"/>
    </row>
    <row r="33" spans="1:16" x14ac:dyDescent="0.25">
      <c r="A33" s="241" t="s">
        <v>431</v>
      </c>
      <c r="B33" s="242" t="s">
        <v>432</v>
      </c>
      <c r="C33" s="243">
        <v>42903</v>
      </c>
      <c r="D33" s="243">
        <v>42911</v>
      </c>
      <c r="E33" s="244" t="s">
        <v>278</v>
      </c>
      <c r="F33" s="242" t="s">
        <v>313</v>
      </c>
      <c r="G33" s="242" t="s">
        <v>318</v>
      </c>
      <c r="H33" s="242" t="s">
        <v>319</v>
      </c>
      <c r="I33" s="242" t="s">
        <v>312</v>
      </c>
      <c r="J33" s="222" t="s">
        <v>322</v>
      </c>
      <c r="K33" s="145">
        <v>0</v>
      </c>
      <c r="L33" s="145">
        <v>13</v>
      </c>
      <c r="M33" s="145">
        <v>16</v>
      </c>
      <c r="N33" s="145">
        <v>16</v>
      </c>
      <c r="O33" s="145">
        <v>6</v>
      </c>
      <c r="P33" s="245" t="s">
        <v>406</v>
      </c>
    </row>
    <row r="34" spans="1:16" x14ac:dyDescent="0.25">
      <c r="A34" s="241"/>
      <c r="B34" s="242"/>
      <c r="C34" s="242"/>
      <c r="D34" s="242"/>
      <c r="E34" s="242"/>
      <c r="F34" s="242" t="s">
        <v>310</v>
      </c>
      <c r="G34" s="242" t="s">
        <v>433</v>
      </c>
      <c r="H34" s="242" t="s">
        <v>317</v>
      </c>
      <c r="I34" s="242" t="s">
        <v>310</v>
      </c>
      <c r="J34" s="222" t="s">
        <v>310</v>
      </c>
      <c r="K34" s="145"/>
      <c r="L34" s="413" t="s">
        <v>285</v>
      </c>
      <c r="M34" s="414"/>
      <c r="N34" s="415"/>
      <c r="O34" s="246">
        <f>SUM(K33:O33)</f>
        <v>51</v>
      </c>
      <c r="P34" s="245"/>
    </row>
    <row r="35" spans="1:16" x14ac:dyDescent="0.25">
      <c r="A35" s="247" t="s">
        <v>434</v>
      </c>
      <c r="B35" s="242" t="s">
        <v>435</v>
      </c>
      <c r="C35" s="243">
        <v>42906</v>
      </c>
      <c r="D35" s="243">
        <v>42915</v>
      </c>
      <c r="E35" s="244" t="s">
        <v>280</v>
      </c>
      <c r="F35" s="242" t="s">
        <v>312</v>
      </c>
      <c r="G35" s="242" t="s">
        <v>315</v>
      </c>
      <c r="H35" s="222" t="s">
        <v>322</v>
      </c>
      <c r="I35" s="242" t="s">
        <v>409</v>
      </c>
      <c r="J35" s="242" t="s">
        <v>409</v>
      </c>
      <c r="K35" s="145">
        <v>0</v>
      </c>
      <c r="L35" s="145">
        <v>7</v>
      </c>
      <c r="M35" s="145">
        <v>11</v>
      </c>
      <c r="N35" s="145">
        <v>7</v>
      </c>
      <c r="O35" s="145">
        <v>2</v>
      </c>
      <c r="P35" s="245" t="s">
        <v>406</v>
      </c>
    </row>
    <row r="36" spans="1:16" x14ac:dyDescent="0.25">
      <c r="A36" s="247"/>
      <c r="B36" s="242"/>
      <c r="C36" s="242"/>
      <c r="D36" s="242"/>
      <c r="E36" s="242"/>
      <c r="F36" s="242" t="s">
        <v>310</v>
      </c>
      <c r="G36" s="242" t="s">
        <v>317</v>
      </c>
      <c r="H36" s="222" t="s">
        <v>310</v>
      </c>
      <c r="I36" s="242"/>
      <c r="J36" s="242"/>
      <c r="K36" s="145"/>
      <c r="L36" s="413" t="s">
        <v>285</v>
      </c>
      <c r="M36" s="414"/>
      <c r="N36" s="415"/>
      <c r="O36" s="246">
        <f>SUM(K35:O35)</f>
        <v>27</v>
      </c>
      <c r="P36" s="245"/>
    </row>
  </sheetData>
  <mergeCells count="29">
    <mergeCell ref="L28:N28"/>
    <mergeCell ref="L30:N30"/>
    <mergeCell ref="L32:N32"/>
    <mergeCell ref="L34:N34"/>
    <mergeCell ref="L36:N36"/>
    <mergeCell ref="L26:N26"/>
    <mergeCell ref="P3:P4"/>
    <mergeCell ref="L6:N6"/>
    <mergeCell ref="L8:N8"/>
    <mergeCell ref="L10:N10"/>
    <mergeCell ref="L12:N12"/>
    <mergeCell ref="L14:N14"/>
    <mergeCell ref="K3:O3"/>
    <mergeCell ref="L16:N16"/>
    <mergeCell ref="L18:N18"/>
    <mergeCell ref="L20:N20"/>
    <mergeCell ref="L22:N22"/>
    <mergeCell ref="L24:N24"/>
    <mergeCell ref="F3:F4"/>
    <mergeCell ref="G3:G4"/>
    <mergeCell ref="H3:H4"/>
    <mergeCell ref="I3:I4"/>
    <mergeCell ref="J3:J4"/>
    <mergeCell ref="E3:E4"/>
    <mergeCell ref="A2:B2"/>
    <mergeCell ref="A3:A4"/>
    <mergeCell ref="B3:B4"/>
    <mergeCell ref="C3:C4"/>
    <mergeCell ref="D3:D4"/>
  </mergeCells>
  <dataValidations count="1">
    <dataValidation type="list" allowBlank="1" showInputMessage="1" showErrorMessage="1" sqref="P5 P7 P9 P11 P13 P15 P17 P19 P21 P23 P25 P27 P29 P31 P33 P35" xr:uid="{00000000-0002-0000-0100-000000000000}">
      <formula1>"TERMINADO,PROCESO"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'C:\Users\HP\Downloads\[DETALLES INCATEX S.A.C (16 órdenes de trabajo)..xlsx]Elección de Características'!#REF!</xm:f>
          </x14:formula1>
          <xm:sqref>E7 E5 E9 E11 E15 E13 E17 E19 E23 E35 E25 E27 E31 E29 E33 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A1:N9"/>
  <sheetViews>
    <sheetView workbookViewId="0">
      <selection sqref="A1:D1"/>
    </sheetView>
  </sheetViews>
  <sheetFormatPr baseColWidth="10" defaultRowHeight="15" x14ac:dyDescent="0.25"/>
  <cols>
    <col min="1" max="1" width="21.5703125" style="143" customWidth="1"/>
    <col min="2" max="2" width="13.28515625" style="143" customWidth="1"/>
    <col min="3" max="3" width="11.42578125" style="143"/>
    <col min="4" max="4" width="25.140625" style="143" customWidth="1"/>
    <col min="5" max="5" width="15.140625" style="143" customWidth="1"/>
    <col min="6" max="6" width="20.5703125" style="143" customWidth="1"/>
    <col min="7" max="7" width="21.5703125" style="143" customWidth="1"/>
    <col min="8" max="8" width="15.140625" style="143" customWidth="1"/>
    <col min="9" max="9" width="20.5703125" style="143" customWidth="1"/>
    <col min="10" max="10" width="2.7109375" style="143" customWidth="1"/>
    <col min="11" max="11" width="11.85546875" style="143" customWidth="1"/>
    <col min="12" max="16384" width="11.42578125" style="143"/>
  </cols>
  <sheetData>
    <row r="1" spans="1:14" ht="28.5" x14ac:dyDescent="0.45">
      <c r="A1" s="418" t="s">
        <v>305</v>
      </c>
      <c r="B1" s="418"/>
      <c r="C1" s="418"/>
      <c r="D1" s="418"/>
    </row>
    <row r="3" spans="1:14" x14ac:dyDescent="0.25">
      <c r="A3" s="214" t="s">
        <v>279</v>
      </c>
      <c r="B3" s="215"/>
      <c r="C3" s="216"/>
      <c r="D3" s="214" t="s">
        <v>280</v>
      </c>
      <c r="E3" s="215"/>
      <c r="F3" s="216"/>
      <c r="G3" s="217" t="s">
        <v>278</v>
      </c>
      <c r="H3" s="218"/>
      <c r="I3" s="219"/>
      <c r="K3" s="220" t="s">
        <v>306</v>
      </c>
      <c r="L3" s="221"/>
      <c r="M3" s="221"/>
      <c r="N3" s="221"/>
    </row>
    <row r="4" spans="1:14" s="221" customFormat="1" x14ac:dyDescent="0.25">
      <c r="A4" s="222" t="s">
        <v>307</v>
      </c>
      <c r="B4" s="419" t="s">
        <v>308</v>
      </c>
      <c r="C4" s="419"/>
      <c r="D4" s="222" t="s">
        <v>307</v>
      </c>
      <c r="E4" s="419" t="s">
        <v>308</v>
      </c>
      <c r="F4" s="419"/>
      <c r="G4" s="222" t="s">
        <v>307</v>
      </c>
      <c r="H4" s="419" t="s">
        <v>308</v>
      </c>
      <c r="I4" s="419"/>
      <c r="K4" s="222" t="s">
        <v>279</v>
      </c>
    </row>
    <row r="5" spans="1:14" x14ac:dyDescent="0.25">
      <c r="A5" s="144" t="s">
        <v>309</v>
      </c>
      <c r="B5" s="144" t="s">
        <v>310</v>
      </c>
      <c r="C5" s="144" t="s">
        <v>311</v>
      </c>
      <c r="D5" s="144" t="s">
        <v>312</v>
      </c>
      <c r="E5" s="144" t="s">
        <v>310</v>
      </c>
      <c r="F5" s="144" t="s">
        <v>311</v>
      </c>
      <c r="G5" s="144" t="s">
        <v>313</v>
      </c>
      <c r="H5" s="144" t="s">
        <v>310</v>
      </c>
      <c r="I5" s="144" t="s">
        <v>311</v>
      </c>
      <c r="K5" s="144" t="s">
        <v>280</v>
      </c>
    </row>
    <row r="6" spans="1:14" x14ac:dyDescent="0.25">
      <c r="A6" s="144" t="s">
        <v>314</v>
      </c>
      <c r="B6" s="144" t="s">
        <v>310</v>
      </c>
      <c r="C6" s="144" t="s">
        <v>311</v>
      </c>
      <c r="D6" s="144" t="s">
        <v>315</v>
      </c>
      <c r="E6" s="144" t="s">
        <v>316</v>
      </c>
      <c r="F6" s="144" t="s">
        <v>317</v>
      </c>
      <c r="G6" s="144" t="s">
        <v>318</v>
      </c>
      <c r="H6" s="144" t="s">
        <v>310</v>
      </c>
      <c r="I6" s="144" t="s">
        <v>311</v>
      </c>
      <c r="K6" s="144" t="s">
        <v>278</v>
      </c>
    </row>
    <row r="7" spans="1:14" x14ac:dyDescent="0.25">
      <c r="A7" s="144" t="s">
        <v>319</v>
      </c>
      <c r="B7" s="144" t="s">
        <v>320</v>
      </c>
      <c r="C7" s="144" t="s">
        <v>321</v>
      </c>
      <c r="D7" s="222" t="s">
        <v>322</v>
      </c>
      <c r="E7" s="222" t="s">
        <v>310</v>
      </c>
      <c r="F7" s="222" t="s">
        <v>311</v>
      </c>
      <c r="G7" s="144" t="s">
        <v>319</v>
      </c>
      <c r="H7" s="144" t="s">
        <v>316</v>
      </c>
      <c r="I7" s="144" t="s">
        <v>317</v>
      </c>
    </row>
    <row r="8" spans="1:14" x14ac:dyDescent="0.25">
      <c r="A8" s="144" t="s">
        <v>323</v>
      </c>
      <c r="B8" s="144" t="s">
        <v>310</v>
      </c>
      <c r="C8" s="144" t="s">
        <v>311</v>
      </c>
      <c r="G8" s="144" t="s">
        <v>312</v>
      </c>
      <c r="H8" s="144" t="s">
        <v>310</v>
      </c>
      <c r="I8" s="144" t="s">
        <v>311</v>
      </c>
    </row>
    <row r="9" spans="1:14" x14ac:dyDescent="0.25">
      <c r="A9" s="144" t="s">
        <v>324</v>
      </c>
      <c r="B9" s="144" t="s">
        <v>325</v>
      </c>
      <c r="C9" s="144" t="s">
        <v>326</v>
      </c>
      <c r="G9" s="222" t="s">
        <v>322</v>
      </c>
      <c r="H9" s="222" t="s">
        <v>310</v>
      </c>
      <c r="I9" s="222" t="s">
        <v>311</v>
      </c>
    </row>
  </sheetData>
  <mergeCells count="4">
    <mergeCell ref="A1:D1"/>
    <mergeCell ref="B4:C4"/>
    <mergeCell ref="E4:F4"/>
    <mergeCell ref="H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00"/>
  </sheetPr>
  <dimension ref="A1:O40"/>
  <sheetViews>
    <sheetView workbookViewId="0">
      <selection activeCell="A31" sqref="A31:H31"/>
    </sheetView>
  </sheetViews>
  <sheetFormatPr baseColWidth="10" defaultRowHeight="15" x14ac:dyDescent="0.25"/>
  <cols>
    <col min="1" max="16384" width="11.42578125" style="136"/>
  </cols>
  <sheetData>
    <row r="1" spans="1:10" ht="18" x14ac:dyDescent="0.25">
      <c r="A1" s="422" t="s">
        <v>137</v>
      </c>
      <c r="B1" s="422"/>
      <c r="C1" s="422"/>
      <c r="D1" s="422"/>
      <c r="E1" s="138"/>
      <c r="F1" s="138"/>
      <c r="G1" s="138"/>
      <c r="H1" s="138"/>
      <c r="I1" s="138"/>
    </row>
    <row r="2" spans="1:10" x14ac:dyDescent="0.25">
      <c r="A2" s="139"/>
      <c r="B2" s="138"/>
      <c r="C2" s="138"/>
      <c r="D2" s="138"/>
      <c r="E2" s="138"/>
      <c r="F2" s="138"/>
      <c r="G2" s="138"/>
      <c r="H2" s="138"/>
      <c r="I2" s="138"/>
    </row>
    <row r="3" spans="1:10" ht="15" customHeight="1" x14ac:dyDescent="0.25">
      <c r="A3" s="423" t="s">
        <v>136</v>
      </c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" customHeight="1" x14ac:dyDescent="0.25">
      <c r="A4" s="425" t="s">
        <v>610</v>
      </c>
      <c r="B4" s="425"/>
      <c r="C4" s="425"/>
      <c r="D4" s="425"/>
    </row>
    <row r="5" spans="1:10" ht="15" customHeight="1" x14ac:dyDescent="0.25"/>
    <row r="6" spans="1:10" x14ac:dyDescent="0.25">
      <c r="A6" s="139"/>
      <c r="B6" s="138"/>
      <c r="C6" s="138"/>
      <c r="D6" s="138"/>
      <c r="E6" s="138"/>
      <c r="F6" s="138"/>
      <c r="G6" s="138"/>
      <c r="H6" s="138"/>
      <c r="I6" s="138"/>
    </row>
    <row r="7" spans="1:10" x14ac:dyDescent="0.25">
      <c r="A7" s="139"/>
      <c r="B7" s="138"/>
      <c r="C7" s="138"/>
      <c r="D7" s="138"/>
      <c r="E7" s="138"/>
      <c r="F7" s="138"/>
      <c r="G7" s="138"/>
      <c r="H7" s="138"/>
      <c r="I7" s="138"/>
    </row>
    <row r="8" spans="1:10" x14ac:dyDescent="0.25">
      <c r="A8" s="139"/>
      <c r="B8" s="138"/>
      <c r="C8" s="138"/>
      <c r="D8" s="138"/>
      <c r="E8" s="138"/>
      <c r="F8" s="138"/>
      <c r="G8" s="138"/>
      <c r="H8" s="138"/>
      <c r="I8" s="138"/>
    </row>
    <row r="9" spans="1:10" x14ac:dyDescent="0.25">
      <c r="A9" s="139"/>
      <c r="B9" s="138"/>
      <c r="C9" s="138"/>
      <c r="D9" s="138"/>
      <c r="E9" s="138"/>
      <c r="F9" s="138"/>
      <c r="G9" s="138"/>
      <c r="H9" s="138"/>
      <c r="I9" s="138"/>
    </row>
    <row r="10" spans="1:10" x14ac:dyDescent="0.25">
      <c r="A10" s="139"/>
      <c r="B10" s="138"/>
      <c r="C10" s="138"/>
      <c r="D10" s="138"/>
      <c r="E10" s="138"/>
      <c r="F10" s="138"/>
      <c r="G10" s="138"/>
      <c r="H10" s="138"/>
      <c r="I10" s="138"/>
    </row>
    <row r="11" spans="1:10" x14ac:dyDescent="0.25">
      <c r="A11" s="139"/>
      <c r="B11" s="138"/>
      <c r="C11" s="138"/>
      <c r="D11" s="138"/>
      <c r="E11" s="138"/>
      <c r="F11" s="138"/>
      <c r="G11" s="138"/>
      <c r="H11" s="138"/>
      <c r="I11" s="138"/>
    </row>
    <row r="31" spans="1:9" x14ac:dyDescent="0.25">
      <c r="A31" s="421" t="s">
        <v>135</v>
      </c>
      <c r="B31" s="421"/>
      <c r="C31" s="421"/>
      <c r="D31" s="421"/>
      <c r="E31" s="421"/>
      <c r="F31" s="421"/>
      <c r="G31" s="421"/>
      <c r="H31" s="421"/>
      <c r="I31" s="421"/>
    </row>
    <row r="32" spans="1:9" x14ac:dyDescent="0.25">
      <c r="A32" s="421" t="s">
        <v>134</v>
      </c>
      <c r="B32" s="421"/>
      <c r="C32" s="421"/>
      <c r="D32" s="421"/>
      <c r="E32" s="421"/>
      <c r="F32" s="421"/>
      <c r="G32" s="421"/>
      <c r="H32" s="421"/>
      <c r="I32" s="421"/>
    </row>
    <row r="33" spans="1:15" x14ac:dyDescent="0.25">
      <c r="A33" s="420" t="s">
        <v>133</v>
      </c>
      <c r="B33" s="420"/>
      <c r="C33" s="420"/>
      <c r="D33" s="420"/>
      <c r="E33" s="420"/>
      <c r="F33" s="420"/>
      <c r="G33" s="420"/>
      <c r="H33" s="420"/>
      <c r="I33" s="420"/>
    </row>
    <row r="34" spans="1:15" x14ac:dyDescent="0.25">
      <c r="A34" s="402" t="s">
        <v>456</v>
      </c>
      <c r="B34" s="402"/>
      <c r="C34" s="402"/>
      <c r="D34" s="402"/>
      <c r="E34" s="402"/>
      <c r="F34" s="402"/>
      <c r="G34" s="402"/>
      <c r="H34" s="402"/>
      <c r="I34" s="402"/>
      <c r="J34" s="402"/>
      <c r="K34" s="402"/>
      <c r="L34" s="402"/>
    </row>
    <row r="35" spans="1:15" x14ac:dyDescent="0.25">
      <c r="A35" s="421" t="s">
        <v>132</v>
      </c>
      <c r="B35" s="421"/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</row>
    <row r="36" spans="1:15" x14ac:dyDescent="0.25">
      <c r="A36" s="421" t="s">
        <v>131</v>
      </c>
      <c r="B36" s="421"/>
      <c r="C36" s="421"/>
      <c r="D36" s="421"/>
      <c r="E36" s="421"/>
      <c r="F36" s="421"/>
      <c r="G36" s="421"/>
      <c r="H36" s="421"/>
      <c r="I36" s="421"/>
      <c r="J36" s="421"/>
      <c r="K36" s="421"/>
      <c r="L36" s="421"/>
      <c r="M36" s="421"/>
      <c r="N36" s="421"/>
      <c r="O36" s="421"/>
    </row>
    <row r="37" spans="1:15" x14ac:dyDescent="0.25">
      <c r="A37" s="424" t="s">
        <v>130</v>
      </c>
      <c r="B37" s="424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</row>
    <row r="38" spans="1:15" x14ac:dyDescent="0.25">
      <c r="A38" s="421" t="s">
        <v>129</v>
      </c>
      <c r="B38" s="421"/>
      <c r="C38" s="421"/>
      <c r="D38" s="421"/>
      <c r="E38" s="421"/>
      <c r="F38" s="421"/>
      <c r="G38" s="421"/>
      <c r="H38" s="421"/>
      <c r="I38" s="421"/>
      <c r="J38" s="421"/>
      <c r="K38" s="421"/>
      <c r="L38" s="421"/>
      <c r="M38" s="421"/>
      <c r="N38" s="421"/>
      <c r="O38" s="137"/>
    </row>
    <row r="39" spans="1:15" x14ac:dyDescent="0.25">
      <c r="A39" s="421" t="s">
        <v>128</v>
      </c>
      <c r="B39" s="421"/>
      <c r="C39" s="421"/>
      <c r="D39" s="421"/>
      <c r="E39" s="421"/>
      <c r="F39" s="421"/>
      <c r="G39" s="421"/>
      <c r="H39" s="421"/>
      <c r="I39" s="421"/>
      <c r="J39" s="421"/>
      <c r="K39" s="421"/>
      <c r="L39" s="421"/>
      <c r="M39" s="421"/>
      <c r="N39" s="421"/>
    </row>
    <row r="40" spans="1:15" x14ac:dyDescent="0.25">
      <c r="A40" s="421" t="s">
        <v>127</v>
      </c>
      <c r="B40" s="421"/>
      <c r="C40" s="421"/>
      <c r="D40" s="421"/>
      <c r="E40" s="421"/>
      <c r="F40" s="421"/>
      <c r="G40" s="421"/>
      <c r="H40" s="421"/>
      <c r="I40" s="421"/>
    </row>
  </sheetData>
  <mergeCells count="12">
    <mergeCell ref="A33:I33"/>
    <mergeCell ref="A32:I32"/>
    <mergeCell ref="A31:I31"/>
    <mergeCell ref="A1:D1"/>
    <mergeCell ref="A40:I40"/>
    <mergeCell ref="A39:N39"/>
    <mergeCell ref="A3:J3"/>
    <mergeCell ref="A38:N38"/>
    <mergeCell ref="A37:O37"/>
    <mergeCell ref="A36:O36"/>
    <mergeCell ref="A35:O35"/>
    <mergeCell ref="A4:D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A1:AM1048574"/>
  <sheetViews>
    <sheetView workbookViewId="0">
      <selection activeCell="C18" sqref="C18"/>
    </sheetView>
  </sheetViews>
  <sheetFormatPr baseColWidth="10" defaultRowHeight="15" customHeight="1" x14ac:dyDescent="0.2"/>
  <cols>
    <col min="1" max="1" width="4.42578125" style="7" customWidth="1"/>
    <col min="2" max="2" width="8.28515625" style="7" bestFit="1" customWidth="1"/>
    <col min="3" max="3" width="59.42578125" style="7" customWidth="1"/>
    <col min="4" max="5" width="11.42578125" style="7" customWidth="1"/>
    <col min="6" max="6" width="71.5703125" style="7" customWidth="1"/>
    <col min="7" max="7" width="11.42578125" style="7" customWidth="1"/>
    <col min="8" max="8" width="8.42578125" style="7" bestFit="1" customWidth="1"/>
    <col min="9" max="9" width="68.42578125" style="7" bestFit="1" customWidth="1"/>
    <col min="10" max="27" width="11.42578125" style="7" customWidth="1"/>
    <col min="28" max="16384" width="11.42578125" style="7"/>
  </cols>
  <sheetData>
    <row r="1" spans="1:27" s="97" customFormat="1" ht="41.25" customHeight="1" thickBot="1" x14ac:dyDescent="0.25">
      <c r="A1" s="426" t="s">
        <v>110</v>
      </c>
      <c r="B1" s="426"/>
      <c r="C1" s="426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pans="1:27" ht="15" customHeight="1" thickTop="1" x14ac:dyDescent="0.2"/>
    <row r="3" spans="1:27" ht="15" customHeight="1" x14ac:dyDescent="0.2">
      <c r="C3" s="52" t="s">
        <v>40</v>
      </c>
      <c r="D3" s="52" t="s">
        <v>52</v>
      </c>
    </row>
    <row r="4" spans="1:27" ht="15" customHeight="1" x14ac:dyDescent="0.2">
      <c r="B4" s="4"/>
      <c r="C4" s="12" t="s">
        <v>103</v>
      </c>
      <c r="D4" s="5" t="s">
        <v>47</v>
      </c>
      <c r="E4" s="1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2">
      <c r="B5" s="2"/>
      <c r="C5" s="12" t="s">
        <v>217</v>
      </c>
      <c r="D5" s="5" t="s">
        <v>47</v>
      </c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2">
      <c r="B6" s="2"/>
      <c r="C6" s="12" t="s">
        <v>218</v>
      </c>
      <c r="D6" s="5" t="s">
        <v>47</v>
      </c>
      <c r="E6" s="2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2">
      <c r="B7" s="2"/>
      <c r="C7" s="141" t="s">
        <v>219</v>
      </c>
      <c r="D7" s="5" t="s">
        <v>47</v>
      </c>
      <c r="E7" s="16"/>
      <c r="F7" s="1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2">
      <c r="B8" s="2"/>
      <c r="C8" s="12" t="s">
        <v>255</v>
      </c>
      <c r="D8" s="5" t="s">
        <v>6</v>
      </c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2">
      <c r="B9" s="2"/>
      <c r="C9" s="12" t="s">
        <v>138</v>
      </c>
      <c r="D9" s="5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2">
      <c r="C10" s="12" t="s">
        <v>220</v>
      </c>
      <c r="D10" s="5" t="s">
        <v>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2">
      <c r="C11" s="12" t="s">
        <v>221</v>
      </c>
      <c r="D11" s="5" t="s">
        <v>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2">
      <c r="C12" s="12" t="s">
        <v>225</v>
      </c>
      <c r="D12" s="5" t="s">
        <v>46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 x14ac:dyDescent="0.2">
      <c r="C13" s="12" t="s">
        <v>222</v>
      </c>
      <c r="D13" s="5" t="s">
        <v>46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2">
      <c r="C14" s="12" t="s">
        <v>223</v>
      </c>
      <c r="D14" s="5" t="s">
        <v>46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 x14ac:dyDescent="0.2">
      <c r="C15" s="12" t="s">
        <v>224</v>
      </c>
      <c r="D15" s="5" t="s">
        <v>46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 x14ac:dyDescent="0.2">
      <c r="C16" s="12" t="s">
        <v>226</v>
      </c>
      <c r="D16" s="5" t="s">
        <v>46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5" customHeight="1" x14ac:dyDescent="0.2"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3.5" customHeight="1" x14ac:dyDescent="0.2">
      <c r="B18" s="81" t="s">
        <v>108</v>
      </c>
      <c r="C18" s="81" t="s">
        <v>33</v>
      </c>
      <c r="D18" s="10"/>
      <c r="E18" s="99" t="s">
        <v>49</v>
      </c>
      <c r="F18" s="99" t="s">
        <v>185</v>
      </c>
      <c r="G18" s="10"/>
      <c r="H18" s="82" t="s">
        <v>38</v>
      </c>
      <c r="I18" s="82" t="s">
        <v>139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5" customHeight="1" x14ac:dyDescent="0.2">
      <c r="B19" s="6" t="s">
        <v>45</v>
      </c>
      <c r="C19" s="6" t="s">
        <v>178</v>
      </c>
      <c r="D19" s="2"/>
      <c r="E19" s="6" t="s">
        <v>9</v>
      </c>
      <c r="F19" s="6" t="s">
        <v>188</v>
      </c>
      <c r="G19" s="2"/>
      <c r="H19" s="6" t="s">
        <v>84</v>
      </c>
      <c r="I19" s="6" t="s">
        <v>140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5" customHeight="1" x14ac:dyDescent="0.2">
      <c r="B20" s="6" t="s">
        <v>43</v>
      </c>
      <c r="C20" s="6" t="s">
        <v>179</v>
      </c>
      <c r="D20" s="2"/>
      <c r="E20" s="6" t="s">
        <v>7</v>
      </c>
      <c r="F20" s="6" t="s">
        <v>189</v>
      </c>
      <c r="G20" s="2"/>
      <c r="H20" s="6" t="s">
        <v>87</v>
      </c>
      <c r="I20" s="6" t="s">
        <v>141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5" customHeight="1" x14ac:dyDescent="0.2">
      <c r="B21" s="6" t="s">
        <v>44</v>
      </c>
      <c r="C21" s="6" t="s">
        <v>180</v>
      </c>
      <c r="D21" s="2"/>
      <c r="G21" s="2"/>
      <c r="H21" s="6" t="s">
        <v>90</v>
      </c>
      <c r="I21" s="6" t="s">
        <v>142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5" customHeight="1" x14ac:dyDescent="0.2">
      <c r="B22" s="2"/>
      <c r="C22" s="2"/>
      <c r="D22" s="2"/>
      <c r="E22" s="99" t="s">
        <v>176</v>
      </c>
      <c r="F22" s="99" t="s">
        <v>196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5" customHeight="1" x14ac:dyDescent="0.2">
      <c r="B23" s="81" t="s">
        <v>174</v>
      </c>
      <c r="C23" s="81" t="s">
        <v>183</v>
      </c>
      <c r="D23" s="2"/>
      <c r="E23" s="6" t="s">
        <v>8</v>
      </c>
      <c r="F23" s="6" t="s">
        <v>197</v>
      </c>
      <c r="G23" s="2"/>
      <c r="H23" s="82" t="s">
        <v>37</v>
      </c>
      <c r="I23" s="82" t="s">
        <v>143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5" customHeight="1" x14ac:dyDescent="0.2">
      <c r="B24" s="6" t="s">
        <v>42</v>
      </c>
      <c r="C24" s="6" t="s">
        <v>184</v>
      </c>
      <c r="D24" s="10"/>
      <c r="E24" s="6" t="s">
        <v>166</v>
      </c>
      <c r="F24" s="6" t="s">
        <v>198</v>
      </c>
      <c r="G24" s="10"/>
      <c r="H24" s="6" t="s">
        <v>92</v>
      </c>
      <c r="I24" s="6" t="s">
        <v>144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5" customHeight="1" x14ac:dyDescent="0.2">
      <c r="B25" s="2"/>
      <c r="C25" s="17" t="s">
        <v>107</v>
      </c>
      <c r="D25" s="19"/>
      <c r="E25" s="6" t="s">
        <v>186</v>
      </c>
      <c r="F25" s="6" t="s">
        <v>199</v>
      </c>
      <c r="G25" s="2"/>
      <c r="H25" s="6" t="s">
        <v>94</v>
      </c>
      <c r="I25" s="6" t="s">
        <v>145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5" customHeight="1" x14ac:dyDescent="0.2">
      <c r="B26" s="81" t="s">
        <v>175</v>
      </c>
      <c r="C26" s="81" t="s">
        <v>191</v>
      </c>
      <c r="D26" s="2"/>
      <c r="E26" s="2"/>
      <c r="F26" s="8"/>
      <c r="G26" s="2"/>
      <c r="H26" s="6" t="s">
        <v>73</v>
      </c>
      <c r="I26" s="6" t="s">
        <v>146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5" customHeight="1" x14ac:dyDescent="0.2">
      <c r="B27" s="6" t="s">
        <v>193</v>
      </c>
      <c r="C27" s="6" t="s">
        <v>192</v>
      </c>
      <c r="D27" s="2"/>
      <c r="E27" s="99" t="s">
        <v>177</v>
      </c>
      <c r="F27" s="99" t="s">
        <v>161</v>
      </c>
      <c r="G27" s="2"/>
      <c r="H27" s="6" t="s">
        <v>75</v>
      </c>
      <c r="I27" s="6" t="s">
        <v>156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5" customHeight="1" x14ac:dyDescent="0.2">
      <c r="B28" s="6" t="s">
        <v>195</v>
      </c>
      <c r="C28" s="6" t="s">
        <v>194</v>
      </c>
      <c r="D28" s="2"/>
      <c r="E28" s="6" t="s">
        <v>187</v>
      </c>
      <c r="F28" s="6" t="s">
        <v>162</v>
      </c>
      <c r="G28" s="2"/>
      <c r="H28" s="6" t="s">
        <v>76</v>
      </c>
      <c r="I28" s="6" t="s">
        <v>147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5" customHeight="1" x14ac:dyDescent="0.2">
      <c r="D29" s="10"/>
      <c r="E29" s="6" t="s">
        <v>200</v>
      </c>
      <c r="F29" s="6" t="s">
        <v>163</v>
      </c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5" customHeight="1" x14ac:dyDescent="0.2">
      <c r="B30" s="81" t="s">
        <v>210</v>
      </c>
      <c r="C30" s="81" t="s">
        <v>181</v>
      </c>
      <c r="D30" s="2"/>
      <c r="E30" s="6" t="s">
        <v>201</v>
      </c>
      <c r="F30" s="6" t="s">
        <v>164</v>
      </c>
      <c r="G30" s="2"/>
      <c r="H30" s="82" t="s">
        <v>148</v>
      </c>
      <c r="I30" s="82" t="s">
        <v>149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5" customHeight="1" x14ac:dyDescent="0.2">
      <c r="B31" s="6" t="s">
        <v>212</v>
      </c>
      <c r="C31" s="6" t="s">
        <v>182</v>
      </c>
      <c r="D31" s="2"/>
      <c r="E31" s="6" t="s">
        <v>202</v>
      </c>
      <c r="F31" s="6" t="s">
        <v>165</v>
      </c>
      <c r="G31" s="2"/>
      <c r="H31" s="6" t="s">
        <v>78</v>
      </c>
      <c r="I31" s="6" t="s">
        <v>150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5" customHeight="1" x14ac:dyDescent="0.2">
      <c r="B32" s="6" t="s">
        <v>213</v>
      </c>
      <c r="C32" s="6" t="s">
        <v>190</v>
      </c>
      <c r="D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5" customHeight="1" x14ac:dyDescent="0.2">
      <c r="D33" s="10"/>
      <c r="E33" s="99" t="s">
        <v>160</v>
      </c>
      <c r="F33" s="99" t="s">
        <v>211</v>
      </c>
      <c r="G33" s="10"/>
      <c r="H33" s="82" t="s">
        <v>151</v>
      </c>
      <c r="I33" s="82" t="s">
        <v>152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5" customHeight="1" x14ac:dyDescent="0.2">
      <c r="E34" s="6" t="s">
        <v>203</v>
      </c>
      <c r="F34" s="6" t="s">
        <v>214</v>
      </c>
      <c r="G34" s="2"/>
      <c r="H34" s="6" t="s">
        <v>79</v>
      </c>
      <c r="I34" s="6" t="s">
        <v>154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5" customHeight="1" x14ac:dyDescent="0.2">
      <c r="D35" s="2"/>
      <c r="E35" s="6" t="s">
        <v>204</v>
      </c>
      <c r="F35" s="6" t="s">
        <v>215</v>
      </c>
      <c r="G35" s="2"/>
      <c r="H35" s="6" t="s">
        <v>74</v>
      </c>
      <c r="I35" s="141" t="s">
        <v>153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5" customHeight="1" x14ac:dyDescent="0.2">
      <c r="D36" s="2"/>
      <c r="E36" s="6" t="s">
        <v>207</v>
      </c>
      <c r="F36" s="6" t="s">
        <v>216</v>
      </c>
      <c r="G36" s="2"/>
      <c r="H36" s="6" t="s">
        <v>158</v>
      </c>
      <c r="I36" s="142" t="s">
        <v>155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5" customHeight="1" x14ac:dyDescent="0.2">
      <c r="D37" s="2"/>
      <c r="G37" s="2"/>
      <c r="H37" s="6" t="s">
        <v>159</v>
      </c>
      <c r="I37" s="141" t="s">
        <v>157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5" customHeight="1" x14ac:dyDescent="0.2">
      <c r="B38" s="7" t="s">
        <v>534</v>
      </c>
      <c r="C38" s="7" t="s">
        <v>535</v>
      </c>
      <c r="D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5" customHeight="1" x14ac:dyDescent="0.2">
      <c r="B39" s="6" t="s">
        <v>45</v>
      </c>
      <c r="C39" s="6" t="s">
        <v>178</v>
      </c>
      <c r="D39" s="2"/>
      <c r="G39" s="2"/>
      <c r="H39" s="82" t="s">
        <v>205</v>
      </c>
      <c r="I39" s="82" t="s">
        <v>206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5" customHeight="1" x14ac:dyDescent="0.2">
      <c r="B40" s="6" t="s">
        <v>43</v>
      </c>
      <c r="C40" s="6" t="s">
        <v>179</v>
      </c>
      <c r="H40" s="6" t="s">
        <v>516</v>
      </c>
      <c r="I40" s="6" t="s">
        <v>208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5" customHeight="1" x14ac:dyDescent="0.2">
      <c r="B41" s="6" t="s">
        <v>44</v>
      </c>
      <c r="C41" s="6" t="s">
        <v>180</v>
      </c>
      <c r="H41" s="6" t="s">
        <v>517</v>
      </c>
      <c r="I41" s="6" t="s">
        <v>209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5" customHeight="1" x14ac:dyDescent="0.2">
      <c r="B42" s="6" t="s">
        <v>42</v>
      </c>
      <c r="C42" s="6" t="s">
        <v>184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5" customHeight="1" x14ac:dyDescent="0.2">
      <c r="B43" s="6" t="s">
        <v>193</v>
      </c>
      <c r="C43" s="6" t="s">
        <v>192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5" customHeight="1" x14ac:dyDescent="0.2">
      <c r="B44" s="6" t="s">
        <v>195</v>
      </c>
      <c r="C44" s="6" t="s">
        <v>194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5" customHeight="1" x14ac:dyDescent="0.2">
      <c r="B45" s="6" t="s">
        <v>212</v>
      </c>
      <c r="C45" s="6" t="s">
        <v>182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5" customHeight="1" x14ac:dyDescent="0.2">
      <c r="B46" s="6" t="s">
        <v>213</v>
      </c>
      <c r="C46" s="6" t="s">
        <v>190</v>
      </c>
      <c r="D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5" customHeight="1" x14ac:dyDescent="0.2">
      <c r="B47" s="6" t="s">
        <v>9</v>
      </c>
      <c r="C47" s="6" t="s">
        <v>188</v>
      </c>
      <c r="D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5" customHeight="1" x14ac:dyDescent="0.2">
      <c r="B48" s="6" t="s">
        <v>7</v>
      </c>
      <c r="C48" s="6" t="s">
        <v>189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39" ht="15" customHeight="1" x14ac:dyDescent="0.2">
      <c r="B49" s="6" t="s">
        <v>8</v>
      </c>
      <c r="C49" s="6" t="s">
        <v>197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39" ht="15" customHeight="1" x14ac:dyDescent="0.2">
      <c r="B50" s="6" t="s">
        <v>166</v>
      </c>
      <c r="C50" s="6" t="s">
        <v>198</v>
      </c>
      <c r="D50" s="2"/>
      <c r="E50" s="6" t="s">
        <v>45</v>
      </c>
      <c r="F50" s="6" t="s">
        <v>43</v>
      </c>
      <c r="G50" s="6" t="s">
        <v>44</v>
      </c>
      <c r="H50" s="6" t="s">
        <v>42</v>
      </c>
      <c r="I50" s="6" t="s">
        <v>193</v>
      </c>
      <c r="J50" s="6" t="s">
        <v>195</v>
      </c>
      <c r="K50" s="6" t="s">
        <v>212</v>
      </c>
      <c r="L50" s="6" t="s">
        <v>213</v>
      </c>
      <c r="M50" s="6" t="s">
        <v>9</v>
      </c>
      <c r="N50" s="6" t="s">
        <v>7</v>
      </c>
      <c r="O50" s="6" t="s">
        <v>8</v>
      </c>
      <c r="P50" s="6" t="s">
        <v>166</v>
      </c>
      <c r="Q50" s="6" t="s">
        <v>186</v>
      </c>
      <c r="R50" s="6" t="s">
        <v>187</v>
      </c>
      <c r="S50" s="6" t="s">
        <v>200</v>
      </c>
      <c r="T50" s="6" t="s">
        <v>201</v>
      </c>
      <c r="U50" s="6" t="s">
        <v>202</v>
      </c>
      <c r="V50" s="6" t="s">
        <v>203</v>
      </c>
      <c r="W50" s="6" t="s">
        <v>204</v>
      </c>
      <c r="X50" s="6" t="s">
        <v>207</v>
      </c>
      <c r="Y50" s="6" t="s">
        <v>84</v>
      </c>
      <c r="Z50" s="6" t="s">
        <v>87</v>
      </c>
      <c r="AA50" s="6" t="s">
        <v>90</v>
      </c>
      <c r="AB50" s="6" t="s">
        <v>92</v>
      </c>
      <c r="AC50" s="6" t="s">
        <v>94</v>
      </c>
      <c r="AD50" s="6" t="s">
        <v>73</v>
      </c>
      <c r="AE50" s="6" t="s">
        <v>75</v>
      </c>
      <c r="AF50" s="6" t="s">
        <v>76</v>
      </c>
      <c r="AG50" s="6" t="s">
        <v>78</v>
      </c>
      <c r="AH50" s="6" t="s">
        <v>79</v>
      </c>
      <c r="AI50" s="6" t="s">
        <v>74</v>
      </c>
      <c r="AJ50" s="6" t="s">
        <v>158</v>
      </c>
      <c r="AK50" s="6" t="s">
        <v>159</v>
      </c>
      <c r="AL50" s="6" t="s">
        <v>516</v>
      </c>
      <c r="AM50" s="6" t="s">
        <v>517</v>
      </c>
    </row>
    <row r="51" spans="2:39" ht="15" customHeight="1" x14ac:dyDescent="0.2">
      <c r="B51" s="6" t="s">
        <v>186</v>
      </c>
      <c r="C51" s="6" t="s">
        <v>199</v>
      </c>
      <c r="D51" s="2"/>
      <c r="E51" s="6" t="s">
        <v>178</v>
      </c>
      <c r="F51" s="6" t="s">
        <v>179</v>
      </c>
      <c r="G51" s="6" t="s">
        <v>180</v>
      </c>
      <c r="H51" s="6" t="s">
        <v>184</v>
      </c>
      <c r="I51" s="6" t="s">
        <v>192</v>
      </c>
      <c r="J51" s="6" t="s">
        <v>194</v>
      </c>
      <c r="K51" s="6" t="s">
        <v>182</v>
      </c>
      <c r="L51" s="6" t="s">
        <v>190</v>
      </c>
      <c r="M51" s="6" t="s">
        <v>188</v>
      </c>
      <c r="N51" s="6" t="s">
        <v>189</v>
      </c>
      <c r="O51" s="6" t="s">
        <v>197</v>
      </c>
      <c r="P51" s="6" t="s">
        <v>198</v>
      </c>
      <c r="Q51" s="6" t="s">
        <v>199</v>
      </c>
      <c r="R51" s="6" t="s">
        <v>162</v>
      </c>
      <c r="S51" s="6" t="s">
        <v>163</v>
      </c>
      <c r="T51" s="6" t="s">
        <v>164</v>
      </c>
      <c r="U51" s="6" t="s">
        <v>165</v>
      </c>
      <c r="V51" s="6" t="s">
        <v>214</v>
      </c>
      <c r="W51" s="6" t="s">
        <v>215</v>
      </c>
      <c r="X51" s="6" t="s">
        <v>216</v>
      </c>
      <c r="Y51" s="6" t="s">
        <v>140</v>
      </c>
      <c r="Z51" s="6" t="s">
        <v>141</v>
      </c>
      <c r="AA51" s="6" t="s">
        <v>142</v>
      </c>
      <c r="AB51" s="6" t="s">
        <v>144</v>
      </c>
      <c r="AC51" s="6" t="s">
        <v>145</v>
      </c>
      <c r="AD51" s="6" t="s">
        <v>146</v>
      </c>
      <c r="AE51" s="6" t="s">
        <v>156</v>
      </c>
      <c r="AF51" s="6" t="s">
        <v>147</v>
      </c>
      <c r="AG51" s="6" t="s">
        <v>150</v>
      </c>
      <c r="AH51" s="6" t="s">
        <v>154</v>
      </c>
      <c r="AI51" s="141" t="s">
        <v>153</v>
      </c>
      <c r="AJ51" s="142" t="s">
        <v>155</v>
      </c>
      <c r="AK51" s="141" t="s">
        <v>157</v>
      </c>
      <c r="AL51" s="6" t="s">
        <v>208</v>
      </c>
      <c r="AM51" s="6" t="s">
        <v>209</v>
      </c>
    </row>
    <row r="52" spans="2:39" ht="15" customHeight="1" x14ac:dyDescent="0.2">
      <c r="B52" s="6" t="s">
        <v>187</v>
      </c>
      <c r="C52" s="6" t="s">
        <v>162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39" ht="15" customHeight="1" x14ac:dyDescent="0.2">
      <c r="B53" s="6" t="s">
        <v>200</v>
      </c>
      <c r="C53" s="6" t="s">
        <v>163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39" ht="15" customHeight="1" x14ac:dyDescent="0.2">
      <c r="B54" s="6" t="s">
        <v>201</v>
      </c>
      <c r="C54" s="6" t="s">
        <v>164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39" ht="15" customHeight="1" x14ac:dyDescent="0.2">
      <c r="B55" s="6" t="s">
        <v>202</v>
      </c>
      <c r="C55" s="6" t="s">
        <v>165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39" ht="15" customHeight="1" x14ac:dyDescent="0.2">
      <c r="B56" s="6" t="s">
        <v>203</v>
      </c>
      <c r="C56" s="6" t="s">
        <v>214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39" ht="15" customHeight="1" x14ac:dyDescent="0.2">
      <c r="B57" s="6" t="s">
        <v>204</v>
      </c>
      <c r="C57" s="6" t="s">
        <v>215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39" ht="15" customHeight="1" x14ac:dyDescent="0.2">
      <c r="B58" s="6" t="s">
        <v>207</v>
      </c>
      <c r="C58" s="6" t="s">
        <v>216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39" ht="15" customHeight="1" x14ac:dyDescent="0.2">
      <c r="B59" s="6" t="s">
        <v>84</v>
      </c>
      <c r="C59" s="6" t="s">
        <v>140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39" ht="15" customHeight="1" x14ac:dyDescent="0.2">
      <c r="B60" s="6" t="s">
        <v>87</v>
      </c>
      <c r="C60" s="6" t="s">
        <v>141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39" ht="15" customHeight="1" x14ac:dyDescent="0.2">
      <c r="B61" s="6" t="s">
        <v>90</v>
      </c>
      <c r="C61" s="6" t="s">
        <v>142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39" ht="15" customHeight="1" x14ac:dyDescent="0.2">
      <c r="B62" s="6" t="s">
        <v>92</v>
      </c>
      <c r="C62" s="6" t="s">
        <v>144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39" ht="15" customHeight="1" x14ac:dyDescent="0.2">
      <c r="B63" s="6" t="s">
        <v>94</v>
      </c>
      <c r="C63" s="6" t="s">
        <v>145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39" ht="15" customHeight="1" x14ac:dyDescent="0.2">
      <c r="B64" s="6" t="s">
        <v>73</v>
      </c>
      <c r="C64" s="6" t="s">
        <v>146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5" customHeight="1" x14ac:dyDescent="0.2">
      <c r="B65" s="6" t="s">
        <v>75</v>
      </c>
      <c r="C65" s="6" t="s">
        <v>156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5" customHeight="1" x14ac:dyDescent="0.2">
      <c r="B66" s="6" t="s">
        <v>76</v>
      </c>
      <c r="C66" s="6" t="s">
        <v>147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5" customHeight="1" x14ac:dyDescent="0.2">
      <c r="B67" s="6" t="s">
        <v>78</v>
      </c>
      <c r="C67" s="6" t="s">
        <v>150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5" customHeight="1" x14ac:dyDescent="0.2">
      <c r="B68" s="6" t="s">
        <v>79</v>
      </c>
      <c r="C68" s="6" t="s">
        <v>154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5" customHeight="1" x14ac:dyDescent="0.2">
      <c r="B69" s="6" t="s">
        <v>74</v>
      </c>
      <c r="C69" s="141" t="s">
        <v>153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5" customHeight="1" x14ac:dyDescent="0.2">
      <c r="B70" s="6" t="s">
        <v>158</v>
      </c>
      <c r="C70" s="142" t="s">
        <v>155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5" customHeight="1" x14ac:dyDescent="0.2">
      <c r="B71" s="6" t="s">
        <v>159</v>
      </c>
      <c r="C71" s="141" t="s">
        <v>157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5" customHeight="1" x14ac:dyDescent="0.2">
      <c r="B72" s="6" t="s">
        <v>516</v>
      </c>
      <c r="C72" s="6" t="s">
        <v>208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5" customHeight="1" x14ac:dyDescent="0.2">
      <c r="B73" s="6" t="s">
        <v>517</v>
      </c>
      <c r="C73" s="6" t="s">
        <v>209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5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5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5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5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5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5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5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1048574" spans="2:2" ht="15" customHeight="1" x14ac:dyDescent="0.2">
      <c r="B1048574" s="6"/>
    </row>
  </sheetData>
  <mergeCells count="1">
    <mergeCell ref="A1:C1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A1:E21"/>
  <sheetViews>
    <sheetView workbookViewId="0">
      <selection activeCell="C4" sqref="C4"/>
    </sheetView>
  </sheetViews>
  <sheetFormatPr baseColWidth="10" defaultRowHeight="15" x14ac:dyDescent="0.25"/>
  <cols>
    <col min="1" max="1" width="12.5703125" style="143" customWidth="1"/>
    <col min="2" max="2" width="63" style="143" customWidth="1"/>
    <col min="3" max="3" width="9.42578125" style="143" customWidth="1"/>
    <col min="4" max="4" width="8.5703125" style="143" customWidth="1"/>
    <col min="5" max="6" width="11.140625" style="143" customWidth="1"/>
    <col min="7" max="7" width="8.5703125" style="143" customWidth="1"/>
    <col min="8" max="9" width="11.140625" style="143" customWidth="1"/>
    <col min="10" max="10" width="7.85546875" style="143" customWidth="1"/>
    <col min="11" max="11" width="7.42578125" style="143" customWidth="1"/>
    <col min="12" max="12" width="13.140625" style="143" customWidth="1"/>
    <col min="13" max="13" width="16.85546875" style="143" customWidth="1"/>
    <col min="14" max="14" width="13" style="143" customWidth="1"/>
    <col min="15" max="15" width="12.42578125" style="143" customWidth="1"/>
    <col min="16" max="16" width="11.42578125" style="143"/>
    <col min="17" max="17" width="25.7109375" style="143" customWidth="1"/>
    <col min="18" max="16384" width="11.42578125" style="143"/>
  </cols>
  <sheetData>
    <row r="1" spans="1:5" x14ac:dyDescent="0.25">
      <c r="B1" s="223" t="s">
        <v>452</v>
      </c>
      <c r="C1" s="223"/>
    </row>
    <row r="2" spans="1:5" ht="44.25" customHeight="1" x14ac:dyDescent="0.25">
      <c r="A2" s="427" t="s">
        <v>443</v>
      </c>
      <c r="B2" s="429" t="s">
        <v>259</v>
      </c>
      <c r="C2" s="431" t="s">
        <v>444</v>
      </c>
      <c r="D2" s="432"/>
      <c r="E2" s="433"/>
    </row>
    <row r="3" spans="1:5" x14ac:dyDescent="0.25">
      <c r="A3" s="428"/>
      <c r="B3" s="430"/>
      <c r="C3" s="249">
        <v>15</v>
      </c>
      <c r="D3" s="249">
        <v>30</v>
      </c>
      <c r="E3" s="249">
        <v>60</v>
      </c>
    </row>
    <row r="4" spans="1:5" x14ac:dyDescent="0.25">
      <c r="A4" s="248" t="s">
        <v>436</v>
      </c>
      <c r="B4" s="248" t="s">
        <v>445</v>
      </c>
      <c r="C4" s="250">
        <v>0.4</v>
      </c>
      <c r="D4" s="250">
        <v>0.3</v>
      </c>
      <c r="E4" s="250">
        <v>0.2</v>
      </c>
    </row>
    <row r="5" spans="1:5" x14ac:dyDescent="0.25">
      <c r="A5" s="248" t="s">
        <v>437</v>
      </c>
      <c r="B5" s="248" t="s">
        <v>446</v>
      </c>
      <c r="C5" s="250">
        <v>0.7</v>
      </c>
      <c r="D5" s="250">
        <v>0.7</v>
      </c>
      <c r="E5" s="250">
        <v>0.6</v>
      </c>
    </row>
    <row r="6" spans="1:5" x14ac:dyDescent="0.25">
      <c r="A6" s="248" t="s">
        <v>438</v>
      </c>
      <c r="B6" s="248" t="s">
        <v>447</v>
      </c>
      <c r="C6" s="250">
        <v>0.4</v>
      </c>
      <c r="D6" s="250">
        <v>0.3</v>
      </c>
      <c r="E6" s="250">
        <v>0.2</v>
      </c>
    </row>
    <row r="7" spans="1:5" x14ac:dyDescent="0.25">
      <c r="A7" s="248" t="s">
        <v>439</v>
      </c>
      <c r="B7" s="248" t="s">
        <v>448</v>
      </c>
      <c r="C7" s="250">
        <v>7</v>
      </c>
      <c r="D7" s="250">
        <v>7</v>
      </c>
      <c r="E7" s="250">
        <v>7</v>
      </c>
    </row>
    <row r="8" spans="1:5" x14ac:dyDescent="0.25">
      <c r="A8" s="248" t="s">
        <v>440</v>
      </c>
      <c r="B8" s="248" t="s">
        <v>449</v>
      </c>
      <c r="C8" s="250">
        <v>4</v>
      </c>
      <c r="D8" s="250">
        <v>4</v>
      </c>
      <c r="E8" s="250">
        <v>3.8</v>
      </c>
    </row>
    <row r="9" spans="1:5" x14ac:dyDescent="0.25">
      <c r="A9" s="248" t="s">
        <v>441</v>
      </c>
      <c r="B9" s="248" t="s">
        <v>450</v>
      </c>
      <c r="C9" s="250">
        <v>8.5</v>
      </c>
      <c r="D9" s="250">
        <v>8</v>
      </c>
      <c r="E9" s="250">
        <v>7.5</v>
      </c>
    </row>
    <row r="10" spans="1:5" x14ac:dyDescent="0.25">
      <c r="A10" s="248" t="s">
        <v>442</v>
      </c>
      <c r="B10" s="248" t="s">
        <v>451</v>
      </c>
      <c r="C10" s="250">
        <v>8.5</v>
      </c>
      <c r="D10" s="250">
        <v>8</v>
      </c>
      <c r="E10" s="250">
        <v>7.5</v>
      </c>
    </row>
    <row r="13" spans="1:5" ht="15" customHeight="1" x14ac:dyDescent="0.25">
      <c r="A13" s="427" t="s">
        <v>443</v>
      </c>
      <c r="B13" s="429" t="s">
        <v>259</v>
      </c>
      <c r="C13" s="434" t="s">
        <v>389</v>
      </c>
      <c r="D13" s="434"/>
      <c r="E13" s="434"/>
    </row>
    <row r="14" spans="1:5" x14ac:dyDescent="0.25">
      <c r="A14" s="428"/>
      <c r="B14" s="430"/>
      <c r="C14" s="249" t="s">
        <v>453</v>
      </c>
      <c r="D14" s="249" t="s">
        <v>454</v>
      </c>
      <c r="E14" s="249" t="s">
        <v>455</v>
      </c>
    </row>
    <row r="15" spans="1:5" x14ac:dyDescent="0.25">
      <c r="A15" s="248" t="s">
        <v>436</v>
      </c>
      <c r="B15" s="248" t="s">
        <v>445</v>
      </c>
      <c r="C15" s="24"/>
      <c r="D15" s="24"/>
      <c r="E15" s="24" t="s">
        <v>337</v>
      </c>
    </row>
    <row r="16" spans="1:5" x14ac:dyDescent="0.25">
      <c r="A16" s="248" t="s">
        <v>437</v>
      </c>
      <c r="B16" s="248" t="s">
        <v>446</v>
      </c>
      <c r="C16" s="24"/>
      <c r="D16" s="24"/>
      <c r="E16" s="24" t="s">
        <v>337</v>
      </c>
    </row>
    <row r="17" spans="1:5" x14ac:dyDescent="0.25">
      <c r="A17" s="248" t="s">
        <v>438</v>
      </c>
      <c r="B17" s="248" t="s">
        <v>447</v>
      </c>
      <c r="C17" s="24" t="s">
        <v>337</v>
      </c>
      <c r="D17" s="24" t="s">
        <v>337</v>
      </c>
      <c r="E17" s="24"/>
    </row>
    <row r="18" spans="1:5" x14ac:dyDescent="0.25">
      <c r="A18" s="248" t="s">
        <v>439</v>
      </c>
      <c r="B18" s="248" t="s">
        <v>448</v>
      </c>
      <c r="C18" s="24" t="s">
        <v>337</v>
      </c>
      <c r="D18" s="24" t="s">
        <v>337</v>
      </c>
      <c r="E18" s="24"/>
    </row>
    <row r="19" spans="1:5" x14ac:dyDescent="0.25">
      <c r="A19" s="248" t="s">
        <v>440</v>
      </c>
      <c r="B19" s="248" t="s">
        <v>449</v>
      </c>
      <c r="C19" s="24"/>
      <c r="D19" s="24"/>
      <c r="E19" s="24" t="s">
        <v>337</v>
      </c>
    </row>
    <row r="20" spans="1:5" x14ac:dyDescent="0.25">
      <c r="A20" s="248" t="s">
        <v>441</v>
      </c>
      <c r="B20" s="248" t="s">
        <v>450</v>
      </c>
      <c r="C20" s="24" t="s">
        <v>337</v>
      </c>
      <c r="D20" s="24"/>
      <c r="E20" s="24"/>
    </row>
    <row r="21" spans="1:5" x14ac:dyDescent="0.25">
      <c r="A21" s="248" t="s">
        <v>442</v>
      </c>
      <c r="B21" s="248" t="s">
        <v>451</v>
      </c>
      <c r="C21" s="24"/>
      <c r="D21" s="24" t="s">
        <v>337</v>
      </c>
      <c r="E21" s="24"/>
    </row>
  </sheetData>
  <mergeCells count="6">
    <mergeCell ref="A2:A3"/>
    <mergeCell ref="B2:B3"/>
    <mergeCell ref="C2:E2"/>
    <mergeCell ref="A13:A14"/>
    <mergeCell ref="B13:B14"/>
    <mergeCell ref="C13:E13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600"/>
  </sheetPr>
  <dimension ref="A1:O21"/>
  <sheetViews>
    <sheetView topLeftCell="A4" workbookViewId="0">
      <selection activeCell="B19" sqref="B19"/>
    </sheetView>
  </sheetViews>
  <sheetFormatPr baseColWidth="10" defaultRowHeight="15" x14ac:dyDescent="0.25"/>
  <cols>
    <col min="1" max="1" width="12.5703125" style="143" customWidth="1"/>
    <col min="2" max="2" width="63" style="143" customWidth="1"/>
    <col min="3" max="3" width="9.42578125" style="143" customWidth="1"/>
    <col min="4" max="4" width="8.5703125" style="143" customWidth="1"/>
    <col min="5" max="6" width="11.140625" style="143" customWidth="1"/>
    <col min="7" max="7" width="8.5703125" style="143" customWidth="1"/>
    <col min="8" max="9" width="11.140625" style="143" customWidth="1"/>
    <col min="10" max="10" width="7.85546875" style="143" customWidth="1"/>
    <col min="11" max="11" width="7.42578125" style="143" customWidth="1"/>
    <col min="12" max="12" width="13.140625" style="143" customWidth="1"/>
    <col min="13" max="13" width="16.85546875" style="143" customWidth="1"/>
    <col min="14" max="14" width="13" style="143" customWidth="1"/>
    <col min="15" max="15" width="12.42578125" style="143" customWidth="1"/>
    <col min="16" max="16" width="11.42578125" style="143"/>
    <col min="17" max="17" width="25.7109375" style="143" customWidth="1"/>
    <col min="18" max="16384" width="11.42578125" style="143"/>
  </cols>
  <sheetData>
    <row r="1" spans="1:15" x14ac:dyDescent="0.25">
      <c r="B1" s="223" t="s">
        <v>327</v>
      </c>
      <c r="C1" s="223"/>
      <c r="D1" s="435" t="s">
        <v>328</v>
      </c>
      <c r="E1" s="436"/>
      <c r="F1" s="437"/>
      <c r="G1" s="435" t="s">
        <v>328</v>
      </c>
      <c r="H1" s="436"/>
      <c r="I1" s="437"/>
    </row>
    <row r="2" spans="1:15" ht="44.25" customHeight="1" x14ac:dyDescent="0.25">
      <c r="A2" s="224" t="s">
        <v>329</v>
      </c>
      <c r="B2" s="162" t="s">
        <v>259</v>
      </c>
      <c r="C2" s="162" t="s">
        <v>308</v>
      </c>
      <c r="D2" s="162" t="s">
        <v>279</v>
      </c>
      <c r="E2" s="162" t="s">
        <v>280</v>
      </c>
      <c r="F2" s="163" t="s">
        <v>278</v>
      </c>
      <c r="G2" s="161" t="s">
        <v>279</v>
      </c>
      <c r="H2" s="162" t="s">
        <v>280</v>
      </c>
      <c r="I2" s="163" t="s">
        <v>278</v>
      </c>
      <c r="J2" s="161" t="s">
        <v>330</v>
      </c>
      <c r="K2" s="162" t="s">
        <v>331</v>
      </c>
      <c r="L2" s="162" t="s">
        <v>332</v>
      </c>
      <c r="M2" s="162" t="s">
        <v>259</v>
      </c>
      <c r="N2" s="162" t="s">
        <v>333</v>
      </c>
      <c r="O2" s="162" t="s">
        <v>283</v>
      </c>
    </row>
    <row r="3" spans="1:15" x14ac:dyDescent="0.25">
      <c r="A3" s="145" t="s">
        <v>334</v>
      </c>
      <c r="B3" s="225" t="s">
        <v>335</v>
      </c>
      <c r="C3" s="162" t="s">
        <v>336</v>
      </c>
      <c r="D3" s="212" t="s">
        <v>337</v>
      </c>
      <c r="E3" s="212" t="s">
        <v>337</v>
      </c>
      <c r="F3" s="226" t="s">
        <v>337</v>
      </c>
      <c r="G3" s="166">
        <v>1</v>
      </c>
      <c r="H3" s="144">
        <v>1</v>
      </c>
      <c r="I3" s="167">
        <v>1</v>
      </c>
      <c r="J3" s="227" t="s">
        <v>338</v>
      </c>
      <c r="K3" s="227" t="s">
        <v>339</v>
      </c>
      <c r="L3" s="228">
        <v>15</v>
      </c>
      <c r="M3" s="227" t="s">
        <v>340</v>
      </c>
      <c r="N3" s="228">
        <v>100</v>
      </c>
      <c r="O3" s="228">
        <f t="shared" ref="O3:O15" si="0">L3/N3</f>
        <v>0.15</v>
      </c>
    </row>
    <row r="4" spans="1:15" x14ac:dyDescent="0.25">
      <c r="A4" s="145" t="s">
        <v>341</v>
      </c>
      <c r="B4" s="229" t="s">
        <v>342</v>
      </c>
      <c r="C4" s="162" t="s">
        <v>313</v>
      </c>
      <c r="D4" s="199"/>
      <c r="E4" s="199"/>
      <c r="F4" s="226" t="s">
        <v>337</v>
      </c>
      <c r="G4" s="176"/>
      <c r="H4" s="199"/>
      <c r="I4" s="167">
        <v>8</v>
      </c>
      <c r="J4" s="227" t="s">
        <v>343</v>
      </c>
      <c r="K4" s="227" t="s">
        <v>339</v>
      </c>
      <c r="L4" s="228">
        <v>300</v>
      </c>
      <c r="M4" s="227" t="s">
        <v>344</v>
      </c>
      <c r="N4" s="228">
        <v>1000</v>
      </c>
      <c r="O4" s="228">
        <f t="shared" si="0"/>
        <v>0.3</v>
      </c>
    </row>
    <row r="5" spans="1:15" x14ac:dyDescent="0.25">
      <c r="A5" s="145" t="s">
        <v>345</v>
      </c>
      <c r="B5" s="229" t="s">
        <v>318</v>
      </c>
      <c r="C5" s="162" t="s">
        <v>318</v>
      </c>
      <c r="D5" s="199"/>
      <c r="E5" s="199"/>
      <c r="F5" s="226" t="s">
        <v>337</v>
      </c>
      <c r="G5" s="176"/>
      <c r="H5" s="199"/>
      <c r="I5" s="167">
        <v>1</v>
      </c>
      <c r="J5" s="227" t="s">
        <v>346</v>
      </c>
      <c r="K5" s="227" t="s">
        <v>339</v>
      </c>
      <c r="L5" s="228">
        <v>15</v>
      </c>
      <c r="M5" s="227" t="s">
        <v>347</v>
      </c>
      <c r="N5" s="228">
        <v>12</v>
      </c>
      <c r="O5" s="228">
        <f t="shared" si="0"/>
        <v>1.25</v>
      </c>
    </row>
    <row r="6" spans="1:15" x14ac:dyDescent="0.25">
      <c r="A6" s="145" t="s">
        <v>348</v>
      </c>
      <c r="B6" s="225" t="s">
        <v>349</v>
      </c>
      <c r="C6" s="162" t="s">
        <v>350</v>
      </c>
      <c r="D6" s="212" t="s">
        <v>337</v>
      </c>
      <c r="E6" s="212" t="s">
        <v>337</v>
      </c>
      <c r="F6" s="226" t="s">
        <v>337</v>
      </c>
      <c r="G6" s="166">
        <v>1</v>
      </c>
      <c r="H6" s="144">
        <v>1</v>
      </c>
      <c r="I6" s="167">
        <v>1</v>
      </c>
      <c r="J6" s="227" t="s">
        <v>343</v>
      </c>
      <c r="K6" s="227" t="s">
        <v>339</v>
      </c>
      <c r="L6" s="228">
        <v>100</v>
      </c>
      <c r="M6" s="227" t="s">
        <v>344</v>
      </c>
      <c r="N6" s="228">
        <v>1000</v>
      </c>
      <c r="O6" s="228">
        <f t="shared" si="0"/>
        <v>0.1</v>
      </c>
    </row>
    <row r="7" spans="1:15" x14ac:dyDescent="0.25">
      <c r="A7" s="145" t="s">
        <v>351</v>
      </c>
      <c r="B7" s="225" t="s">
        <v>352</v>
      </c>
      <c r="C7" s="162" t="s">
        <v>350</v>
      </c>
      <c r="D7" s="212" t="s">
        <v>337</v>
      </c>
      <c r="E7" s="212" t="s">
        <v>337</v>
      </c>
      <c r="F7" s="226" t="s">
        <v>337</v>
      </c>
      <c r="G7" s="166">
        <v>1</v>
      </c>
      <c r="H7" s="144">
        <v>1</v>
      </c>
      <c r="I7" s="167">
        <v>1</v>
      </c>
      <c r="J7" s="227" t="s">
        <v>338</v>
      </c>
      <c r="K7" s="227" t="s">
        <v>339</v>
      </c>
      <c r="L7" s="228">
        <v>2</v>
      </c>
      <c r="M7" s="227" t="s">
        <v>340</v>
      </c>
      <c r="N7" s="228">
        <v>100</v>
      </c>
      <c r="O7" s="228">
        <f t="shared" si="0"/>
        <v>0.02</v>
      </c>
    </row>
    <row r="8" spans="1:15" x14ac:dyDescent="0.25">
      <c r="A8" s="145" t="s">
        <v>353</v>
      </c>
      <c r="B8" s="225" t="s">
        <v>354</v>
      </c>
      <c r="C8" s="162" t="s">
        <v>350</v>
      </c>
      <c r="D8" s="230" t="s">
        <v>337</v>
      </c>
      <c r="E8" s="230" t="s">
        <v>337</v>
      </c>
      <c r="F8" s="226" t="s">
        <v>337</v>
      </c>
      <c r="G8" s="166">
        <v>4</v>
      </c>
      <c r="H8" s="144">
        <v>6</v>
      </c>
      <c r="I8" s="167">
        <v>6</v>
      </c>
      <c r="J8" s="227" t="s">
        <v>355</v>
      </c>
      <c r="K8" s="227" t="s">
        <v>339</v>
      </c>
      <c r="L8" s="228">
        <v>40</v>
      </c>
      <c r="M8" s="227" t="s">
        <v>356</v>
      </c>
      <c r="N8" s="228">
        <v>1500</v>
      </c>
      <c r="O8" s="228">
        <f t="shared" si="0"/>
        <v>2.6666666666666668E-2</v>
      </c>
    </row>
    <row r="9" spans="1:15" x14ac:dyDescent="0.25">
      <c r="A9" s="145" t="s">
        <v>357</v>
      </c>
      <c r="B9" s="225" t="s">
        <v>358</v>
      </c>
      <c r="C9" s="162" t="s">
        <v>359</v>
      </c>
      <c r="D9" s="212" t="s">
        <v>337</v>
      </c>
      <c r="E9" s="212" t="s">
        <v>337</v>
      </c>
      <c r="F9" s="226" t="s">
        <v>337</v>
      </c>
      <c r="G9" s="166">
        <v>0.2</v>
      </c>
      <c r="H9" s="144">
        <v>0.2</v>
      </c>
      <c r="I9" s="167">
        <v>0.2</v>
      </c>
      <c r="J9" s="227" t="s">
        <v>339</v>
      </c>
      <c r="K9" s="227" t="s">
        <v>339</v>
      </c>
      <c r="L9" s="228">
        <v>3</v>
      </c>
      <c r="M9" s="176"/>
      <c r="N9" s="228">
        <v>1</v>
      </c>
      <c r="O9" s="228">
        <f t="shared" si="0"/>
        <v>3</v>
      </c>
    </row>
    <row r="10" spans="1:15" x14ac:dyDescent="0.25">
      <c r="A10" s="145" t="s">
        <v>360</v>
      </c>
      <c r="B10" s="225" t="s">
        <v>361</v>
      </c>
      <c r="C10" s="162" t="s">
        <v>359</v>
      </c>
      <c r="D10" s="199"/>
      <c r="E10" s="212" t="s">
        <v>337</v>
      </c>
      <c r="F10" s="178"/>
      <c r="G10" s="176"/>
      <c r="H10" s="177">
        <f>5/20</f>
        <v>0.25</v>
      </c>
      <c r="I10" s="178"/>
      <c r="J10" s="227" t="s">
        <v>339</v>
      </c>
      <c r="K10" s="227" t="s">
        <v>339</v>
      </c>
      <c r="L10" s="228">
        <v>2</v>
      </c>
      <c r="M10" s="176"/>
      <c r="N10" s="228">
        <v>1</v>
      </c>
      <c r="O10" s="228">
        <f t="shared" si="0"/>
        <v>2</v>
      </c>
    </row>
    <row r="11" spans="1:15" x14ac:dyDescent="0.25">
      <c r="A11" s="145" t="s">
        <v>362</v>
      </c>
      <c r="B11" s="225" t="s">
        <v>363</v>
      </c>
      <c r="C11" s="162" t="s">
        <v>363</v>
      </c>
      <c r="D11" s="212" t="s">
        <v>337</v>
      </c>
      <c r="E11" s="212" t="s">
        <v>337</v>
      </c>
      <c r="F11" s="226" t="s">
        <v>337</v>
      </c>
      <c r="G11" s="166">
        <v>0.15</v>
      </c>
      <c r="H11" s="166">
        <v>0.15</v>
      </c>
      <c r="I11" s="167">
        <v>0.15</v>
      </c>
      <c r="J11" s="227" t="s">
        <v>364</v>
      </c>
      <c r="K11" s="227" t="s">
        <v>365</v>
      </c>
      <c r="L11" s="228">
        <v>32</v>
      </c>
      <c r="M11" s="227" t="s">
        <v>366</v>
      </c>
      <c r="N11" s="228">
        <v>1.8</v>
      </c>
      <c r="O11" s="228">
        <f t="shared" si="0"/>
        <v>17.777777777777779</v>
      </c>
    </row>
    <row r="12" spans="1:15" x14ac:dyDescent="0.25">
      <c r="A12" s="145" t="s">
        <v>367</v>
      </c>
      <c r="B12" s="231" t="s">
        <v>317</v>
      </c>
      <c r="C12" s="162" t="s">
        <v>315</v>
      </c>
      <c r="D12" s="199"/>
      <c r="E12" s="212" t="s">
        <v>337</v>
      </c>
      <c r="F12" s="226" t="s">
        <v>337</v>
      </c>
      <c r="G12" s="176"/>
      <c r="H12" s="177">
        <f>34/25</f>
        <v>1.36</v>
      </c>
      <c r="I12" s="232">
        <f>34/25</f>
        <v>1.36</v>
      </c>
      <c r="J12" s="227" t="s">
        <v>368</v>
      </c>
      <c r="K12" s="227" t="s">
        <v>365</v>
      </c>
      <c r="L12" s="228">
        <v>550</v>
      </c>
      <c r="M12" s="227" t="s">
        <v>369</v>
      </c>
      <c r="N12" s="228">
        <v>34</v>
      </c>
      <c r="O12" s="228">
        <f t="shared" si="0"/>
        <v>16.176470588235293</v>
      </c>
    </row>
    <row r="13" spans="1:15" x14ac:dyDescent="0.25">
      <c r="A13" s="233" t="s">
        <v>370</v>
      </c>
      <c r="B13" s="234" t="s">
        <v>316</v>
      </c>
      <c r="C13" s="162" t="s">
        <v>315</v>
      </c>
      <c r="D13" s="199"/>
      <c r="E13" s="212" t="s">
        <v>337</v>
      </c>
      <c r="F13" s="226" t="s">
        <v>337</v>
      </c>
      <c r="G13" s="176"/>
      <c r="H13" s="177">
        <f>34/25</f>
        <v>1.36</v>
      </c>
      <c r="I13" s="232">
        <f>34/25</f>
        <v>1.36</v>
      </c>
      <c r="J13" s="227" t="s">
        <v>364</v>
      </c>
      <c r="K13" s="227" t="s">
        <v>365</v>
      </c>
      <c r="L13" s="228">
        <v>33</v>
      </c>
      <c r="M13" s="227" t="s">
        <v>366</v>
      </c>
      <c r="N13" s="228">
        <v>1.8</v>
      </c>
      <c r="O13" s="228">
        <f t="shared" si="0"/>
        <v>18.333333333333332</v>
      </c>
    </row>
    <row r="14" spans="1:15" x14ac:dyDescent="0.25">
      <c r="A14" s="233" t="s">
        <v>371</v>
      </c>
      <c r="B14" s="235" t="s">
        <v>372</v>
      </c>
      <c r="C14" s="162" t="s">
        <v>315</v>
      </c>
      <c r="D14" s="212" t="s">
        <v>337</v>
      </c>
      <c r="E14" s="199"/>
      <c r="F14" s="178"/>
      <c r="G14" s="177">
        <f>20/80</f>
        <v>0.25</v>
      </c>
      <c r="H14" s="199"/>
      <c r="I14" s="178"/>
      <c r="J14" s="227" t="s">
        <v>368</v>
      </c>
      <c r="K14" s="227" t="s">
        <v>365</v>
      </c>
      <c r="L14" s="228">
        <v>550</v>
      </c>
      <c r="M14" s="227" t="s">
        <v>373</v>
      </c>
      <c r="N14" s="228">
        <v>20</v>
      </c>
      <c r="O14" s="228">
        <f t="shared" si="0"/>
        <v>27.5</v>
      </c>
    </row>
    <row r="15" spans="1:15" x14ac:dyDescent="0.25">
      <c r="A15" s="233" t="s">
        <v>374</v>
      </c>
      <c r="B15" s="235" t="s">
        <v>320</v>
      </c>
      <c r="C15" s="162" t="s">
        <v>315</v>
      </c>
      <c r="D15" s="212" t="s">
        <v>337</v>
      </c>
      <c r="E15" s="199"/>
      <c r="F15" s="178"/>
      <c r="G15" s="177">
        <v>1.5</v>
      </c>
      <c r="H15" s="199"/>
      <c r="I15" s="178"/>
      <c r="J15" s="227" t="s">
        <v>339</v>
      </c>
      <c r="K15" s="227" t="s">
        <v>339</v>
      </c>
      <c r="L15" s="228">
        <v>4</v>
      </c>
      <c r="M15" s="176"/>
      <c r="N15" s="228">
        <v>1</v>
      </c>
      <c r="O15" s="228">
        <f t="shared" si="0"/>
        <v>4</v>
      </c>
    </row>
    <row r="18" spans="1:13" ht="46.5" x14ac:dyDescent="0.7">
      <c r="A18" s="149" t="s">
        <v>244</v>
      </c>
      <c r="B18" s="150"/>
    </row>
    <row r="19" spans="1:13" ht="18.75" x14ac:dyDescent="0.3">
      <c r="A19" s="151" t="s">
        <v>246</v>
      </c>
      <c r="B19" s="151" t="s">
        <v>375</v>
      </c>
    </row>
    <row r="20" spans="1:13" ht="18.75" x14ac:dyDescent="0.3">
      <c r="A20" s="151" t="s">
        <v>246</v>
      </c>
      <c r="B20" s="151" t="s">
        <v>376</v>
      </c>
      <c r="M20" s="150" t="s">
        <v>377</v>
      </c>
    </row>
    <row r="21" spans="1:13" ht="18.75" x14ac:dyDescent="0.3">
      <c r="A21" s="151" t="s">
        <v>246</v>
      </c>
      <c r="B21" s="151" t="s">
        <v>378</v>
      </c>
    </row>
  </sheetData>
  <mergeCells count="2">
    <mergeCell ref="D1:F1"/>
    <mergeCell ref="G1:I1"/>
  </mergeCells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6600"/>
  </sheetPr>
  <dimension ref="A1:R70"/>
  <sheetViews>
    <sheetView topLeftCell="A7" workbookViewId="0">
      <selection activeCell="D20" sqref="D20:E24"/>
    </sheetView>
  </sheetViews>
  <sheetFormatPr baseColWidth="10" defaultRowHeight="15" x14ac:dyDescent="0.25"/>
  <cols>
    <col min="1" max="1" width="8.42578125" style="143" customWidth="1"/>
    <col min="2" max="2" width="35.140625" style="143" customWidth="1"/>
    <col min="3" max="3" width="34.28515625" style="143" customWidth="1"/>
    <col min="4" max="4" width="26.5703125" style="143" customWidth="1"/>
    <col min="5" max="5" width="17.42578125" style="143" customWidth="1"/>
    <col min="6" max="6" width="15.5703125" style="143" customWidth="1"/>
    <col min="7" max="7" width="8.140625" style="143" customWidth="1"/>
    <col min="8" max="8" width="11.5703125" style="143" customWidth="1"/>
    <col min="9" max="9" width="15.5703125" style="143" customWidth="1"/>
    <col min="10" max="16384" width="11.42578125" style="143"/>
  </cols>
  <sheetData>
    <row r="1" spans="1:18" ht="23.25" x14ac:dyDescent="0.35">
      <c r="A1" s="438" t="s">
        <v>227</v>
      </c>
      <c r="B1" s="438"/>
      <c r="C1" s="438"/>
      <c r="D1" s="438"/>
      <c r="E1" s="438"/>
      <c r="F1" s="438"/>
      <c r="G1" s="438"/>
      <c r="H1" s="438"/>
      <c r="I1" s="143" t="s">
        <v>228</v>
      </c>
    </row>
    <row r="2" spans="1:18" ht="15" customHeight="1" x14ac:dyDescent="0.25">
      <c r="A2" s="439" t="s">
        <v>229</v>
      </c>
      <c r="B2" s="439" t="s">
        <v>230</v>
      </c>
      <c r="C2" s="441" t="s">
        <v>231</v>
      </c>
      <c r="D2" s="441" t="s">
        <v>232</v>
      </c>
      <c r="E2" s="441" t="s">
        <v>233</v>
      </c>
      <c r="F2" s="441" t="s">
        <v>234</v>
      </c>
      <c r="G2" s="441" t="s">
        <v>235</v>
      </c>
      <c r="H2" s="441" t="s">
        <v>236</v>
      </c>
      <c r="I2" s="444" t="s">
        <v>379</v>
      </c>
      <c r="J2" s="444" t="s">
        <v>384</v>
      </c>
    </row>
    <row r="3" spans="1:18" ht="15" customHeight="1" x14ac:dyDescent="0.25">
      <c r="A3" s="440"/>
      <c r="B3" s="440"/>
      <c r="C3" s="442"/>
      <c r="D3" s="442"/>
      <c r="E3" s="443"/>
      <c r="F3" s="443"/>
      <c r="G3" s="442"/>
      <c r="H3" s="442"/>
      <c r="I3" s="444"/>
      <c r="J3" s="444"/>
    </row>
    <row r="4" spans="1:18" x14ac:dyDescent="0.25">
      <c r="A4" s="252" t="s">
        <v>38</v>
      </c>
      <c r="B4" s="144" t="s">
        <v>380</v>
      </c>
      <c r="C4" s="145" t="s">
        <v>237</v>
      </c>
      <c r="D4" s="145" t="s">
        <v>238</v>
      </c>
      <c r="E4" s="146">
        <f>1*26</f>
        <v>26</v>
      </c>
      <c r="F4" s="146">
        <f>F29</f>
        <v>150</v>
      </c>
      <c r="G4" s="144">
        <f>L16</f>
        <v>0</v>
      </c>
      <c r="H4" s="144">
        <f>L12</f>
        <v>0</v>
      </c>
      <c r="I4" s="147">
        <f>J4*3</f>
        <v>450</v>
      </c>
      <c r="J4" s="147">
        <f>SUM(F4:H4)</f>
        <v>150</v>
      </c>
    </row>
    <row r="5" spans="1:18" x14ac:dyDescent="0.25">
      <c r="A5" s="252" t="s">
        <v>37</v>
      </c>
      <c r="B5" s="144" t="s">
        <v>381</v>
      </c>
      <c r="C5" s="145" t="s">
        <v>239</v>
      </c>
      <c r="D5" s="145" t="s">
        <v>240</v>
      </c>
      <c r="E5" s="146">
        <f>4*26</f>
        <v>104</v>
      </c>
      <c r="F5" s="146">
        <f>F19</f>
        <v>1000</v>
      </c>
      <c r="G5" s="144">
        <f>L24</f>
        <v>0</v>
      </c>
      <c r="H5" s="144">
        <f>L20</f>
        <v>0</v>
      </c>
      <c r="I5" s="147">
        <f>J5*3</f>
        <v>3000</v>
      </c>
      <c r="J5" s="147">
        <f>SUM(F5:H5)</f>
        <v>1000</v>
      </c>
    </row>
    <row r="6" spans="1:18" x14ac:dyDescent="0.25">
      <c r="A6" s="252" t="s">
        <v>148</v>
      </c>
      <c r="B6" s="144" t="s">
        <v>382</v>
      </c>
      <c r="C6" s="145" t="s">
        <v>241</v>
      </c>
      <c r="D6" s="145" t="s">
        <v>242</v>
      </c>
      <c r="E6" s="146">
        <f>2*30</f>
        <v>60</v>
      </c>
      <c r="F6" s="146">
        <f>F13</f>
        <v>250</v>
      </c>
      <c r="G6" s="144">
        <f>L40</f>
        <v>0</v>
      </c>
      <c r="H6" s="144">
        <f>L39</f>
        <v>0</v>
      </c>
      <c r="I6" s="147">
        <f>J6*3</f>
        <v>750</v>
      </c>
      <c r="J6" s="147">
        <f>SUM(F6:H6)</f>
        <v>250</v>
      </c>
    </row>
    <row r="7" spans="1:18" x14ac:dyDescent="0.25">
      <c r="A7" s="252" t="s">
        <v>151</v>
      </c>
      <c r="B7" s="144" t="s">
        <v>383</v>
      </c>
      <c r="C7" s="148" t="s">
        <v>243</v>
      </c>
      <c r="D7" s="145" t="s">
        <v>242</v>
      </c>
      <c r="E7" s="146">
        <f>2*30</f>
        <v>60</v>
      </c>
      <c r="F7" s="146">
        <f>F14</f>
        <v>250</v>
      </c>
      <c r="G7" s="144">
        <f>L45</f>
        <v>0</v>
      </c>
      <c r="H7" s="144">
        <f>L44</f>
        <v>0</v>
      </c>
      <c r="I7" s="147">
        <f>J7*3</f>
        <v>750</v>
      </c>
      <c r="J7" s="147">
        <f>SUM(F7:H7)</f>
        <v>250</v>
      </c>
    </row>
    <row r="8" spans="1:18" x14ac:dyDescent="0.25">
      <c r="H8" s="204" t="s">
        <v>96</v>
      </c>
      <c r="I8" s="238">
        <f>SUM(I4:I7)</f>
        <v>4950</v>
      </c>
    </row>
    <row r="9" spans="1:18" ht="46.5" x14ac:dyDescent="0.7">
      <c r="B9" s="149" t="s">
        <v>244</v>
      </c>
      <c r="C9" s="150"/>
      <c r="F9" s="143" t="s">
        <v>245</v>
      </c>
    </row>
    <row r="10" spans="1:18" ht="18.75" x14ac:dyDescent="0.3">
      <c r="A10" s="151" t="s">
        <v>246</v>
      </c>
      <c r="B10" s="151" t="s">
        <v>247</v>
      </c>
    </row>
    <row r="11" spans="1:18" ht="18.75" customHeight="1" x14ac:dyDescent="0.3">
      <c r="A11" s="151" t="s">
        <v>246</v>
      </c>
      <c r="B11" s="151" t="s">
        <v>248</v>
      </c>
      <c r="Q11" s="152"/>
      <c r="R11" s="152"/>
    </row>
    <row r="12" spans="1:18" ht="18.75" customHeight="1" x14ac:dyDescent="0.3">
      <c r="A12" s="151"/>
      <c r="B12" s="153" t="s">
        <v>249</v>
      </c>
      <c r="C12" s="144">
        <v>500</v>
      </c>
      <c r="D12" s="144"/>
      <c r="E12" s="144" t="s">
        <v>250</v>
      </c>
      <c r="F12" s="144" t="s">
        <v>249</v>
      </c>
      <c r="H12" s="143" t="s">
        <v>251</v>
      </c>
      <c r="I12" s="445" t="s">
        <v>252</v>
      </c>
      <c r="J12" s="445"/>
      <c r="K12" s="445"/>
      <c r="L12" s="445"/>
      <c r="M12" s="445"/>
      <c r="N12" s="445"/>
      <c r="O12" s="445"/>
      <c r="P12" s="445"/>
      <c r="Q12" s="445"/>
      <c r="R12" s="445"/>
    </row>
    <row r="13" spans="1:18" ht="18.75" customHeight="1" x14ac:dyDescent="0.3">
      <c r="A13" s="151"/>
      <c r="C13" s="143" t="s">
        <v>253</v>
      </c>
      <c r="D13" s="154" t="s">
        <v>224</v>
      </c>
      <c r="E13" s="154">
        <v>2</v>
      </c>
      <c r="F13" s="154">
        <f>$C$12/$E$15*E13</f>
        <v>250</v>
      </c>
      <c r="I13" s="445"/>
      <c r="J13" s="445"/>
      <c r="K13" s="445"/>
      <c r="L13" s="445"/>
      <c r="M13" s="445"/>
      <c r="N13" s="445"/>
      <c r="O13" s="445"/>
      <c r="P13" s="445"/>
      <c r="Q13" s="445"/>
      <c r="R13" s="445"/>
    </row>
    <row r="14" spans="1:18" ht="18.75" customHeight="1" x14ac:dyDescent="0.3">
      <c r="A14" s="151"/>
      <c r="C14" s="143" t="s">
        <v>253</v>
      </c>
      <c r="D14" s="154" t="s">
        <v>226</v>
      </c>
      <c r="E14" s="154">
        <v>2</v>
      </c>
      <c r="F14" s="154">
        <f>$C$12/$E$15*E14</f>
        <v>250</v>
      </c>
      <c r="Q14" s="152"/>
      <c r="R14" s="152"/>
    </row>
    <row r="15" spans="1:18" ht="18.75" customHeight="1" x14ac:dyDescent="0.3">
      <c r="A15" s="151"/>
      <c r="D15" s="155"/>
      <c r="E15" s="144">
        <f>SUM(E13:E14)</f>
        <v>4</v>
      </c>
      <c r="F15" s="155"/>
      <c r="I15" s="152"/>
      <c r="J15" s="152"/>
      <c r="K15" s="152"/>
      <c r="L15" s="152"/>
      <c r="M15" s="152"/>
      <c r="N15" s="152"/>
      <c r="O15" s="152"/>
      <c r="P15" s="152"/>
      <c r="Q15" s="152"/>
      <c r="R15" s="152"/>
    </row>
    <row r="16" spans="1:18" x14ac:dyDescent="0.25">
      <c r="I16" s="152"/>
      <c r="J16" s="152"/>
      <c r="K16" s="152"/>
      <c r="L16" s="152"/>
      <c r="M16" s="152"/>
      <c r="N16" s="152"/>
      <c r="O16" s="152"/>
      <c r="P16" s="152"/>
      <c r="Q16" s="152"/>
      <c r="R16" s="152"/>
    </row>
    <row r="17" spans="1:18" ht="18.75" x14ac:dyDescent="0.3">
      <c r="A17" s="151" t="s">
        <v>246</v>
      </c>
      <c r="B17" s="151" t="s">
        <v>458</v>
      </c>
    </row>
    <row r="18" spans="1:18" ht="18.75" x14ac:dyDescent="0.3">
      <c r="B18" s="153" t="s">
        <v>249</v>
      </c>
      <c r="C18" s="144">
        <v>2500</v>
      </c>
      <c r="D18" s="144"/>
      <c r="E18" s="144" t="s">
        <v>250</v>
      </c>
      <c r="F18" s="144" t="s">
        <v>249</v>
      </c>
      <c r="H18" s="143" t="s">
        <v>251</v>
      </c>
      <c r="I18" s="446" t="s">
        <v>254</v>
      </c>
      <c r="J18" s="446"/>
      <c r="K18" s="446"/>
      <c r="L18" s="446"/>
      <c r="M18" s="446"/>
      <c r="N18" s="446"/>
      <c r="O18" s="446"/>
      <c r="P18" s="446"/>
      <c r="Q18" s="446"/>
      <c r="R18" s="446"/>
    </row>
    <row r="19" spans="1:18" x14ac:dyDescent="0.25">
      <c r="C19" s="143" t="s">
        <v>253</v>
      </c>
      <c r="D19" s="154" t="s">
        <v>223</v>
      </c>
      <c r="E19" s="154">
        <v>4</v>
      </c>
      <c r="F19" s="154">
        <f t="shared" ref="F19:F24" si="0">$C$18/$E$25*E19</f>
        <v>1000</v>
      </c>
      <c r="I19" s="446"/>
      <c r="J19" s="446"/>
      <c r="K19" s="446"/>
      <c r="L19" s="446"/>
      <c r="M19" s="446"/>
      <c r="N19" s="446"/>
      <c r="O19" s="446"/>
      <c r="P19" s="446"/>
      <c r="Q19" s="446"/>
      <c r="R19" s="446"/>
    </row>
    <row r="20" spans="1:18" x14ac:dyDescent="0.25">
      <c r="D20" s="144" t="s">
        <v>103</v>
      </c>
      <c r="E20" s="144">
        <v>2</v>
      </c>
      <c r="F20" s="144">
        <f t="shared" si="0"/>
        <v>500</v>
      </c>
    </row>
    <row r="21" spans="1:18" x14ac:dyDescent="0.25">
      <c r="D21" s="144" t="s">
        <v>219</v>
      </c>
      <c r="E21" s="144">
        <v>1</v>
      </c>
      <c r="F21" s="144">
        <f t="shared" si="0"/>
        <v>250</v>
      </c>
    </row>
    <row r="22" spans="1:18" x14ac:dyDescent="0.25">
      <c r="D22" s="295" t="s">
        <v>138</v>
      </c>
      <c r="E22" s="144">
        <v>1</v>
      </c>
      <c r="F22" s="144">
        <f t="shared" si="0"/>
        <v>250</v>
      </c>
    </row>
    <row r="23" spans="1:18" x14ac:dyDescent="0.25">
      <c r="D23" s="252" t="s">
        <v>457</v>
      </c>
      <c r="E23" s="143">
        <v>1</v>
      </c>
      <c r="F23" s="144">
        <f t="shared" si="0"/>
        <v>250</v>
      </c>
    </row>
    <row r="24" spans="1:18" x14ac:dyDescent="0.25">
      <c r="D24" s="144" t="s">
        <v>255</v>
      </c>
      <c r="E24" s="144">
        <v>1</v>
      </c>
      <c r="F24" s="144">
        <f t="shared" si="0"/>
        <v>250</v>
      </c>
    </row>
    <row r="25" spans="1:18" x14ac:dyDescent="0.25">
      <c r="E25" s="144">
        <f>SUM(E19:E24)</f>
        <v>10</v>
      </c>
    </row>
    <row r="26" spans="1:18" x14ac:dyDescent="0.25">
      <c r="E26" s="155"/>
    </row>
    <row r="27" spans="1:18" ht="18.75" x14ac:dyDescent="0.3">
      <c r="A27" s="151" t="s">
        <v>246</v>
      </c>
      <c r="B27" s="151" t="s">
        <v>460</v>
      </c>
    </row>
    <row r="28" spans="1:18" ht="18.75" x14ac:dyDescent="0.3">
      <c r="B28" s="153" t="s">
        <v>249</v>
      </c>
      <c r="C28" s="144">
        <v>1500</v>
      </c>
      <c r="D28" s="144"/>
      <c r="E28" s="144" t="s">
        <v>250</v>
      </c>
      <c r="F28" s="144" t="s">
        <v>249</v>
      </c>
      <c r="H28" s="143" t="s">
        <v>251</v>
      </c>
      <c r="I28" s="446" t="s">
        <v>254</v>
      </c>
      <c r="J28" s="446"/>
      <c r="K28" s="446"/>
      <c r="L28" s="446"/>
      <c r="M28" s="446"/>
      <c r="N28" s="446"/>
      <c r="O28" s="446"/>
      <c r="P28" s="446"/>
      <c r="Q28" s="446"/>
      <c r="R28" s="446"/>
    </row>
    <row r="29" spans="1:18" x14ac:dyDescent="0.25">
      <c r="C29" s="143" t="s">
        <v>253</v>
      </c>
      <c r="D29" s="154" t="s">
        <v>222</v>
      </c>
      <c r="E29" s="154">
        <v>1</v>
      </c>
      <c r="F29" s="154">
        <f>$C$28/$E$34*E29</f>
        <v>150</v>
      </c>
      <c r="I29" s="446"/>
      <c r="J29" s="446"/>
      <c r="K29" s="446"/>
      <c r="L29" s="446"/>
      <c r="M29" s="446"/>
      <c r="N29" s="446"/>
      <c r="O29" s="446"/>
      <c r="P29" s="446"/>
      <c r="Q29" s="446"/>
      <c r="R29" s="446"/>
    </row>
    <row r="30" spans="1:18" x14ac:dyDescent="0.25">
      <c r="D30" s="144" t="s">
        <v>255</v>
      </c>
      <c r="E30" s="144">
        <v>2</v>
      </c>
      <c r="F30" s="144">
        <f>$C$28/$E$34*E30</f>
        <v>300</v>
      </c>
    </row>
    <row r="31" spans="1:18" x14ac:dyDescent="0.25">
      <c r="D31" s="144" t="s">
        <v>217</v>
      </c>
      <c r="E31" s="144">
        <v>1</v>
      </c>
      <c r="F31" s="144">
        <f>$C$28/$E$34*E31</f>
        <v>150</v>
      </c>
    </row>
    <row r="32" spans="1:18" x14ac:dyDescent="0.25">
      <c r="D32" s="252" t="s">
        <v>459</v>
      </c>
      <c r="E32" s="144">
        <v>2</v>
      </c>
      <c r="F32" s="144">
        <f>$C$28/$E$34*E32</f>
        <v>300</v>
      </c>
    </row>
    <row r="33" spans="1:16" x14ac:dyDescent="0.25">
      <c r="D33" s="156" t="s">
        <v>225</v>
      </c>
      <c r="E33" s="144">
        <v>4</v>
      </c>
      <c r="F33" s="144">
        <f>$C$28/$E$34*E33</f>
        <v>600</v>
      </c>
    </row>
    <row r="34" spans="1:16" x14ac:dyDescent="0.25">
      <c r="D34" s="155"/>
      <c r="E34" s="157">
        <f>SUM(E29:E33)</f>
        <v>10</v>
      </c>
      <c r="F34" s="155"/>
    </row>
    <row r="35" spans="1:16" x14ac:dyDescent="0.25">
      <c r="D35" s="155"/>
      <c r="E35" s="155"/>
      <c r="F35" s="155"/>
    </row>
    <row r="36" spans="1:16" ht="18.75" x14ac:dyDescent="0.3">
      <c r="A36" s="151" t="s">
        <v>246</v>
      </c>
      <c r="B36" s="151" t="s">
        <v>256</v>
      </c>
      <c r="E36" s="155"/>
    </row>
    <row r="37" spans="1:16" x14ac:dyDescent="0.25">
      <c r="E37" s="155"/>
    </row>
    <row r="41" spans="1:16" x14ac:dyDescent="0.25">
      <c r="P41" s="144"/>
    </row>
    <row r="42" spans="1:16" x14ac:dyDescent="0.25">
      <c r="P42" s="144"/>
    </row>
    <row r="43" spans="1:16" x14ac:dyDescent="0.25">
      <c r="P43" s="144"/>
    </row>
    <row r="44" spans="1:16" x14ac:dyDescent="0.25">
      <c r="P44" s="144"/>
    </row>
    <row r="45" spans="1:16" x14ac:dyDescent="0.25">
      <c r="P45" s="144"/>
    </row>
    <row r="46" spans="1:16" x14ac:dyDescent="0.25">
      <c r="P46" s="144"/>
    </row>
    <row r="47" spans="1:16" x14ac:dyDescent="0.25">
      <c r="P47" s="144"/>
    </row>
    <row r="48" spans="1:16" x14ac:dyDescent="0.25">
      <c r="P48" s="144"/>
    </row>
    <row r="49" spans="16:16" x14ac:dyDescent="0.25">
      <c r="P49" s="144"/>
    </row>
    <row r="50" spans="16:16" x14ac:dyDescent="0.25">
      <c r="P50" s="144"/>
    </row>
    <row r="51" spans="16:16" x14ac:dyDescent="0.25">
      <c r="P51" s="144"/>
    </row>
    <row r="52" spans="16:16" x14ac:dyDescent="0.25">
      <c r="P52" s="144"/>
    </row>
    <row r="53" spans="16:16" x14ac:dyDescent="0.25">
      <c r="P53" s="144"/>
    </row>
    <row r="54" spans="16:16" x14ac:dyDescent="0.25">
      <c r="P54" s="144"/>
    </row>
    <row r="55" spans="16:16" x14ac:dyDescent="0.25">
      <c r="P55" s="144"/>
    </row>
    <row r="56" spans="16:16" x14ac:dyDescent="0.25">
      <c r="P56" s="144"/>
    </row>
    <row r="57" spans="16:16" x14ac:dyDescent="0.25">
      <c r="P57" s="144"/>
    </row>
    <row r="58" spans="16:16" x14ac:dyDescent="0.25">
      <c r="P58" s="144"/>
    </row>
    <row r="59" spans="16:16" x14ac:dyDescent="0.25">
      <c r="P59" s="144"/>
    </row>
    <row r="60" spans="16:16" x14ac:dyDescent="0.25">
      <c r="P60" s="144"/>
    </row>
    <row r="61" spans="16:16" x14ac:dyDescent="0.25">
      <c r="P61" s="144"/>
    </row>
    <row r="62" spans="16:16" x14ac:dyDescent="0.25">
      <c r="P62" s="144"/>
    </row>
    <row r="63" spans="16:16" x14ac:dyDescent="0.25">
      <c r="P63" s="144"/>
    </row>
    <row r="64" spans="16:16" x14ac:dyDescent="0.25">
      <c r="P64" s="144"/>
    </row>
    <row r="65" spans="16:16" x14ac:dyDescent="0.25">
      <c r="P65" s="144"/>
    </row>
    <row r="66" spans="16:16" x14ac:dyDescent="0.25">
      <c r="P66" s="144"/>
    </row>
    <row r="67" spans="16:16" x14ac:dyDescent="0.25">
      <c r="P67" s="144"/>
    </row>
    <row r="68" spans="16:16" x14ac:dyDescent="0.25">
      <c r="P68" s="144"/>
    </row>
    <row r="69" spans="16:16" x14ac:dyDescent="0.25">
      <c r="P69" s="144"/>
    </row>
    <row r="70" spans="16:16" x14ac:dyDescent="0.25">
      <c r="P70" s="144"/>
    </row>
  </sheetData>
  <mergeCells count="14">
    <mergeCell ref="I2:I3"/>
    <mergeCell ref="I12:R13"/>
    <mergeCell ref="I18:R19"/>
    <mergeCell ref="I28:R29"/>
    <mergeCell ref="J2:J3"/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6600"/>
  </sheetPr>
  <dimension ref="A1:L31"/>
  <sheetViews>
    <sheetView workbookViewId="0">
      <selection activeCell="F4" sqref="F4"/>
    </sheetView>
  </sheetViews>
  <sheetFormatPr baseColWidth="10" defaultRowHeight="15" x14ac:dyDescent="0.25"/>
  <cols>
    <col min="1" max="1" width="11.7109375" style="143" customWidth="1"/>
    <col min="2" max="2" width="49.28515625" style="143" customWidth="1"/>
    <col min="3" max="3" width="18.85546875" style="143" customWidth="1"/>
    <col min="4" max="4" width="22" style="143" customWidth="1"/>
    <col min="5" max="5" width="15.85546875" style="143" customWidth="1"/>
    <col min="6" max="6" width="16.5703125" style="143" customWidth="1"/>
    <col min="7" max="8" width="15.85546875" style="143" customWidth="1"/>
    <col min="9" max="9" width="15.5703125" style="143" customWidth="1"/>
    <col min="10" max="10" width="14.85546875" style="143" customWidth="1"/>
    <col min="11" max="11" width="16.85546875" style="143" customWidth="1"/>
    <col min="12" max="12" width="13.140625" style="143" customWidth="1"/>
    <col min="13" max="13" width="13" style="143" customWidth="1"/>
    <col min="14" max="14" width="17.85546875" style="143" customWidth="1"/>
    <col min="15" max="15" width="12.42578125" style="143" customWidth="1"/>
    <col min="16" max="16" width="14.42578125" style="143" customWidth="1"/>
    <col min="17" max="17" width="11.42578125" style="143"/>
    <col min="18" max="18" width="25.7109375" style="143" customWidth="1"/>
    <col min="19" max="16384" width="11.42578125" style="143"/>
  </cols>
  <sheetData>
    <row r="1" spans="1:12" ht="23.25" customHeight="1" x14ac:dyDescent="0.35">
      <c r="A1" s="438" t="s">
        <v>289</v>
      </c>
      <c r="B1" s="438"/>
      <c r="C1" s="438"/>
      <c r="D1" s="438"/>
      <c r="E1" s="438"/>
      <c r="F1" s="438"/>
      <c r="G1" s="438"/>
      <c r="H1" s="438"/>
    </row>
    <row r="2" spans="1:12" ht="16.5" customHeight="1" x14ac:dyDescent="0.25">
      <c r="A2" s="439" t="s">
        <v>229</v>
      </c>
      <c r="B2" s="439" t="s">
        <v>230</v>
      </c>
      <c r="C2" s="441" t="s">
        <v>231</v>
      </c>
      <c r="D2" s="441" t="s">
        <v>232</v>
      </c>
      <c r="E2" s="441" t="s">
        <v>290</v>
      </c>
      <c r="F2" s="441" t="s">
        <v>278</v>
      </c>
      <c r="G2" s="441" t="s">
        <v>280</v>
      </c>
      <c r="H2" s="441" t="s">
        <v>279</v>
      </c>
    </row>
    <row r="3" spans="1:12" ht="11.25" customHeight="1" x14ac:dyDescent="0.25">
      <c r="A3" s="440"/>
      <c r="B3" s="440"/>
      <c r="C3" s="442"/>
      <c r="D3" s="442"/>
      <c r="E3" s="442"/>
      <c r="F3" s="442"/>
      <c r="G3" s="442"/>
      <c r="H3" s="442"/>
    </row>
    <row r="4" spans="1:12" x14ac:dyDescent="0.25">
      <c r="A4" s="252" t="s">
        <v>38</v>
      </c>
      <c r="B4" s="144" t="s">
        <v>380</v>
      </c>
      <c r="C4" s="145" t="s">
        <v>237</v>
      </c>
      <c r="D4" s="145" t="s">
        <v>238</v>
      </c>
      <c r="E4" s="146" t="s">
        <v>291</v>
      </c>
      <c r="F4" s="210">
        <f>K13</f>
        <v>4.8</v>
      </c>
      <c r="G4" s="210">
        <f>K12</f>
        <v>4.8</v>
      </c>
      <c r="H4" s="210">
        <f>K11</f>
        <v>4.8</v>
      </c>
    </row>
    <row r="5" spans="1:12" x14ac:dyDescent="0.25">
      <c r="A5" s="252" t="s">
        <v>37</v>
      </c>
      <c r="B5" s="144" t="s">
        <v>381</v>
      </c>
      <c r="C5" s="145" t="s">
        <v>239</v>
      </c>
      <c r="D5" s="145" t="s">
        <v>240</v>
      </c>
      <c r="E5" s="146" t="s">
        <v>291</v>
      </c>
      <c r="F5" s="210">
        <f>K19</f>
        <v>14.4</v>
      </c>
      <c r="G5" s="210">
        <f>K18</f>
        <v>14.4</v>
      </c>
      <c r="H5" s="210">
        <f>K17</f>
        <v>9.6</v>
      </c>
    </row>
    <row r="6" spans="1:12" x14ac:dyDescent="0.25">
      <c r="A6" s="252" t="s">
        <v>148</v>
      </c>
      <c r="B6" s="144" t="s">
        <v>382</v>
      </c>
      <c r="C6" s="145" t="s">
        <v>241</v>
      </c>
      <c r="D6" s="145" t="s">
        <v>242</v>
      </c>
      <c r="E6" s="146" t="s">
        <v>291</v>
      </c>
      <c r="F6" s="210">
        <f>K25</f>
        <v>2.4</v>
      </c>
      <c r="G6" s="210">
        <f>K24</f>
        <v>2.4</v>
      </c>
      <c r="H6" s="210">
        <f>K23</f>
        <v>2.4</v>
      </c>
    </row>
    <row r="7" spans="1:12" x14ac:dyDescent="0.25">
      <c r="A7" s="252" t="s">
        <v>151</v>
      </c>
      <c r="B7" s="144" t="s">
        <v>383</v>
      </c>
      <c r="C7" s="148" t="s">
        <v>243</v>
      </c>
      <c r="D7" s="145" t="s">
        <v>242</v>
      </c>
      <c r="E7" s="146" t="s">
        <v>291</v>
      </c>
      <c r="F7" s="210">
        <f>K31</f>
        <v>4.8</v>
      </c>
      <c r="G7" s="210">
        <f>K30</f>
        <v>4.8</v>
      </c>
      <c r="H7" s="210">
        <f>K29</f>
        <v>4.8</v>
      </c>
    </row>
    <row r="8" spans="1:12" ht="18.75" customHeight="1" x14ac:dyDescent="0.25"/>
    <row r="9" spans="1:12" ht="46.5" x14ac:dyDescent="0.7">
      <c r="A9" s="149" t="s">
        <v>244</v>
      </c>
      <c r="B9" s="150"/>
      <c r="I9" s="447" t="s">
        <v>292</v>
      </c>
      <c r="J9" s="448"/>
      <c r="K9" s="449"/>
    </row>
    <row r="10" spans="1:12" ht="30.75" customHeight="1" x14ac:dyDescent="0.7">
      <c r="A10" s="149"/>
      <c r="B10" s="211" t="s">
        <v>293</v>
      </c>
      <c r="I10" s="212" t="s">
        <v>294</v>
      </c>
      <c r="J10" s="212" t="s">
        <v>295</v>
      </c>
      <c r="K10" s="212" t="s">
        <v>296</v>
      </c>
    </row>
    <row r="11" spans="1:12" ht="20.25" customHeight="1" x14ac:dyDescent="0.3">
      <c r="A11" s="151" t="s">
        <v>246</v>
      </c>
      <c r="B11" s="151" t="s">
        <v>297</v>
      </c>
      <c r="I11" s="212">
        <v>120</v>
      </c>
      <c r="J11" s="212">
        <v>25</v>
      </c>
      <c r="K11" s="212">
        <f>I11/J11</f>
        <v>4.8</v>
      </c>
      <c r="L11" s="143" t="s">
        <v>298</v>
      </c>
    </row>
    <row r="12" spans="1:12" ht="20.25" customHeight="1" x14ac:dyDescent="0.3">
      <c r="A12" s="151"/>
      <c r="B12" s="151"/>
      <c r="I12" s="212">
        <v>120</v>
      </c>
      <c r="J12" s="212">
        <v>25</v>
      </c>
      <c r="K12" s="212">
        <f>I12/J12</f>
        <v>4.8</v>
      </c>
      <c r="L12" s="143" t="s">
        <v>299</v>
      </c>
    </row>
    <row r="13" spans="1:12" ht="20.25" customHeight="1" x14ac:dyDescent="0.3">
      <c r="A13" s="151"/>
      <c r="B13" s="151"/>
      <c r="I13" s="212">
        <v>120</v>
      </c>
      <c r="J13" s="212">
        <v>25</v>
      </c>
      <c r="K13" s="212">
        <f>I13/J13</f>
        <v>4.8</v>
      </c>
      <c r="L13" s="143" t="s">
        <v>300</v>
      </c>
    </row>
    <row r="14" spans="1:12" ht="20.25" customHeight="1" x14ac:dyDescent="0.3">
      <c r="A14" s="151"/>
      <c r="B14" s="151"/>
      <c r="I14" s="213"/>
      <c r="J14" s="213"/>
      <c r="K14" s="213"/>
    </row>
    <row r="15" spans="1:12" ht="23.25" customHeight="1" x14ac:dyDescent="0.7">
      <c r="A15" s="149"/>
      <c r="B15" s="150"/>
      <c r="I15" s="447" t="s">
        <v>292</v>
      </c>
      <c r="J15" s="448"/>
      <c r="K15" s="449"/>
    </row>
    <row r="16" spans="1:12" ht="23.25" customHeight="1" x14ac:dyDescent="0.7">
      <c r="A16" s="149"/>
      <c r="B16" s="150"/>
      <c r="I16" s="212" t="s">
        <v>294</v>
      </c>
      <c r="J16" s="212" t="s">
        <v>295</v>
      </c>
      <c r="K16" s="212" t="s">
        <v>296</v>
      </c>
    </row>
    <row r="17" spans="1:12" ht="18.75" x14ac:dyDescent="0.3">
      <c r="A17" s="151" t="s">
        <v>246</v>
      </c>
      <c r="B17" s="151" t="s">
        <v>301</v>
      </c>
      <c r="I17" s="212">
        <v>240</v>
      </c>
      <c r="J17" s="212">
        <v>25</v>
      </c>
      <c r="K17" s="212">
        <f>I17/J17</f>
        <v>9.6</v>
      </c>
      <c r="L17" s="143" t="s">
        <v>298</v>
      </c>
    </row>
    <row r="18" spans="1:12" ht="18.75" x14ac:dyDescent="0.3">
      <c r="A18" s="151"/>
      <c r="B18" s="151"/>
      <c r="I18" s="212">
        <v>360</v>
      </c>
      <c r="J18" s="212">
        <v>25</v>
      </c>
      <c r="K18" s="212">
        <f>I18/J18</f>
        <v>14.4</v>
      </c>
      <c r="L18" s="143" t="s">
        <v>299</v>
      </c>
    </row>
    <row r="19" spans="1:12" ht="18.75" x14ac:dyDescent="0.3">
      <c r="A19" s="151"/>
      <c r="B19" s="151"/>
      <c r="I19" s="212">
        <v>360</v>
      </c>
      <c r="J19" s="212">
        <v>25</v>
      </c>
      <c r="K19" s="212">
        <f>I19/J19</f>
        <v>14.4</v>
      </c>
      <c r="L19" s="143" t="s">
        <v>300</v>
      </c>
    </row>
    <row r="20" spans="1:12" ht="18.75" x14ac:dyDescent="0.3">
      <c r="A20" s="151"/>
      <c r="B20" s="151"/>
      <c r="I20" s="213"/>
      <c r="J20" s="213"/>
      <c r="K20" s="213"/>
    </row>
    <row r="21" spans="1:12" ht="18.75" x14ac:dyDescent="0.3">
      <c r="A21" s="151"/>
      <c r="B21" s="151"/>
      <c r="I21" s="447" t="s">
        <v>292</v>
      </c>
      <c r="J21" s="448"/>
      <c r="K21" s="449"/>
    </row>
    <row r="22" spans="1:12" ht="18.75" x14ac:dyDescent="0.3">
      <c r="A22" s="151" t="s">
        <v>302</v>
      </c>
      <c r="B22" s="151" t="s">
        <v>303</v>
      </c>
      <c r="I22" s="212" t="s">
        <v>294</v>
      </c>
      <c r="J22" s="212" t="s">
        <v>295</v>
      </c>
      <c r="K22" s="212" t="s">
        <v>296</v>
      </c>
    </row>
    <row r="23" spans="1:12" x14ac:dyDescent="0.25">
      <c r="I23" s="212">
        <v>60</v>
      </c>
      <c r="J23" s="212">
        <v>25</v>
      </c>
      <c r="K23" s="212">
        <f>I23/J23</f>
        <v>2.4</v>
      </c>
      <c r="L23" s="143" t="s">
        <v>298</v>
      </c>
    </row>
    <row r="24" spans="1:12" x14ac:dyDescent="0.25">
      <c r="I24" s="212">
        <v>60</v>
      </c>
      <c r="J24" s="212">
        <v>25</v>
      </c>
      <c r="K24" s="212">
        <f>I24/J24</f>
        <v>2.4</v>
      </c>
      <c r="L24" s="143" t="s">
        <v>299</v>
      </c>
    </row>
    <row r="25" spans="1:12" x14ac:dyDescent="0.25">
      <c r="I25" s="212">
        <v>60</v>
      </c>
      <c r="J25" s="212">
        <v>25</v>
      </c>
      <c r="K25" s="212">
        <f>I25/J25</f>
        <v>2.4</v>
      </c>
      <c r="L25" s="143" t="s">
        <v>300</v>
      </c>
    </row>
    <row r="26" spans="1:12" x14ac:dyDescent="0.25">
      <c r="I26" s="213"/>
      <c r="J26" s="213"/>
      <c r="K26" s="213"/>
    </row>
    <row r="27" spans="1:12" ht="18.75" x14ac:dyDescent="0.25">
      <c r="I27" s="447" t="s">
        <v>292</v>
      </c>
      <c r="J27" s="448"/>
      <c r="K27" s="449"/>
    </row>
    <row r="28" spans="1:12" ht="18.75" x14ac:dyDescent="0.3">
      <c r="A28" s="151" t="s">
        <v>302</v>
      </c>
      <c r="B28" s="151" t="s">
        <v>304</v>
      </c>
      <c r="I28" s="212" t="s">
        <v>294</v>
      </c>
      <c r="J28" s="212" t="s">
        <v>295</v>
      </c>
      <c r="K28" s="212" t="s">
        <v>296</v>
      </c>
    </row>
    <row r="29" spans="1:12" x14ac:dyDescent="0.25">
      <c r="I29" s="212">
        <v>120</v>
      </c>
      <c r="J29" s="212">
        <v>25</v>
      </c>
      <c r="K29" s="212">
        <f>I29/J29</f>
        <v>4.8</v>
      </c>
      <c r="L29" s="143" t="s">
        <v>298</v>
      </c>
    </row>
    <row r="30" spans="1:12" x14ac:dyDescent="0.25">
      <c r="I30" s="212">
        <v>120</v>
      </c>
      <c r="J30" s="212">
        <v>25</v>
      </c>
      <c r="K30" s="212">
        <f>I30/J30</f>
        <v>4.8</v>
      </c>
      <c r="L30" s="143" t="s">
        <v>299</v>
      </c>
    </row>
    <row r="31" spans="1:12" x14ac:dyDescent="0.25">
      <c r="I31" s="212">
        <v>120</v>
      </c>
      <c r="J31" s="212">
        <v>25</v>
      </c>
      <c r="K31" s="212">
        <f>I31/J31</f>
        <v>4.8</v>
      </c>
      <c r="L31" s="143" t="s">
        <v>300</v>
      </c>
    </row>
  </sheetData>
  <mergeCells count="13">
    <mergeCell ref="I9:K9"/>
    <mergeCell ref="I15:K15"/>
    <mergeCell ref="I21:K21"/>
    <mergeCell ref="I27:K27"/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6600"/>
  </sheetPr>
  <dimension ref="A1:AB69"/>
  <sheetViews>
    <sheetView topLeftCell="B1" workbookViewId="0">
      <selection activeCell="D63" sqref="D63"/>
    </sheetView>
  </sheetViews>
  <sheetFormatPr baseColWidth="10" defaultRowHeight="15" x14ac:dyDescent="0.25"/>
  <cols>
    <col min="1" max="1" width="11.42578125" style="143"/>
    <col min="2" max="2" width="60.85546875" style="143" customWidth="1"/>
    <col min="3" max="3" width="12.28515625" style="143" customWidth="1"/>
    <col min="4" max="4" width="15.5703125" style="143" customWidth="1"/>
    <col min="5" max="7" width="13" style="143" customWidth="1"/>
    <col min="8" max="11" width="11.42578125" style="143" customWidth="1"/>
    <col min="12" max="12" width="12" style="143" customWidth="1"/>
    <col min="13" max="15" width="11.42578125" style="143" customWidth="1"/>
    <col min="16" max="16384" width="11.42578125" style="143"/>
  </cols>
  <sheetData>
    <row r="1" spans="1:28" ht="15.75" x14ac:dyDescent="0.25">
      <c r="A1" s="452" t="s">
        <v>257</v>
      </c>
      <c r="B1" s="452"/>
      <c r="C1" s="452"/>
      <c r="D1" s="452"/>
      <c r="E1" s="452"/>
      <c r="F1" s="158"/>
      <c r="G1" s="158"/>
      <c r="H1" s="158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8" x14ac:dyDescent="0.25">
      <c r="A2" s="450" t="s">
        <v>258</v>
      </c>
      <c r="B2" s="450" t="s">
        <v>259</v>
      </c>
      <c r="C2" s="451" t="s">
        <v>260</v>
      </c>
      <c r="D2" s="453" t="s">
        <v>261</v>
      </c>
      <c r="E2" s="454"/>
      <c r="F2" s="455"/>
      <c r="G2" s="160" t="s">
        <v>262</v>
      </c>
      <c r="H2" s="160" t="s">
        <v>263</v>
      </c>
      <c r="I2" s="160" t="s">
        <v>264</v>
      </c>
      <c r="J2" s="160" t="s">
        <v>265</v>
      </c>
      <c r="K2" s="160" t="s">
        <v>266</v>
      </c>
      <c r="L2" s="160" t="s">
        <v>267</v>
      </c>
      <c r="M2" s="160" t="s">
        <v>268</v>
      </c>
      <c r="N2" s="160" t="s">
        <v>269</v>
      </c>
      <c r="O2" s="160" t="s">
        <v>270</v>
      </c>
      <c r="P2" s="160" t="s">
        <v>271</v>
      </c>
      <c r="Q2" s="160" t="s">
        <v>272</v>
      </c>
      <c r="R2" s="160" t="s">
        <v>273</v>
      </c>
      <c r="S2" s="160" t="s">
        <v>274</v>
      </c>
      <c r="T2" s="160" t="s">
        <v>275</v>
      </c>
      <c r="U2" s="160" t="s">
        <v>276</v>
      </c>
      <c r="V2" s="160" t="s">
        <v>277</v>
      </c>
      <c r="X2" s="159"/>
      <c r="Y2" s="159"/>
      <c r="Z2" s="159"/>
      <c r="AA2" s="159"/>
      <c r="AB2" s="159"/>
    </row>
    <row r="3" spans="1:28" x14ac:dyDescent="0.25">
      <c r="A3" s="450"/>
      <c r="B3" s="450"/>
      <c r="C3" s="451"/>
      <c r="D3" s="456"/>
      <c r="E3" s="457"/>
      <c r="F3" s="458"/>
      <c r="G3" s="160" t="s">
        <v>278</v>
      </c>
      <c r="H3" s="160" t="s">
        <v>278</v>
      </c>
      <c r="I3" s="160" t="s">
        <v>279</v>
      </c>
      <c r="J3" s="160" t="s">
        <v>280</v>
      </c>
      <c r="K3" s="160" t="s">
        <v>278</v>
      </c>
      <c r="L3" s="160" t="s">
        <v>280</v>
      </c>
      <c r="M3" s="160" t="s">
        <v>279</v>
      </c>
      <c r="N3" s="160" t="s">
        <v>280</v>
      </c>
      <c r="O3" s="160" t="s">
        <v>280</v>
      </c>
      <c r="P3" s="160" t="s">
        <v>280</v>
      </c>
      <c r="Q3" s="160" t="s">
        <v>279</v>
      </c>
      <c r="R3" s="160" t="s">
        <v>280</v>
      </c>
      <c r="S3" s="160" t="s">
        <v>278</v>
      </c>
      <c r="T3" s="160" t="s">
        <v>278</v>
      </c>
      <c r="U3" s="160" t="s">
        <v>278</v>
      </c>
      <c r="V3" s="160" t="s">
        <v>280</v>
      </c>
      <c r="X3" s="159"/>
      <c r="Y3" s="159"/>
      <c r="Z3" s="159"/>
      <c r="AA3" s="159"/>
      <c r="AB3" s="159"/>
    </row>
    <row r="4" spans="1:28" x14ac:dyDescent="0.25">
      <c r="A4" s="450"/>
      <c r="B4" s="450"/>
      <c r="C4" s="451"/>
      <c r="D4" s="456"/>
      <c r="E4" s="457"/>
      <c r="F4" s="458"/>
      <c r="G4" s="160" t="s">
        <v>96</v>
      </c>
      <c r="H4" s="160" t="s">
        <v>96</v>
      </c>
      <c r="I4" s="160" t="s">
        <v>96</v>
      </c>
      <c r="J4" s="160" t="s">
        <v>96</v>
      </c>
      <c r="K4" s="160" t="s">
        <v>96</v>
      </c>
      <c r="L4" s="160" t="s">
        <v>96</v>
      </c>
      <c r="M4" s="160" t="s">
        <v>96</v>
      </c>
      <c r="N4" s="160" t="s">
        <v>96</v>
      </c>
      <c r="O4" s="160" t="s">
        <v>96</v>
      </c>
      <c r="P4" s="160" t="s">
        <v>96</v>
      </c>
      <c r="Q4" s="160" t="s">
        <v>96</v>
      </c>
      <c r="R4" s="160" t="s">
        <v>96</v>
      </c>
      <c r="S4" s="160" t="s">
        <v>96</v>
      </c>
      <c r="T4" s="160" t="s">
        <v>96</v>
      </c>
      <c r="U4" s="160" t="s">
        <v>96</v>
      </c>
      <c r="V4" s="160" t="s">
        <v>96</v>
      </c>
      <c r="X4" s="159"/>
      <c r="Y4" s="159"/>
      <c r="Z4" s="159"/>
      <c r="AA4" s="159"/>
      <c r="AB4" s="159"/>
    </row>
    <row r="5" spans="1:28" x14ac:dyDescent="0.25">
      <c r="A5" s="450"/>
      <c r="B5" s="450"/>
      <c r="C5" s="451"/>
      <c r="D5" s="459"/>
      <c r="E5" s="460"/>
      <c r="F5" s="461"/>
      <c r="G5" s="160">
        <v>21</v>
      </c>
      <c r="H5" s="160">
        <f>[2]OT!O8</f>
        <v>27</v>
      </c>
      <c r="I5" s="160">
        <v>27</v>
      </c>
      <c r="J5" s="160">
        <f>[2]OT!O12</f>
        <v>54</v>
      </c>
      <c r="K5" s="160">
        <v>21</v>
      </c>
      <c r="L5" s="160">
        <v>24</v>
      </c>
      <c r="M5" s="160">
        <v>26</v>
      </c>
      <c r="N5" s="160">
        <v>28</v>
      </c>
      <c r="O5" s="160">
        <v>17</v>
      </c>
      <c r="P5" s="160">
        <v>14</v>
      </c>
      <c r="Q5" s="160">
        <v>34</v>
      </c>
      <c r="R5" s="160">
        <v>22</v>
      </c>
      <c r="S5" s="160">
        <v>23</v>
      </c>
      <c r="T5" s="160">
        <v>29</v>
      </c>
      <c r="U5" s="160">
        <v>51</v>
      </c>
      <c r="V5" s="160">
        <v>27</v>
      </c>
      <c r="X5" s="159"/>
      <c r="Y5" s="159"/>
      <c r="Z5" s="159"/>
      <c r="AA5" s="159"/>
      <c r="AB5" s="159"/>
    </row>
    <row r="6" spans="1:28" x14ac:dyDescent="0.25">
      <c r="A6" s="450"/>
      <c r="B6" s="450"/>
      <c r="C6" s="451"/>
      <c r="D6" s="161" t="s">
        <v>279</v>
      </c>
      <c r="E6" s="162" t="s">
        <v>280</v>
      </c>
      <c r="F6" s="163" t="s">
        <v>278</v>
      </c>
      <c r="G6" s="160" t="s">
        <v>281</v>
      </c>
      <c r="H6" s="160" t="s">
        <v>281</v>
      </c>
      <c r="I6" s="160" t="s">
        <v>281</v>
      </c>
      <c r="J6" s="160" t="s">
        <v>281</v>
      </c>
      <c r="K6" s="160" t="s">
        <v>281</v>
      </c>
      <c r="L6" s="160" t="s">
        <v>281</v>
      </c>
      <c r="M6" s="160" t="s">
        <v>281</v>
      </c>
      <c r="N6" s="160" t="s">
        <v>281</v>
      </c>
      <c r="O6" s="160" t="s">
        <v>281</v>
      </c>
      <c r="P6" s="160" t="s">
        <v>281</v>
      </c>
      <c r="Q6" s="160" t="s">
        <v>281</v>
      </c>
      <c r="R6" s="160" t="s">
        <v>281</v>
      </c>
      <c r="S6" s="160" t="s">
        <v>281</v>
      </c>
      <c r="T6" s="160" t="s">
        <v>281</v>
      </c>
      <c r="U6" s="160" t="s">
        <v>281</v>
      </c>
      <c r="V6" s="160" t="s">
        <v>281</v>
      </c>
      <c r="X6" s="159"/>
      <c r="Y6" s="159"/>
      <c r="Z6" s="159"/>
      <c r="AA6" s="159"/>
      <c r="AB6" s="159"/>
    </row>
    <row r="7" spans="1:28" x14ac:dyDescent="0.25">
      <c r="A7" s="145" t="str">
        <f>[2]Maestro_Materiales!A3</f>
        <v>MD01</v>
      </c>
      <c r="B7" s="164" t="str">
        <f>[2]Maestro_Materiales!B3</f>
        <v>Bolsas para empaquetado</v>
      </c>
      <c r="C7" s="165" t="str">
        <f>[2]Maestro_Materiales!K3</f>
        <v xml:space="preserve">unidad </v>
      </c>
      <c r="D7" s="166">
        <v>1</v>
      </c>
      <c r="E7" s="144">
        <v>1</v>
      </c>
      <c r="F7" s="167">
        <v>1</v>
      </c>
      <c r="G7" s="168">
        <f>HLOOKUP($G$3,$D$6:$F$19,ROW(G2),0)*$G$5</f>
        <v>21</v>
      </c>
      <c r="H7" s="168">
        <f>HLOOKUP($H$3,$D$6:$F$19,ROW(H2),0)*$H$5</f>
        <v>27</v>
      </c>
      <c r="I7" s="168">
        <f>HLOOKUP($I$3,$D$6:$F$19,ROW(I2),0)*$I$5</f>
        <v>27</v>
      </c>
      <c r="J7" s="168">
        <f>HLOOKUP($J$3,$D$6:$F$19,ROW(J2),0)*J$5</f>
        <v>54</v>
      </c>
      <c r="K7" s="168">
        <f>HLOOKUP($J$3,$D$6:$F$19,ROW(K2),0)*K$5</f>
        <v>21</v>
      </c>
      <c r="L7" s="168">
        <f>HLOOKUP($J$3,$D$6:$F$19,ROW(L2),0)*L$5</f>
        <v>24</v>
      </c>
      <c r="M7" s="168">
        <f t="shared" ref="M7:V7" si="0">HLOOKUP($J$3,$D$6:$F$19,ROW(M2),0)*M$5</f>
        <v>26</v>
      </c>
      <c r="N7" s="168">
        <f t="shared" si="0"/>
        <v>28</v>
      </c>
      <c r="O7" s="168">
        <f t="shared" si="0"/>
        <v>17</v>
      </c>
      <c r="P7" s="168">
        <f t="shared" si="0"/>
        <v>14</v>
      </c>
      <c r="Q7" s="168">
        <f t="shared" si="0"/>
        <v>34</v>
      </c>
      <c r="R7" s="168">
        <f t="shared" si="0"/>
        <v>22</v>
      </c>
      <c r="S7" s="168">
        <f t="shared" si="0"/>
        <v>23</v>
      </c>
      <c r="T7" s="168">
        <f t="shared" si="0"/>
        <v>29</v>
      </c>
      <c r="U7" s="168">
        <f t="shared" si="0"/>
        <v>51</v>
      </c>
      <c r="V7" s="168">
        <f t="shared" si="0"/>
        <v>27</v>
      </c>
      <c r="X7" s="159"/>
      <c r="Y7" s="159"/>
      <c r="Z7" s="159"/>
      <c r="AA7" s="159"/>
      <c r="AB7" s="159"/>
    </row>
    <row r="8" spans="1:28" s="236" customFormat="1" x14ac:dyDescent="0.25">
      <c r="A8" s="169" t="str">
        <f>[2]Maestro_Materiales!A4</f>
        <v>MD02</v>
      </c>
      <c r="B8" s="170" t="str">
        <f>[2]Maestro_Materiales!B4</f>
        <v>Broches</v>
      </c>
      <c r="C8" s="171" t="str">
        <f>[2]Maestro_Materiales!K4</f>
        <v xml:space="preserve">unidad </v>
      </c>
      <c r="D8" s="172"/>
      <c r="E8" s="173"/>
      <c r="F8" s="174">
        <v>8</v>
      </c>
      <c r="G8" s="175">
        <f t="shared" ref="G8:G19" si="1">HLOOKUP(G$3,$D$6:$F$19,ROW(G3),0)*G$5</f>
        <v>168</v>
      </c>
      <c r="H8" s="175">
        <f t="shared" ref="H8:V19" si="2">HLOOKUP(H$3,$D$6:$F$19,ROW(H3),0)*H$5</f>
        <v>216</v>
      </c>
      <c r="I8" s="175">
        <f t="shared" si="2"/>
        <v>0</v>
      </c>
      <c r="J8" s="175">
        <f>HLOOKUP(J$3,$D$6:$F$19,ROW(J3),0)*J$5</f>
        <v>0</v>
      </c>
      <c r="K8" s="175">
        <f t="shared" si="2"/>
        <v>168</v>
      </c>
      <c r="L8" s="175">
        <f t="shared" si="2"/>
        <v>0</v>
      </c>
      <c r="M8" s="175">
        <f t="shared" si="2"/>
        <v>0</v>
      </c>
      <c r="N8" s="175">
        <f t="shared" si="2"/>
        <v>0</v>
      </c>
      <c r="O8" s="175">
        <f t="shared" si="2"/>
        <v>0</v>
      </c>
      <c r="P8" s="175">
        <f t="shared" si="2"/>
        <v>0</v>
      </c>
      <c r="Q8" s="175">
        <f t="shared" si="2"/>
        <v>0</v>
      </c>
      <c r="R8" s="175">
        <f t="shared" si="2"/>
        <v>0</v>
      </c>
      <c r="S8" s="175">
        <f t="shared" si="2"/>
        <v>184</v>
      </c>
      <c r="T8" s="175">
        <f t="shared" si="2"/>
        <v>232</v>
      </c>
      <c r="U8" s="175">
        <f t="shared" si="2"/>
        <v>408</v>
      </c>
      <c r="V8" s="175">
        <f t="shared" si="2"/>
        <v>0</v>
      </c>
      <c r="X8" s="237"/>
      <c r="Y8" s="237"/>
      <c r="Z8" s="237"/>
      <c r="AA8" s="237"/>
      <c r="AB8" s="237"/>
    </row>
    <row r="9" spans="1:28" s="236" customFormat="1" x14ac:dyDescent="0.25">
      <c r="A9" s="169" t="str">
        <f>[2]Maestro_Materiales!A5</f>
        <v>MD03</v>
      </c>
      <c r="B9" s="170" t="str">
        <f>[2]Maestro_Materiales!B5</f>
        <v>Cierre</v>
      </c>
      <c r="C9" s="171" t="str">
        <f>[2]Maestro_Materiales!K5</f>
        <v xml:space="preserve">unidad </v>
      </c>
      <c r="D9" s="172"/>
      <c r="E9" s="173"/>
      <c r="F9" s="174">
        <v>1</v>
      </c>
      <c r="G9" s="175">
        <f t="shared" si="1"/>
        <v>21</v>
      </c>
      <c r="H9" s="175">
        <f t="shared" si="2"/>
        <v>27</v>
      </c>
      <c r="I9" s="175">
        <f t="shared" si="2"/>
        <v>0</v>
      </c>
      <c r="J9" s="175">
        <f t="shared" si="2"/>
        <v>0</v>
      </c>
      <c r="K9" s="175">
        <f t="shared" si="2"/>
        <v>21</v>
      </c>
      <c r="L9" s="175">
        <f t="shared" si="2"/>
        <v>0</v>
      </c>
      <c r="M9" s="175">
        <f t="shared" si="2"/>
        <v>0</v>
      </c>
      <c r="N9" s="175">
        <f t="shared" si="2"/>
        <v>0</v>
      </c>
      <c r="O9" s="175">
        <f t="shared" si="2"/>
        <v>0</v>
      </c>
      <c r="P9" s="175">
        <f t="shared" si="2"/>
        <v>0</v>
      </c>
      <c r="Q9" s="175">
        <f t="shared" si="2"/>
        <v>0</v>
      </c>
      <c r="R9" s="175">
        <f t="shared" si="2"/>
        <v>0</v>
      </c>
      <c r="S9" s="175">
        <f t="shared" si="2"/>
        <v>23</v>
      </c>
      <c r="T9" s="175">
        <f t="shared" si="2"/>
        <v>29</v>
      </c>
      <c r="U9" s="175">
        <f t="shared" si="2"/>
        <v>51</v>
      </c>
      <c r="V9" s="175">
        <f t="shared" si="2"/>
        <v>0</v>
      </c>
      <c r="X9" s="237"/>
      <c r="Y9" s="237"/>
      <c r="Z9" s="237"/>
      <c r="AA9" s="237"/>
      <c r="AB9" s="237"/>
    </row>
    <row r="10" spans="1:28" s="236" customFormat="1" x14ac:dyDescent="0.25">
      <c r="A10" s="145" t="str">
        <f>[2]Maestro_Materiales!A6</f>
        <v>MD04</v>
      </c>
      <c r="B10" s="164" t="str">
        <f>[2]Maestro_Materiales!B6</f>
        <v>Etiqueta de la marca</v>
      </c>
      <c r="C10" s="165" t="str">
        <f>[2]Maestro_Materiales!K6</f>
        <v xml:space="preserve">unidad </v>
      </c>
      <c r="D10" s="166">
        <v>1</v>
      </c>
      <c r="E10" s="144">
        <v>1</v>
      </c>
      <c r="F10" s="167">
        <v>1</v>
      </c>
      <c r="G10" s="168">
        <f t="shared" si="1"/>
        <v>21</v>
      </c>
      <c r="H10" s="168">
        <f t="shared" si="2"/>
        <v>27</v>
      </c>
      <c r="I10" s="168">
        <f t="shared" si="2"/>
        <v>27</v>
      </c>
      <c r="J10" s="168">
        <f t="shared" si="2"/>
        <v>54</v>
      </c>
      <c r="K10" s="168">
        <f t="shared" si="2"/>
        <v>21</v>
      </c>
      <c r="L10" s="168">
        <f t="shared" si="2"/>
        <v>24</v>
      </c>
      <c r="M10" s="168">
        <f t="shared" si="2"/>
        <v>26</v>
      </c>
      <c r="N10" s="168">
        <f t="shared" si="2"/>
        <v>28</v>
      </c>
      <c r="O10" s="168">
        <f t="shared" si="2"/>
        <v>17</v>
      </c>
      <c r="P10" s="168">
        <f t="shared" si="2"/>
        <v>14</v>
      </c>
      <c r="Q10" s="168">
        <f t="shared" si="2"/>
        <v>34</v>
      </c>
      <c r="R10" s="168">
        <f t="shared" si="2"/>
        <v>22</v>
      </c>
      <c r="S10" s="168">
        <f t="shared" si="2"/>
        <v>23</v>
      </c>
      <c r="T10" s="168">
        <f t="shared" si="2"/>
        <v>29</v>
      </c>
      <c r="U10" s="168">
        <f t="shared" si="2"/>
        <v>51</v>
      </c>
      <c r="V10" s="168">
        <f t="shared" si="2"/>
        <v>27</v>
      </c>
      <c r="X10" s="237"/>
      <c r="Y10" s="237"/>
      <c r="Z10" s="237"/>
      <c r="AA10" s="237"/>
      <c r="AB10" s="237"/>
    </row>
    <row r="11" spans="1:28" s="236" customFormat="1" x14ac:dyDescent="0.25">
      <c r="A11" s="145" t="str">
        <f>[2]Maestro_Materiales!A7</f>
        <v>MD05</v>
      </c>
      <c r="B11" s="164" t="str">
        <f>[2]Maestro_Materiales!B7</f>
        <v>Etiqueta de los nombre</v>
      </c>
      <c r="C11" s="165" t="str">
        <f>[2]Maestro_Materiales!K7</f>
        <v xml:space="preserve">unidad </v>
      </c>
      <c r="D11" s="166">
        <v>1</v>
      </c>
      <c r="E11" s="144">
        <v>1</v>
      </c>
      <c r="F11" s="167">
        <v>1</v>
      </c>
      <c r="G11" s="168">
        <f t="shared" si="1"/>
        <v>21</v>
      </c>
      <c r="H11" s="168">
        <f t="shared" si="2"/>
        <v>27</v>
      </c>
      <c r="I11" s="168">
        <f t="shared" si="2"/>
        <v>27</v>
      </c>
      <c r="J11" s="168">
        <f t="shared" si="2"/>
        <v>54</v>
      </c>
      <c r="K11" s="168">
        <f t="shared" si="2"/>
        <v>21</v>
      </c>
      <c r="L11" s="168">
        <f t="shared" si="2"/>
        <v>24</v>
      </c>
      <c r="M11" s="168">
        <f t="shared" si="2"/>
        <v>26</v>
      </c>
      <c r="N11" s="168">
        <f t="shared" si="2"/>
        <v>28</v>
      </c>
      <c r="O11" s="168">
        <f t="shared" si="2"/>
        <v>17</v>
      </c>
      <c r="P11" s="168">
        <f t="shared" si="2"/>
        <v>14</v>
      </c>
      <c r="Q11" s="168">
        <f t="shared" si="2"/>
        <v>34</v>
      </c>
      <c r="R11" s="168">
        <f t="shared" si="2"/>
        <v>22</v>
      </c>
      <c r="S11" s="168">
        <f t="shared" si="2"/>
        <v>23</v>
      </c>
      <c r="T11" s="168">
        <f t="shared" si="2"/>
        <v>29</v>
      </c>
      <c r="U11" s="168">
        <f t="shared" si="2"/>
        <v>51</v>
      </c>
      <c r="V11" s="168">
        <f t="shared" si="2"/>
        <v>27</v>
      </c>
      <c r="X11" s="237"/>
      <c r="Y11" s="237"/>
      <c r="Z11" s="237"/>
      <c r="AA11" s="237"/>
      <c r="AB11" s="237"/>
    </row>
    <row r="12" spans="1:28" s="236" customFormat="1" x14ac:dyDescent="0.25">
      <c r="A12" s="145" t="str">
        <f>[2]Maestro_Materiales!A8</f>
        <v>MD06</v>
      </c>
      <c r="B12" s="164" t="str">
        <f>[2]Maestro_Materiales!B8</f>
        <v>Etiqueta de los piezas (Etiquetas de Transferencia Térmica)</v>
      </c>
      <c r="C12" s="165" t="str">
        <f>[2]Maestro_Materiales!K8</f>
        <v xml:space="preserve">unidad </v>
      </c>
      <c r="D12" s="166">
        <v>4</v>
      </c>
      <c r="E12" s="144">
        <v>6</v>
      </c>
      <c r="F12" s="167">
        <v>6</v>
      </c>
      <c r="G12" s="168">
        <f t="shared" si="1"/>
        <v>126</v>
      </c>
      <c r="H12" s="168">
        <f t="shared" si="2"/>
        <v>162</v>
      </c>
      <c r="I12" s="168">
        <f t="shared" si="2"/>
        <v>108</v>
      </c>
      <c r="J12" s="168">
        <f t="shared" si="2"/>
        <v>324</v>
      </c>
      <c r="K12" s="168">
        <f t="shared" si="2"/>
        <v>126</v>
      </c>
      <c r="L12" s="168">
        <f t="shared" si="2"/>
        <v>144</v>
      </c>
      <c r="M12" s="168">
        <f t="shared" si="2"/>
        <v>104</v>
      </c>
      <c r="N12" s="168">
        <f t="shared" si="2"/>
        <v>168</v>
      </c>
      <c r="O12" s="168">
        <f t="shared" si="2"/>
        <v>102</v>
      </c>
      <c r="P12" s="168">
        <f t="shared" si="2"/>
        <v>84</v>
      </c>
      <c r="Q12" s="168">
        <f t="shared" si="2"/>
        <v>136</v>
      </c>
      <c r="R12" s="168">
        <f t="shared" si="2"/>
        <v>132</v>
      </c>
      <c r="S12" s="168">
        <f t="shared" si="2"/>
        <v>138</v>
      </c>
      <c r="T12" s="168">
        <f t="shared" si="2"/>
        <v>174</v>
      </c>
      <c r="U12" s="168">
        <f t="shared" si="2"/>
        <v>306</v>
      </c>
      <c r="V12" s="168">
        <f t="shared" si="2"/>
        <v>162</v>
      </c>
      <c r="X12" s="237"/>
      <c r="Y12" s="237"/>
      <c r="Z12" s="237"/>
      <c r="AA12" s="237"/>
      <c r="AB12" s="237"/>
    </row>
    <row r="13" spans="1:28" s="236" customFormat="1" x14ac:dyDescent="0.25">
      <c r="A13" s="145" t="str">
        <f>[2]Maestro_Materiales!A9</f>
        <v>MD07</v>
      </c>
      <c r="B13" s="164" t="str">
        <f>[2]Maestro_Materiales!B9</f>
        <v>Hilo de costura</v>
      </c>
      <c r="C13" s="165" t="str">
        <f>[2]Maestro_Materiales!K9</f>
        <v xml:space="preserve">unidad </v>
      </c>
      <c r="D13" s="166">
        <v>0.2</v>
      </c>
      <c r="E13" s="144">
        <v>0.2</v>
      </c>
      <c r="F13" s="167">
        <v>0.2</v>
      </c>
      <c r="G13" s="168">
        <f t="shared" si="1"/>
        <v>4.2</v>
      </c>
      <c r="H13" s="168">
        <f t="shared" si="2"/>
        <v>5.4</v>
      </c>
      <c r="I13" s="168">
        <f t="shared" si="2"/>
        <v>5.4</v>
      </c>
      <c r="J13" s="168">
        <f t="shared" si="2"/>
        <v>10.8</v>
      </c>
      <c r="K13" s="168">
        <f t="shared" si="2"/>
        <v>4.2</v>
      </c>
      <c r="L13" s="168">
        <f t="shared" si="2"/>
        <v>4.8000000000000007</v>
      </c>
      <c r="M13" s="168">
        <f t="shared" si="2"/>
        <v>5.2</v>
      </c>
      <c r="N13" s="168">
        <f t="shared" si="2"/>
        <v>5.6000000000000005</v>
      </c>
      <c r="O13" s="168">
        <f t="shared" si="2"/>
        <v>3.4000000000000004</v>
      </c>
      <c r="P13" s="168">
        <f t="shared" si="2"/>
        <v>2.8000000000000003</v>
      </c>
      <c r="Q13" s="168">
        <f t="shared" si="2"/>
        <v>6.8000000000000007</v>
      </c>
      <c r="R13" s="168">
        <f t="shared" si="2"/>
        <v>4.4000000000000004</v>
      </c>
      <c r="S13" s="168">
        <f t="shared" si="2"/>
        <v>4.6000000000000005</v>
      </c>
      <c r="T13" s="168">
        <f t="shared" si="2"/>
        <v>5.8000000000000007</v>
      </c>
      <c r="U13" s="168">
        <f t="shared" si="2"/>
        <v>10.200000000000001</v>
      </c>
      <c r="V13" s="168">
        <f t="shared" si="2"/>
        <v>5.4</v>
      </c>
      <c r="X13" s="237"/>
      <c r="Y13" s="237"/>
      <c r="Z13" s="237"/>
      <c r="AA13" s="237"/>
      <c r="AB13" s="237"/>
    </row>
    <row r="14" spans="1:28" s="236" customFormat="1" x14ac:dyDescent="0.25">
      <c r="A14" s="145" t="str">
        <f>[2]Maestro_Materiales!A10</f>
        <v>MD08</v>
      </c>
      <c r="B14" s="164" t="str">
        <f>[2]Maestro_Materiales!B10</f>
        <v>Hilo pasador</v>
      </c>
      <c r="C14" s="165" t="str">
        <f>[2]Maestro_Materiales!K10</f>
        <v xml:space="preserve">unidad </v>
      </c>
      <c r="D14" s="176"/>
      <c r="E14" s="177">
        <f>5/20</f>
        <v>0.25</v>
      </c>
      <c r="F14" s="178"/>
      <c r="G14" s="168">
        <f t="shared" si="1"/>
        <v>0</v>
      </c>
      <c r="H14" s="168">
        <f t="shared" si="2"/>
        <v>0</v>
      </c>
      <c r="I14" s="168">
        <f t="shared" si="2"/>
        <v>0</v>
      </c>
      <c r="J14" s="168">
        <f t="shared" si="2"/>
        <v>13.5</v>
      </c>
      <c r="K14" s="168">
        <f t="shared" si="2"/>
        <v>0</v>
      </c>
      <c r="L14" s="168">
        <f t="shared" si="2"/>
        <v>6</v>
      </c>
      <c r="M14" s="168">
        <f t="shared" si="2"/>
        <v>0</v>
      </c>
      <c r="N14" s="168">
        <f t="shared" si="2"/>
        <v>7</v>
      </c>
      <c r="O14" s="168">
        <f t="shared" si="2"/>
        <v>4.25</v>
      </c>
      <c r="P14" s="168">
        <f t="shared" si="2"/>
        <v>3.5</v>
      </c>
      <c r="Q14" s="168">
        <f t="shared" si="2"/>
        <v>0</v>
      </c>
      <c r="R14" s="168">
        <f t="shared" si="2"/>
        <v>5.5</v>
      </c>
      <c r="S14" s="168">
        <f t="shared" si="2"/>
        <v>0</v>
      </c>
      <c r="T14" s="168">
        <f t="shared" si="2"/>
        <v>0</v>
      </c>
      <c r="U14" s="168">
        <f t="shared" si="2"/>
        <v>0</v>
      </c>
      <c r="V14" s="168">
        <f t="shared" si="2"/>
        <v>6.75</v>
      </c>
      <c r="X14" s="237"/>
      <c r="Y14" s="237"/>
      <c r="Z14" s="237"/>
      <c r="AA14" s="237"/>
      <c r="AB14" s="237"/>
    </row>
    <row r="15" spans="1:28" s="236" customFormat="1" x14ac:dyDescent="0.25">
      <c r="A15" s="145" t="str">
        <f>[2]Maestro_Materiales!A11</f>
        <v>MD09</v>
      </c>
      <c r="B15" s="164" t="str">
        <f>[2]Maestro_Materiales!B11</f>
        <v>Rib</v>
      </c>
      <c r="C15" s="165" t="str">
        <f>[2]Maestro_Materiales!K11</f>
        <v>metro</v>
      </c>
      <c r="D15" s="166">
        <v>0.15</v>
      </c>
      <c r="E15" s="166">
        <v>0.15</v>
      </c>
      <c r="F15" s="167">
        <v>0.15</v>
      </c>
      <c r="G15" s="168">
        <f t="shared" si="1"/>
        <v>3.15</v>
      </c>
      <c r="H15" s="168">
        <f t="shared" si="2"/>
        <v>4.05</v>
      </c>
      <c r="I15" s="168">
        <f t="shared" si="2"/>
        <v>4.05</v>
      </c>
      <c r="J15" s="168">
        <f t="shared" si="2"/>
        <v>8.1</v>
      </c>
      <c r="K15" s="168">
        <f t="shared" si="2"/>
        <v>3.15</v>
      </c>
      <c r="L15" s="168">
        <f t="shared" si="2"/>
        <v>3.5999999999999996</v>
      </c>
      <c r="M15" s="168">
        <f t="shared" si="2"/>
        <v>3.9</v>
      </c>
      <c r="N15" s="168">
        <f t="shared" si="2"/>
        <v>4.2</v>
      </c>
      <c r="O15" s="168">
        <f t="shared" si="2"/>
        <v>2.5499999999999998</v>
      </c>
      <c r="P15" s="168">
        <f t="shared" si="2"/>
        <v>2.1</v>
      </c>
      <c r="Q15" s="168">
        <f t="shared" si="2"/>
        <v>5.0999999999999996</v>
      </c>
      <c r="R15" s="168">
        <f t="shared" si="2"/>
        <v>3.3</v>
      </c>
      <c r="S15" s="168">
        <f t="shared" si="2"/>
        <v>3.4499999999999997</v>
      </c>
      <c r="T15" s="168">
        <f t="shared" si="2"/>
        <v>4.3499999999999996</v>
      </c>
      <c r="U15" s="168">
        <f t="shared" si="2"/>
        <v>7.6499999999999995</v>
      </c>
      <c r="V15" s="168">
        <f t="shared" si="2"/>
        <v>4.05</v>
      </c>
      <c r="X15" s="237"/>
      <c r="Y15" s="237"/>
      <c r="Z15" s="237"/>
      <c r="AA15" s="237"/>
      <c r="AB15" s="237"/>
    </row>
    <row r="16" spans="1:28" s="236" customFormat="1" x14ac:dyDescent="0.25">
      <c r="A16" s="179" t="str">
        <f>[2]Maestro_Materiales!A12</f>
        <v>MD10</v>
      </c>
      <c r="B16" s="180" t="str">
        <f>[2]Maestro_Materiales!B12</f>
        <v>Franela Perchada 24/1</v>
      </c>
      <c r="C16" s="181" t="str">
        <f>[2]Maestro_Materiales!K12</f>
        <v>metro</v>
      </c>
      <c r="D16" s="182"/>
      <c r="E16" s="183">
        <f>34/25</f>
        <v>1.36</v>
      </c>
      <c r="F16" s="184">
        <f>34/25</f>
        <v>1.36</v>
      </c>
      <c r="G16" s="185">
        <f t="shared" si="1"/>
        <v>28.560000000000002</v>
      </c>
      <c r="H16" s="185">
        <f t="shared" si="2"/>
        <v>36.720000000000006</v>
      </c>
      <c r="I16" s="185">
        <f t="shared" si="2"/>
        <v>0</v>
      </c>
      <c r="J16" s="185">
        <f t="shared" si="2"/>
        <v>73.440000000000012</v>
      </c>
      <c r="K16" s="185">
        <f t="shared" si="2"/>
        <v>28.560000000000002</v>
      </c>
      <c r="L16" s="185">
        <f t="shared" si="2"/>
        <v>32.64</v>
      </c>
      <c r="M16" s="185">
        <f t="shared" si="2"/>
        <v>0</v>
      </c>
      <c r="N16" s="185">
        <f t="shared" si="2"/>
        <v>38.080000000000005</v>
      </c>
      <c r="O16" s="185">
        <f t="shared" si="2"/>
        <v>23.12</v>
      </c>
      <c r="P16" s="185">
        <f t="shared" si="2"/>
        <v>19.040000000000003</v>
      </c>
      <c r="Q16" s="185">
        <f t="shared" si="2"/>
        <v>0</v>
      </c>
      <c r="R16" s="185">
        <f t="shared" si="2"/>
        <v>29.92</v>
      </c>
      <c r="S16" s="185">
        <f t="shared" si="2"/>
        <v>31.28</v>
      </c>
      <c r="T16" s="185">
        <f t="shared" si="2"/>
        <v>39.440000000000005</v>
      </c>
      <c r="U16" s="185">
        <f t="shared" si="2"/>
        <v>69.36</v>
      </c>
      <c r="V16" s="185">
        <f t="shared" si="2"/>
        <v>36.720000000000006</v>
      </c>
      <c r="X16" s="237"/>
      <c r="Y16" s="237"/>
      <c r="Z16" s="237"/>
      <c r="AA16" s="237"/>
      <c r="AB16" s="237"/>
    </row>
    <row r="17" spans="1:28" s="236" customFormat="1" ht="14.25" customHeight="1" x14ac:dyDescent="0.25">
      <c r="A17" s="179" t="str">
        <f>[2]Maestro_Materiales!A13</f>
        <v>MD11</v>
      </c>
      <c r="B17" s="180" t="str">
        <f>[2]Maestro_Materiales!B13</f>
        <v>Frech Terry 24/1</v>
      </c>
      <c r="C17" s="181" t="str">
        <f>[2]Maestro_Materiales!K13</f>
        <v>metro</v>
      </c>
      <c r="D17" s="182"/>
      <c r="E17" s="183">
        <f>34/25</f>
        <v>1.36</v>
      </c>
      <c r="F17" s="184">
        <f>34/25</f>
        <v>1.36</v>
      </c>
      <c r="G17" s="185">
        <f t="shared" si="1"/>
        <v>28.560000000000002</v>
      </c>
      <c r="H17" s="185">
        <f t="shared" si="2"/>
        <v>36.720000000000006</v>
      </c>
      <c r="I17" s="185">
        <f t="shared" si="2"/>
        <v>0</v>
      </c>
      <c r="J17" s="185">
        <f t="shared" si="2"/>
        <v>73.440000000000012</v>
      </c>
      <c r="K17" s="185">
        <f t="shared" si="2"/>
        <v>28.560000000000002</v>
      </c>
      <c r="L17" s="185">
        <f t="shared" si="2"/>
        <v>32.64</v>
      </c>
      <c r="M17" s="185">
        <f t="shared" si="2"/>
        <v>0</v>
      </c>
      <c r="N17" s="185">
        <f t="shared" si="2"/>
        <v>38.080000000000005</v>
      </c>
      <c r="O17" s="185">
        <f t="shared" si="2"/>
        <v>23.12</v>
      </c>
      <c r="P17" s="185">
        <f t="shared" si="2"/>
        <v>19.040000000000003</v>
      </c>
      <c r="Q17" s="185">
        <f t="shared" si="2"/>
        <v>0</v>
      </c>
      <c r="R17" s="185">
        <f t="shared" si="2"/>
        <v>29.92</v>
      </c>
      <c r="S17" s="185">
        <f t="shared" si="2"/>
        <v>31.28</v>
      </c>
      <c r="T17" s="185">
        <f t="shared" si="2"/>
        <v>39.440000000000005</v>
      </c>
      <c r="U17" s="185">
        <f t="shared" si="2"/>
        <v>69.36</v>
      </c>
      <c r="V17" s="185">
        <f t="shared" si="2"/>
        <v>36.720000000000006</v>
      </c>
      <c r="X17" s="237"/>
      <c r="Y17" s="237"/>
      <c r="Z17" s="237"/>
      <c r="AA17" s="237"/>
      <c r="AB17" s="237"/>
    </row>
    <row r="18" spans="1:28" s="236" customFormat="1" x14ac:dyDescent="0.25">
      <c r="A18" s="186" t="str">
        <f>[2]Maestro_Materiales!A14</f>
        <v>MD12</v>
      </c>
      <c r="B18" s="187" t="str">
        <f>[2]Maestro_Materiales!B14</f>
        <v>Jersey 30/1</v>
      </c>
      <c r="C18" s="188" t="str">
        <f>[2]Maestro_Materiales!K14</f>
        <v>metro</v>
      </c>
      <c r="D18" s="189">
        <f>20/80</f>
        <v>0.25</v>
      </c>
      <c r="E18" s="190"/>
      <c r="F18" s="191"/>
      <c r="G18" s="192">
        <f t="shared" si="1"/>
        <v>0</v>
      </c>
      <c r="H18" s="192">
        <f t="shared" si="2"/>
        <v>0</v>
      </c>
      <c r="I18" s="192">
        <f t="shared" si="2"/>
        <v>6.75</v>
      </c>
      <c r="J18" s="192">
        <f t="shared" si="2"/>
        <v>0</v>
      </c>
      <c r="K18" s="192">
        <f t="shared" si="2"/>
        <v>0</v>
      </c>
      <c r="L18" s="192">
        <f t="shared" si="2"/>
        <v>0</v>
      </c>
      <c r="M18" s="192">
        <f t="shared" si="2"/>
        <v>6.5</v>
      </c>
      <c r="N18" s="192">
        <f t="shared" si="2"/>
        <v>0</v>
      </c>
      <c r="O18" s="192">
        <f t="shared" si="2"/>
        <v>0</v>
      </c>
      <c r="P18" s="192">
        <f t="shared" si="2"/>
        <v>0</v>
      </c>
      <c r="Q18" s="192">
        <f t="shared" si="2"/>
        <v>8.5</v>
      </c>
      <c r="R18" s="192">
        <f t="shared" si="2"/>
        <v>0</v>
      </c>
      <c r="S18" s="192">
        <f t="shared" si="2"/>
        <v>0</v>
      </c>
      <c r="T18" s="192">
        <f t="shared" si="2"/>
        <v>0</v>
      </c>
      <c r="U18" s="192">
        <f t="shared" si="2"/>
        <v>0</v>
      </c>
      <c r="V18" s="192">
        <f t="shared" si="2"/>
        <v>0</v>
      </c>
      <c r="X18" s="237"/>
      <c r="Y18" s="237"/>
      <c r="Z18" s="237"/>
      <c r="AA18" s="237"/>
      <c r="AB18" s="237"/>
    </row>
    <row r="19" spans="1:28" s="236" customFormat="1" x14ac:dyDescent="0.25">
      <c r="A19" s="186" t="str">
        <f>[2]Maestro_Materiales!A15</f>
        <v>MD13</v>
      </c>
      <c r="B19" s="187" t="str">
        <f>[2]Maestro_Materiales!B15</f>
        <v>Algodón tacto</v>
      </c>
      <c r="C19" s="188" t="str">
        <f>[2]Maestro_Materiales!K15</f>
        <v xml:space="preserve">unidad </v>
      </c>
      <c r="D19" s="189">
        <v>1.5</v>
      </c>
      <c r="E19" s="190"/>
      <c r="F19" s="191"/>
      <c r="G19" s="192">
        <f t="shared" si="1"/>
        <v>0</v>
      </c>
      <c r="H19" s="192">
        <f t="shared" si="2"/>
        <v>0</v>
      </c>
      <c r="I19" s="192">
        <f t="shared" si="2"/>
        <v>40.5</v>
      </c>
      <c r="J19" s="192">
        <f t="shared" si="2"/>
        <v>0</v>
      </c>
      <c r="K19" s="192">
        <f t="shared" si="2"/>
        <v>0</v>
      </c>
      <c r="L19" s="192">
        <f t="shared" si="2"/>
        <v>0</v>
      </c>
      <c r="M19" s="192">
        <f t="shared" si="2"/>
        <v>39</v>
      </c>
      <c r="N19" s="192">
        <f t="shared" si="2"/>
        <v>0</v>
      </c>
      <c r="O19" s="192">
        <f t="shared" si="2"/>
        <v>0</v>
      </c>
      <c r="P19" s="192">
        <f t="shared" si="2"/>
        <v>0</v>
      </c>
      <c r="Q19" s="192">
        <f t="shared" si="2"/>
        <v>51</v>
      </c>
      <c r="R19" s="192">
        <f t="shared" si="2"/>
        <v>0</v>
      </c>
      <c r="S19" s="192">
        <f t="shared" si="2"/>
        <v>0</v>
      </c>
      <c r="T19" s="192">
        <f t="shared" si="2"/>
        <v>0</v>
      </c>
      <c r="U19" s="192">
        <f t="shared" si="2"/>
        <v>0</v>
      </c>
      <c r="V19" s="192">
        <f t="shared" si="2"/>
        <v>0</v>
      </c>
      <c r="X19" s="237"/>
      <c r="Y19" s="237"/>
      <c r="Z19" s="237"/>
      <c r="AA19" s="237"/>
      <c r="AB19" s="237"/>
    </row>
    <row r="20" spans="1:28" ht="15.75" x14ac:dyDescent="0.25">
      <c r="A20" s="159"/>
      <c r="B20" s="193"/>
      <c r="C20" s="194"/>
      <c r="D20" s="194"/>
      <c r="E20" s="194"/>
      <c r="F20" s="194"/>
      <c r="G20" s="194"/>
      <c r="H20" s="194"/>
      <c r="I20" s="195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59"/>
      <c r="U20" s="159"/>
      <c r="V20" s="159"/>
      <c r="W20" s="159"/>
      <c r="X20" s="159"/>
      <c r="Y20" s="159"/>
      <c r="Z20" s="159"/>
      <c r="AA20" s="159"/>
      <c r="AB20" s="159"/>
    </row>
    <row r="21" spans="1:28" ht="15.75" x14ac:dyDescent="0.25">
      <c r="A21" s="159"/>
      <c r="B21" s="193"/>
      <c r="C21" s="194"/>
      <c r="D21" s="194"/>
      <c r="E21" s="194"/>
      <c r="G21" s="194"/>
      <c r="H21" s="194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59"/>
      <c r="U21" s="159"/>
      <c r="V21" s="159"/>
      <c r="W21" s="159"/>
      <c r="X21" s="159"/>
      <c r="Y21" s="159"/>
      <c r="Z21" s="159"/>
      <c r="AA21" s="159"/>
      <c r="AB21" s="159"/>
    </row>
    <row r="22" spans="1:28" ht="15.75" x14ac:dyDescent="0.25">
      <c r="A22" s="452" t="s">
        <v>282</v>
      </c>
      <c r="B22" s="452"/>
      <c r="C22" s="452"/>
      <c r="D22" s="452"/>
      <c r="E22" s="452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</row>
    <row r="23" spans="1:28" ht="15" customHeight="1" x14ac:dyDescent="0.25">
      <c r="A23" s="450" t="s">
        <v>258</v>
      </c>
      <c r="B23" s="450" t="s">
        <v>259</v>
      </c>
      <c r="C23" s="451" t="s">
        <v>260</v>
      </c>
      <c r="D23" s="453" t="s">
        <v>261</v>
      </c>
      <c r="E23" s="454"/>
      <c r="F23" s="455"/>
      <c r="G23" s="160" t="str">
        <f t="shared" ref="G23:V27" si="3">G2</f>
        <v>OT 1</v>
      </c>
      <c r="H23" s="160" t="str">
        <f t="shared" si="3"/>
        <v>OT2</v>
      </c>
      <c r="I23" s="160" t="str">
        <f t="shared" si="3"/>
        <v>OT3</v>
      </c>
      <c r="J23" s="160" t="str">
        <f t="shared" si="3"/>
        <v>OT4</v>
      </c>
      <c r="K23" s="160" t="str">
        <f t="shared" si="3"/>
        <v>OT 5</v>
      </c>
      <c r="L23" s="160" t="str">
        <f t="shared" si="3"/>
        <v>OT 6</v>
      </c>
      <c r="M23" s="160" t="str">
        <f t="shared" si="3"/>
        <v>OT 7</v>
      </c>
      <c r="N23" s="160" t="str">
        <f t="shared" si="3"/>
        <v>OT 8</v>
      </c>
      <c r="O23" s="160" t="str">
        <f t="shared" si="3"/>
        <v>OT 9</v>
      </c>
      <c r="P23" s="160" t="str">
        <f t="shared" si="3"/>
        <v>OT 10</v>
      </c>
      <c r="Q23" s="160" t="str">
        <f t="shared" si="3"/>
        <v>OT 11</v>
      </c>
      <c r="R23" s="160" t="str">
        <f t="shared" si="3"/>
        <v>OT 12</v>
      </c>
      <c r="S23" s="160" t="str">
        <f t="shared" si="3"/>
        <v>OT 13</v>
      </c>
      <c r="T23" s="160" t="str">
        <f t="shared" si="3"/>
        <v>OT 14</v>
      </c>
      <c r="U23" s="160" t="str">
        <f t="shared" si="3"/>
        <v>OT 15</v>
      </c>
      <c r="V23" s="160" t="str">
        <f t="shared" si="3"/>
        <v>OT 16</v>
      </c>
      <c r="X23" s="159"/>
      <c r="Y23" s="159"/>
      <c r="Z23" s="159"/>
      <c r="AA23" s="159"/>
      <c r="AB23" s="159"/>
    </row>
    <row r="24" spans="1:28" x14ac:dyDescent="0.25">
      <c r="A24" s="450"/>
      <c r="B24" s="450"/>
      <c r="C24" s="451"/>
      <c r="D24" s="456"/>
      <c r="E24" s="457"/>
      <c r="F24" s="458"/>
      <c r="G24" s="160" t="str">
        <f>G3</f>
        <v>CASACAS</v>
      </c>
      <c r="H24" s="160" t="str">
        <f t="shared" si="3"/>
        <v>CASACAS</v>
      </c>
      <c r="I24" s="160" t="str">
        <f t="shared" si="3"/>
        <v>POLOS</v>
      </c>
      <c r="J24" s="160" t="str">
        <f t="shared" si="3"/>
        <v>POLERAS</v>
      </c>
      <c r="K24" s="160" t="str">
        <f t="shared" si="3"/>
        <v>CASACAS</v>
      </c>
      <c r="L24" s="160" t="str">
        <f t="shared" si="3"/>
        <v>POLERAS</v>
      </c>
      <c r="M24" s="160" t="str">
        <f t="shared" si="3"/>
        <v>POLOS</v>
      </c>
      <c r="N24" s="160" t="str">
        <f t="shared" si="3"/>
        <v>POLERAS</v>
      </c>
      <c r="O24" s="160" t="str">
        <f t="shared" si="3"/>
        <v>POLERAS</v>
      </c>
      <c r="P24" s="160" t="str">
        <f t="shared" si="3"/>
        <v>POLERAS</v>
      </c>
      <c r="Q24" s="160" t="str">
        <f t="shared" si="3"/>
        <v>POLOS</v>
      </c>
      <c r="R24" s="160" t="str">
        <f t="shared" si="3"/>
        <v>POLERAS</v>
      </c>
      <c r="S24" s="160" t="str">
        <f t="shared" si="3"/>
        <v>CASACAS</v>
      </c>
      <c r="T24" s="160" t="str">
        <f t="shared" si="3"/>
        <v>CASACAS</v>
      </c>
      <c r="U24" s="160" t="str">
        <f t="shared" si="3"/>
        <v>CASACAS</v>
      </c>
      <c r="V24" s="160" t="str">
        <f t="shared" si="3"/>
        <v>POLERAS</v>
      </c>
      <c r="X24" s="159"/>
      <c r="Y24" s="159"/>
      <c r="Z24" s="159"/>
      <c r="AA24" s="159"/>
      <c r="AB24" s="159"/>
    </row>
    <row r="25" spans="1:28" x14ac:dyDescent="0.25">
      <c r="A25" s="450"/>
      <c r="B25" s="450"/>
      <c r="C25" s="451"/>
      <c r="D25" s="456"/>
      <c r="E25" s="457"/>
      <c r="F25" s="458"/>
      <c r="G25" s="160" t="str">
        <f t="shared" si="3"/>
        <v>TOTAL</v>
      </c>
      <c r="H25" s="160" t="str">
        <f t="shared" si="3"/>
        <v>TOTAL</v>
      </c>
      <c r="I25" s="160" t="str">
        <f t="shared" si="3"/>
        <v>TOTAL</v>
      </c>
      <c r="J25" s="160" t="str">
        <f t="shared" si="3"/>
        <v>TOTAL</v>
      </c>
      <c r="K25" s="160" t="str">
        <f t="shared" si="3"/>
        <v>TOTAL</v>
      </c>
      <c r="L25" s="160" t="str">
        <f t="shared" si="3"/>
        <v>TOTAL</v>
      </c>
      <c r="M25" s="160" t="str">
        <f t="shared" si="3"/>
        <v>TOTAL</v>
      </c>
      <c r="N25" s="160" t="str">
        <f t="shared" si="3"/>
        <v>TOTAL</v>
      </c>
      <c r="O25" s="160" t="str">
        <f t="shared" si="3"/>
        <v>TOTAL</v>
      </c>
      <c r="P25" s="160" t="str">
        <f t="shared" si="3"/>
        <v>TOTAL</v>
      </c>
      <c r="Q25" s="160" t="str">
        <f t="shared" si="3"/>
        <v>TOTAL</v>
      </c>
      <c r="R25" s="160" t="str">
        <f t="shared" si="3"/>
        <v>TOTAL</v>
      </c>
      <c r="S25" s="160" t="str">
        <f t="shared" si="3"/>
        <v>TOTAL</v>
      </c>
      <c r="T25" s="160" t="str">
        <f t="shared" si="3"/>
        <v>TOTAL</v>
      </c>
      <c r="U25" s="160" t="str">
        <f t="shared" si="3"/>
        <v>TOTAL</v>
      </c>
      <c r="V25" s="160" t="str">
        <f t="shared" si="3"/>
        <v>TOTAL</v>
      </c>
      <c r="W25" s="159"/>
      <c r="X25" s="159"/>
      <c r="Y25" s="159"/>
      <c r="Z25" s="159"/>
      <c r="AA25" s="159"/>
      <c r="AB25" s="159"/>
    </row>
    <row r="26" spans="1:28" x14ac:dyDescent="0.25">
      <c r="A26" s="450"/>
      <c r="B26" s="450"/>
      <c r="C26" s="451"/>
      <c r="D26" s="459"/>
      <c r="E26" s="460"/>
      <c r="F26" s="461"/>
      <c r="G26" s="160">
        <f t="shared" si="3"/>
        <v>21</v>
      </c>
      <c r="H26" s="160">
        <f t="shared" si="3"/>
        <v>27</v>
      </c>
      <c r="I26" s="160">
        <f t="shared" si="3"/>
        <v>27</v>
      </c>
      <c r="J26" s="160">
        <f t="shared" si="3"/>
        <v>54</v>
      </c>
      <c r="K26" s="160">
        <f t="shared" si="3"/>
        <v>21</v>
      </c>
      <c r="L26" s="160">
        <f t="shared" si="3"/>
        <v>24</v>
      </c>
      <c r="M26" s="160">
        <f t="shared" si="3"/>
        <v>26</v>
      </c>
      <c r="N26" s="160">
        <f t="shared" si="3"/>
        <v>28</v>
      </c>
      <c r="O26" s="160">
        <f t="shared" si="3"/>
        <v>17</v>
      </c>
      <c r="P26" s="160">
        <f t="shared" si="3"/>
        <v>14</v>
      </c>
      <c r="Q26" s="160">
        <f t="shared" si="3"/>
        <v>34</v>
      </c>
      <c r="R26" s="160">
        <f t="shared" si="3"/>
        <v>22</v>
      </c>
      <c r="S26" s="160">
        <f t="shared" si="3"/>
        <v>23</v>
      </c>
      <c r="T26" s="160">
        <f t="shared" si="3"/>
        <v>29</v>
      </c>
      <c r="U26" s="160">
        <f t="shared" si="3"/>
        <v>51</v>
      </c>
      <c r="V26" s="160">
        <f t="shared" si="3"/>
        <v>27</v>
      </c>
      <c r="W26" s="159"/>
      <c r="X26" s="159"/>
      <c r="Y26" s="159"/>
      <c r="Z26" s="159"/>
      <c r="AA26" s="159"/>
      <c r="AB26" s="159"/>
    </row>
    <row r="27" spans="1:28" x14ac:dyDescent="0.25">
      <c r="A27" s="450"/>
      <c r="B27" s="450"/>
      <c r="C27" s="451"/>
      <c r="D27" s="161" t="s">
        <v>279</v>
      </c>
      <c r="E27" s="162" t="s">
        <v>280</v>
      </c>
      <c r="F27" s="163" t="s">
        <v>278</v>
      </c>
      <c r="G27" s="160" t="str">
        <f t="shared" si="3"/>
        <v>Terminado</v>
      </c>
      <c r="H27" s="160" t="str">
        <f t="shared" si="3"/>
        <v>Terminado</v>
      </c>
      <c r="I27" s="160" t="str">
        <f t="shared" si="3"/>
        <v>Terminado</v>
      </c>
      <c r="J27" s="160" t="str">
        <f t="shared" si="3"/>
        <v>Terminado</v>
      </c>
      <c r="K27" s="160" t="str">
        <f t="shared" si="3"/>
        <v>Terminado</v>
      </c>
      <c r="L27" s="160" t="str">
        <f t="shared" si="3"/>
        <v>Terminado</v>
      </c>
      <c r="M27" s="160" t="str">
        <f t="shared" si="3"/>
        <v>Terminado</v>
      </c>
      <c r="N27" s="160" t="str">
        <f t="shared" si="3"/>
        <v>Terminado</v>
      </c>
      <c r="O27" s="160" t="str">
        <f t="shared" si="3"/>
        <v>Terminado</v>
      </c>
      <c r="P27" s="160" t="str">
        <f t="shared" si="3"/>
        <v>Terminado</v>
      </c>
      <c r="Q27" s="160" t="str">
        <f t="shared" si="3"/>
        <v>Terminado</v>
      </c>
      <c r="R27" s="160" t="str">
        <f t="shared" si="3"/>
        <v>Terminado</v>
      </c>
      <c r="S27" s="160" t="str">
        <f t="shared" si="3"/>
        <v>Terminado</v>
      </c>
      <c r="T27" s="160" t="str">
        <f t="shared" si="3"/>
        <v>Terminado</v>
      </c>
      <c r="U27" s="160" t="str">
        <f t="shared" si="3"/>
        <v>Terminado</v>
      </c>
      <c r="V27" s="160" t="str">
        <f t="shared" si="3"/>
        <v>Terminado</v>
      </c>
      <c r="W27" s="160" t="s">
        <v>283</v>
      </c>
      <c r="X27" s="159"/>
      <c r="Y27" s="159"/>
      <c r="Z27" s="159"/>
      <c r="AA27" s="159"/>
      <c r="AB27" s="159"/>
    </row>
    <row r="28" spans="1:28" x14ac:dyDescent="0.25">
      <c r="A28" s="145" t="str">
        <f>A7</f>
        <v>MD01</v>
      </c>
      <c r="B28" s="145" t="str">
        <f>B7</f>
        <v>Bolsas para empaquetado</v>
      </c>
      <c r="C28" s="145" t="str">
        <f>C7</f>
        <v xml:space="preserve">unidad </v>
      </c>
      <c r="D28" s="166">
        <v>1</v>
      </c>
      <c r="E28" s="144">
        <v>1</v>
      </c>
      <c r="F28" s="196">
        <v>1</v>
      </c>
      <c r="G28" s="197">
        <v>0.15</v>
      </c>
      <c r="H28" s="197">
        <v>0.15</v>
      </c>
      <c r="I28" s="197">
        <v>0.15</v>
      </c>
      <c r="J28" s="197">
        <v>0.15</v>
      </c>
      <c r="K28" s="197">
        <v>0.15</v>
      </c>
      <c r="L28" s="197">
        <v>0.15</v>
      </c>
      <c r="M28" s="197">
        <v>0.15</v>
      </c>
      <c r="N28" s="197">
        <v>0.15</v>
      </c>
      <c r="O28" s="197">
        <v>0.15</v>
      </c>
      <c r="P28" s="197">
        <v>0.15</v>
      </c>
      <c r="Q28" s="197">
        <v>0.15</v>
      </c>
      <c r="R28" s="197">
        <v>0.15</v>
      </c>
      <c r="S28" s="197">
        <v>0.15</v>
      </c>
      <c r="T28" s="197">
        <v>0.15</v>
      </c>
      <c r="U28" s="197">
        <v>0.15</v>
      </c>
      <c r="V28" s="197">
        <v>0.15</v>
      </c>
      <c r="W28" s="197">
        <v>0.15</v>
      </c>
      <c r="X28" s="159"/>
      <c r="Y28" s="159"/>
      <c r="Z28" s="159"/>
      <c r="AA28" s="159"/>
      <c r="AB28" s="159"/>
    </row>
    <row r="29" spans="1:28" x14ac:dyDescent="0.25">
      <c r="A29" s="145" t="str">
        <f t="shared" ref="A29:C40" si="4">A8</f>
        <v>MD02</v>
      </c>
      <c r="B29" s="198" t="str">
        <f t="shared" si="4"/>
        <v>Broches</v>
      </c>
      <c r="C29" s="145" t="str">
        <f t="shared" si="4"/>
        <v xml:space="preserve">unidad </v>
      </c>
      <c r="D29" s="176"/>
      <c r="E29" s="199"/>
      <c r="F29" s="196">
        <v>8</v>
      </c>
      <c r="G29" s="197">
        <v>0.3</v>
      </c>
      <c r="H29" s="197">
        <v>0.3</v>
      </c>
      <c r="I29" s="197">
        <v>0</v>
      </c>
      <c r="J29" s="200">
        <v>0</v>
      </c>
      <c r="K29" s="197">
        <v>0.3</v>
      </c>
      <c r="L29" s="197">
        <v>0</v>
      </c>
      <c r="M29" s="197">
        <v>0</v>
      </c>
      <c r="N29" s="200">
        <v>0</v>
      </c>
      <c r="O29" s="197">
        <v>0</v>
      </c>
      <c r="P29" s="197">
        <v>0</v>
      </c>
      <c r="Q29" s="197">
        <v>0</v>
      </c>
      <c r="R29" s="200">
        <v>0</v>
      </c>
      <c r="S29" s="197">
        <v>0</v>
      </c>
      <c r="T29" s="197">
        <v>0.3</v>
      </c>
      <c r="U29" s="197">
        <v>0.3</v>
      </c>
      <c r="V29" s="200">
        <v>0</v>
      </c>
      <c r="W29" s="197">
        <v>0.3</v>
      </c>
      <c r="X29" s="159"/>
      <c r="Y29" s="159"/>
      <c r="Z29" s="159"/>
      <c r="AA29" s="159"/>
      <c r="AB29" s="159"/>
    </row>
    <row r="30" spans="1:28" ht="15.75" customHeight="1" x14ac:dyDescent="0.25">
      <c r="A30" s="145" t="str">
        <f t="shared" si="4"/>
        <v>MD03</v>
      </c>
      <c r="B30" s="198" t="str">
        <f t="shared" si="4"/>
        <v>Cierre</v>
      </c>
      <c r="C30" s="145" t="str">
        <f t="shared" si="4"/>
        <v xml:space="preserve">unidad </v>
      </c>
      <c r="D30" s="176"/>
      <c r="E30" s="199"/>
      <c r="F30" s="196">
        <v>1</v>
      </c>
      <c r="G30" s="197">
        <v>1.25</v>
      </c>
      <c r="H30" s="197">
        <v>0</v>
      </c>
      <c r="I30" s="197">
        <v>0</v>
      </c>
      <c r="J30" s="200">
        <v>0</v>
      </c>
      <c r="K30" s="197">
        <v>1.25</v>
      </c>
      <c r="L30" s="197">
        <v>0</v>
      </c>
      <c r="M30" s="197">
        <v>0</v>
      </c>
      <c r="N30" s="200">
        <v>0</v>
      </c>
      <c r="O30" s="197">
        <v>0</v>
      </c>
      <c r="P30" s="197">
        <v>0</v>
      </c>
      <c r="Q30" s="197">
        <v>0</v>
      </c>
      <c r="R30" s="200">
        <v>0</v>
      </c>
      <c r="S30" s="197">
        <v>1.25</v>
      </c>
      <c r="T30" s="197">
        <v>0</v>
      </c>
      <c r="U30" s="197">
        <v>1.25</v>
      </c>
      <c r="V30" s="200">
        <v>0</v>
      </c>
      <c r="W30" s="197">
        <v>1.25</v>
      </c>
      <c r="X30" s="159"/>
      <c r="Y30" s="159"/>
      <c r="Z30" s="159"/>
      <c r="AA30" s="159"/>
      <c r="AB30" s="159"/>
    </row>
    <row r="31" spans="1:28" x14ac:dyDescent="0.25">
      <c r="A31" s="145" t="str">
        <f t="shared" si="4"/>
        <v>MD04</v>
      </c>
      <c r="B31" s="145" t="str">
        <f t="shared" si="4"/>
        <v>Etiqueta de la marca</v>
      </c>
      <c r="C31" s="145" t="str">
        <f t="shared" si="4"/>
        <v xml:space="preserve">unidad </v>
      </c>
      <c r="D31" s="166">
        <v>1</v>
      </c>
      <c r="E31" s="144">
        <v>1</v>
      </c>
      <c r="F31" s="196">
        <v>1</v>
      </c>
      <c r="G31" s="197">
        <v>0.1</v>
      </c>
      <c r="H31" s="197">
        <v>0.1</v>
      </c>
      <c r="I31" s="197">
        <v>0.1</v>
      </c>
      <c r="J31" s="200">
        <v>0.1</v>
      </c>
      <c r="K31" s="197">
        <v>0.1</v>
      </c>
      <c r="L31" s="197">
        <v>0.1</v>
      </c>
      <c r="M31" s="197">
        <v>0.1</v>
      </c>
      <c r="N31" s="200">
        <v>0.1</v>
      </c>
      <c r="O31" s="197">
        <v>0.1</v>
      </c>
      <c r="P31" s="197">
        <v>0.1</v>
      </c>
      <c r="Q31" s="197">
        <v>0.1</v>
      </c>
      <c r="R31" s="200">
        <v>0.1</v>
      </c>
      <c r="S31" s="197">
        <v>0.1</v>
      </c>
      <c r="T31" s="197">
        <v>0.1</v>
      </c>
      <c r="U31" s="197">
        <v>0.1</v>
      </c>
      <c r="V31" s="200">
        <v>0.1</v>
      </c>
      <c r="W31" s="197">
        <v>0.1</v>
      </c>
      <c r="X31" s="159"/>
      <c r="Y31" s="159"/>
      <c r="Z31" s="159"/>
      <c r="AA31" s="159"/>
    </row>
    <row r="32" spans="1:28" x14ac:dyDescent="0.25">
      <c r="A32" s="145" t="str">
        <f t="shared" si="4"/>
        <v>MD05</v>
      </c>
      <c r="B32" s="145" t="str">
        <f t="shared" si="4"/>
        <v>Etiqueta de los nombre</v>
      </c>
      <c r="C32" s="145" t="str">
        <f t="shared" si="4"/>
        <v xml:space="preserve">unidad </v>
      </c>
      <c r="D32" s="166">
        <v>1</v>
      </c>
      <c r="E32" s="144">
        <v>1</v>
      </c>
      <c r="F32" s="196">
        <v>1</v>
      </c>
      <c r="G32" s="197">
        <v>0.02</v>
      </c>
      <c r="H32" s="197">
        <v>0.02</v>
      </c>
      <c r="I32" s="197">
        <v>0.02</v>
      </c>
      <c r="J32" s="200">
        <v>0.02</v>
      </c>
      <c r="K32" s="197">
        <v>0.02</v>
      </c>
      <c r="L32" s="197">
        <v>0.02</v>
      </c>
      <c r="M32" s="197">
        <v>0.02</v>
      </c>
      <c r="N32" s="200">
        <v>0.02</v>
      </c>
      <c r="O32" s="197">
        <v>0.02</v>
      </c>
      <c r="P32" s="197">
        <v>0.02</v>
      </c>
      <c r="Q32" s="197">
        <v>0.02</v>
      </c>
      <c r="R32" s="200">
        <v>0.02</v>
      </c>
      <c r="S32" s="197">
        <v>0.02</v>
      </c>
      <c r="T32" s="197">
        <v>0.02</v>
      </c>
      <c r="U32" s="197">
        <v>0.02</v>
      </c>
      <c r="V32" s="200">
        <v>0.02</v>
      </c>
      <c r="W32" s="197">
        <v>0.02</v>
      </c>
      <c r="X32" s="159"/>
      <c r="Y32" s="159"/>
      <c r="Z32" s="159"/>
      <c r="AA32" s="159"/>
    </row>
    <row r="33" spans="1:28" x14ac:dyDescent="0.25">
      <c r="A33" s="145" t="str">
        <f t="shared" si="4"/>
        <v>MD06</v>
      </c>
      <c r="B33" s="145" t="str">
        <f t="shared" si="4"/>
        <v>Etiqueta de los piezas (Etiquetas de Transferencia Térmica)</v>
      </c>
      <c r="C33" s="145" t="str">
        <f t="shared" si="4"/>
        <v xml:space="preserve">unidad </v>
      </c>
      <c r="D33" s="166">
        <v>4</v>
      </c>
      <c r="E33" s="144">
        <v>6</v>
      </c>
      <c r="F33" s="196">
        <v>6</v>
      </c>
      <c r="G33" s="197">
        <v>2.6666666666666668E-2</v>
      </c>
      <c r="H33" s="197">
        <v>2.6666666666666668E-2</v>
      </c>
      <c r="I33" s="197">
        <v>2.6666666666666668E-2</v>
      </c>
      <c r="J33" s="200">
        <v>2.6666666666666668E-2</v>
      </c>
      <c r="K33" s="197">
        <v>2.6666666666666668E-2</v>
      </c>
      <c r="L33" s="197">
        <v>2.6666666666666668E-2</v>
      </c>
      <c r="M33" s="197">
        <v>2.6666666666666668E-2</v>
      </c>
      <c r="N33" s="200">
        <v>2.6666666666666668E-2</v>
      </c>
      <c r="O33" s="197">
        <v>2.6666666666666668E-2</v>
      </c>
      <c r="P33" s="197">
        <v>2.6666666666666668E-2</v>
      </c>
      <c r="Q33" s="197">
        <v>2.6666666666666668E-2</v>
      </c>
      <c r="R33" s="200">
        <v>2.6666666666666668E-2</v>
      </c>
      <c r="S33" s="197">
        <v>2.6666666666666668E-2</v>
      </c>
      <c r="T33" s="197">
        <v>2.6666666666666668E-2</v>
      </c>
      <c r="U33" s="197">
        <v>2.6666666666666668E-2</v>
      </c>
      <c r="V33" s="200">
        <v>2.6666666666666668E-2</v>
      </c>
      <c r="W33" s="197">
        <v>2.6666666666666668E-2</v>
      </c>
      <c r="X33" s="159"/>
      <c r="Y33" s="159"/>
      <c r="Z33" s="159"/>
      <c r="AA33" s="159"/>
    </row>
    <row r="34" spans="1:28" x14ac:dyDescent="0.25">
      <c r="A34" s="145" t="str">
        <f t="shared" si="4"/>
        <v>MD07</v>
      </c>
      <c r="B34" s="145" t="str">
        <f t="shared" si="4"/>
        <v>Hilo de costura</v>
      </c>
      <c r="C34" s="145" t="str">
        <f t="shared" si="4"/>
        <v xml:space="preserve">unidad </v>
      </c>
      <c r="D34" s="166">
        <v>0.2</v>
      </c>
      <c r="E34" s="144">
        <v>0.2</v>
      </c>
      <c r="F34" s="196">
        <v>0.2</v>
      </c>
      <c r="G34" s="197">
        <v>3</v>
      </c>
      <c r="H34" s="197">
        <v>3</v>
      </c>
      <c r="I34" s="197">
        <v>3</v>
      </c>
      <c r="J34" s="200">
        <v>3</v>
      </c>
      <c r="K34" s="197">
        <v>3</v>
      </c>
      <c r="L34" s="197">
        <v>3</v>
      </c>
      <c r="M34" s="197">
        <v>3</v>
      </c>
      <c r="N34" s="200">
        <v>3</v>
      </c>
      <c r="O34" s="197">
        <v>3</v>
      </c>
      <c r="P34" s="197">
        <v>3</v>
      </c>
      <c r="Q34" s="197">
        <v>3</v>
      </c>
      <c r="R34" s="200">
        <v>3</v>
      </c>
      <c r="S34" s="197">
        <v>3</v>
      </c>
      <c r="T34" s="197">
        <v>3</v>
      </c>
      <c r="U34" s="197">
        <v>3</v>
      </c>
      <c r="V34" s="200">
        <v>3</v>
      </c>
      <c r="W34" s="197">
        <v>3</v>
      </c>
      <c r="X34" s="159"/>
      <c r="Y34" s="159"/>
      <c r="Z34" s="159"/>
      <c r="AA34" s="159"/>
    </row>
    <row r="35" spans="1:28" x14ac:dyDescent="0.25">
      <c r="A35" s="145" t="str">
        <f t="shared" si="4"/>
        <v>MD08</v>
      </c>
      <c r="B35" s="145" t="str">
        <f t="shared" si="4"/>
        <v>Hilo pasador</v>
      </c>
      <c r="C35" s="145" t="str">
        <f t="shared" si="4"/>
        <v xml:space="preserve">unidad </v>
      </c>
      <c r="D35" s="176"/>
      <c r="E35" s="177">
        <f>5/20</f>
        <v>0.25</v>
      </c>
      <c r="F35" s="201"/>
      <c r="G35" s="197">
        <v>0</v>
      </c>
      <c r="H35" s="197">
        <v>0</v>
      </c>
      <c r="I35" s="197">
        <v>0</v>
      </c>
      <c r="J35" s="200">
        <v>2</v>
      </c>
      <c r="K35" s="197">
        <v>0</v>
      </c>
      <c r="L35" s="197">
        <v>0</v>
      </c>
      <c r="M35" s="197">
        <v>0</v>
      </c>
      <c r="N35" s="200">
        <v>2</v>
      </c>
      <c r="O35" s="197">
        <v>0</v>
      </c>
      <c r="P35" s="197">
        <v>0</v>
      </c>
      <c r="Q35" s="197">
        <v>0</v>
      </c>
      <c r="R35" s="200">
        <v>2</v>
      </c>
      <c r="S35" s="197">
        <v>0</v>
      </c>
      <c r="T35" s="197">
        <v>0</v>
      </c>
      <c r="U35" s="197">
        <v>0</v>
      </c>
      <c r="V35" s="200">
        <v>2</v>
      </c>
      <c r="W35" s="197">
        <v>2</v>
      </c>
      <c r="X35" s="159"/>
      <c r="Y35" s="159"/>
      <c r="Z35" s="159"/>
      <c r="AA35" s="159"/>
    </row>
    <row r="36" spans="1:28" x14ac:dyDescent="0.25">
      <c r="A36" s="145" t="str">
        <f t="shared" si="4"/>
        <v>MD09</v>
      </c>
      <c r="B36" s="145" t="str">
        <f t="shared" si="4"/>
        <v>Rib</v>
      </c>
      <c r="C36" s="145" t="str">
        <f t="shared" si="4"/>
        <v>metro</v>
      </c>
      <c r="D36" s="166">
        <v>0.15</v>
      </c>
      <c r="E36" s="166">
        <v>0.15</v>
      </c>
      <c r="F36" s="196">
        <v>0.15</v>
      </c>
      <c r="G36" s="197">
        <v>17.777777777777779</v>
      </c>
      <c r="H36" s="197">
        <v>17.777777777777779</v>
      </c>
      <c r="I36" s="197">
        <v>17.777777777777779</v>
      </c>
      <c r="J36" s="200">
        <v>17.777777777777779</v>
      </c>
      <c r="K36" s="197">
        <v>17.777777777777779</v>
      </c>
      <c r="L36" s="197">
        <v>17.777777777777779</v>
      </c>
      <c r="M36" s="197">
        <v>17.777777777777779</v>
      </c>
      <c r="N36" s="200">
        <v>17.777777777777779</v>
      </c>
      <c r="O36" s="197">
        <v>17.777777777777779</v>
      </c>
      <c r="P36" s="197">
        <v>17.777777777777779</v>
      </c>
      <c r="Q36" s="197">
        <v>17.777777777777779</v>
      </c>
      <c r="R36" s="200">
        <v>17.777777777777779</v>
      </c>
      <c r="S36" s="197">
        <v>17.777777777777779</v>
      </c>
      <c r="T36" s="197">
        <v>17.777777777777779</v>
      </c>
      <c r="U36" s="197">
        <v>17.777777777777779</v>
      </c>
      <c r="V36" s="200">
        <v>17.777777777777779</v>
      </c>
      <c r="W36" s="197">
        <v>17.777777777777779</v>
      </c>
      <c r="X36" s="159"/>
      <c r="Y36" s="159"/>
      <c r="Z36" s="159"/>
      <c r="AA36" s="159"/>
    </row>
    <row r="37" spans="1:28" x14ac:dyDescent="0.25">
      <c r="A37" s="145" t="str">
        <f t="shared" si="4"/>
        <v>MD10</v>
      </c>
      <c r="B37" s="202" t="str">
        <f t="shared" si="4"/>
        <v>Franela Perchada 24/1</v>
      </c>
      <c r="C37" s="145" t="str">
        <f t="shared" si="4"/>
        <v>metro</v>
      </c>
      <c r="D37" s="176"/>
      <c r="E37" s="177">
        <f>34/25</f>
        <v>1.36</v>
      </c>
      <c r="F37" s="203">
        <f>34/25</f>
        <v>1.36</v>
      </c>
      <c r="G37" s="197">
        <v>16.176470588235293</v>
      </c>
      <c r="H37" s="197">
        <v>16.176470588235293</v>
      </c>
      <c r="I37" s="197">
        <v>0</v>
      </c>
      <c r="J37" s="200">
        <v>16.176470588235293</v>
      </c>
      <c r="K37" s="200">
        <v>0</v>
      </c>
      <c r="L37" s="197">
        <v>0</v>
      </c>
      <c r="M37" s="197">
        <v>0</v>
      </c>
      <c r="N37" s="200">
        <v>16.18</v>
      </c>
      <c r="O37" s="197">
        <v>16.18</v>
      </c>
      <c r="P37" s="197">
        <v>0</v>
      </c>
      <c r="Q37" s="197">
        <v>0</v>
      </c>
      <c r="R37" s="200">
        <v>16.18</v>
      </c>
      <c r="S37" s="197">
        <v>0</v>
      </c>
      <c r="T37" s="197">
        <v>16.18</v>
      </c>
      <c r="U37" s="197">
        <v>16.18</v>
      </c>
      <c r="V37" s="200">
        <v>16.18</v>
      </c>
      <c r="W37" s="197">
        <v>16.176470588235293</v>
      </c>
      <c r="X37" s="159"/>
      <c r="Y37" s="159"/>
      <c r="Z37" s="159"/>
      <c r="AA37" s="159"/>
    </row>
    <row r="38" spans="1:28" x14ac:dyDescent="0.25">
      <c r="A38" s="145" t="str">
        <f t="shared" si="4"/>
        <v>MD11</v>
      </c>
      <c r="B38" s="202" t="str">
        <f t="shared" si="4"/>
        <v>Frech Terry 24/1</v>
      </c>
      <c r="C38" s="145" t="str">
        <f t="shared" si="4"/>
        <v>metro</v>
      </c>
      <c r="D38" s="176"/>
      <c r="E38" s="177">
        <f>34/25</f>
        <v>1.36</v>
      </c>
      <c r="F38" s="203">
        <f>34/25</f>
        <v>1.36</v>
      </c>
      <c r="G38" s="197">
        <v>0</v>
      </c>
      <c r="H38" s="197">
        <v>0</v>
      </c>
      <c r="I38" s="197">
        <v>0</v>
      </c>
      <c r="J38" s="200">
        <v>0</v>
      </c>
      <c r="K38" s="197">
        <v>18.333333333333332</v>
      </c>
      <c r="L38" s="197">
        <v>18.333333333333332</v>
      </c>
      <c r="M38" s="197">
        <v>0</v>
      </c>
      <c r="N38" s="200">
        <v>0</v>
      </c>
      <c r="O38" s="197">
        <v>0</v>
      </c>
      <c r="P38" s="197">
        <v>18.329999999999998</v>
      </c>
      <c r="Q38" s="197">
        <v>0</v>
      </c>
      <c r="R38" s="200">
        <v>0</v>
      </c>
      <c r="S38" s="197">
        <v>18.329999999999998</v>
      </c>
      <c r="T38" s="197">
        <v>0</v>
      </c>
      <c r="U38" s="197">
        <v>0</v>
      </c>
      <c r="V38" s="200">
        <v>0</v>
      </c>
      <c r="W38" s="197">
        <v>18.333333333333332</v>
      </c>
      <c r="X38" s="159"/>
      <c r="Y38" s="159"/>
      <c r="Z38" s="159"/>
      <c r="AA38" s="159"/>
    </row>
    <row r="39" spans="1:28" x14ac:dyDescent="0.25">
      <c r="A39" s="145" t="str">
        <f t="shared" si="4"/>
        <v>MD12</v>
      </c>
      <c r="B39" s="186" t="str">
        <f t="shared" si="4"/>
        <v>Jersey 30/1</v>
      </c>
      <c r="C39" s="145" t="str">
        <f t="shared" si="4"/>
        <v>metro</v>
      </c>
      <c r="D39" s="177">
        <f>20/80</f>
        <v>0.25</v>
      </c>
      <c r="E39" s="199"/>
      <c r="F39" s="201"/>
      <c r="G39" s="197">
        <v>0</v>
      </c>
      <c r="H39" s="197">
        <v>0</v>
      </c>
      <c r="I39" s="197">
        <v>27.5</v>
      </c>
      <c r="J39" s="200">
        <v>0</v>
      </c>
      <c r="K39" s="197">
        <v>0</v>
      </c>
      <c r="L39" s="197">
        <v>0</v>
      </c>
      <c r="M39" s="197">
        <v>0</v>
      </c>
      <c r="N39" s="200">
        <v>0</v>
      </c>
      <c r="O39" s="197">
        <v>0</v>
      </c>
      <c r="P39" s="197">
        <v>0</v>
      </c>
      <c r="Q39" s="197">
        <v>27.5</v>
      </c>
      <c r="R39" s="200">
        <v>0</v>
      </c>
      <c r="S39" s="197">
        <v>0</v>
      </c>
      <c r="T39" s="197">
        <v>0</v>
      </c>
      <c r="U39" s="197">
        <v>0</v>
      </c>
      <c r="V39" s="200">
        <v>0</v>
      </c>
      <c r="W39" s="197">
        <v>27.5</v>
      </c>
      <c r="X39" s="159"/>
      <c r="Y39" s="159"/>
      <c r="Z39" s="159"/>
      <c r="AA39" s="159"/>
    </row>
    <row r="40" spans="1:28" x14ac:dyDescent="0.25">
      <c r="A40" s="145" t="str">
        <f>A19</f>
        <v>MD13</v>
      </c>
      <c r="B40" s="186" t="str">
        <f t="shared" si="4"/>
        <v>Algodón tacto</v>
      </c>
      <c r="C40" s="145" t="str">
        <f t="shared" si="4"/>
        <v xml:space="preserve">unidad </v>
      </c>
      <c r="D40" s="177">
        <v>1.5</v>
      </c>
      <c r="E40" s="199"/>
      <c r="F40" s="201"/>
      <c r="G40" s="197">
        <v>0</v>
      </c>
      <c r="H40" s="197">
        <v>0</v>
      </c>
      <c r="I40" s="197">
        <v>0</v>
      </c>
      <c r="J40" s="200">
        <v>0</v>
      </c>
      <c r="K40" s="197">
        <v>0</v>
      </c>
      <c r="L40" s="197">
        <v>0</v>
      </c>
      <c r="M40" s="197">
        <v>4</v>
      </c>
      <c r="N40" s="200">
        <v>0</v>
      </c>
      <c r="O40" s="197">
        <v>0</v>
      </c>
      <c r="P40" s="197">
        <v>0</v>
      </c>
      <c r="Q40" s="197">
        <v>0</v>
      </c>
      <c r="R40" s="200">
        <v>0</v>
      </c>
      <c r="S40" s="197">
        <v>0</v>
      </c>
      <c r="T40" s="197">
        <v>0</v>
      </c>
      <c r="U40" s="197">
        <v>0</v>
      </c>
      <c r="V40" s="200">
        <v>0</v>
      </c>
      <c r="W40" s="197">
        <v>4</v>
      </c>
      <c r="X40" s="159"/>
      <c r="Y40" s="159"/>
      <c r="Z40" s="159"/>
      <c r="AA40" s="159"/>
    </row>
    <row r="41" spans="1:28" x14ac:dyDescent="0.25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95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</row>
    <row r="42" spans="1:28" ht="15.75" x14ac:dyDescent="0.25">
      <c r="A42" s="462" t="s">
        <v>284</v>
      </c>
      <c r="B42" s="462"/>
      <c r="C42" s="462"/>
      <c r="D42" s="462"/>
      <c r="E42" s="158"/>
      <c r="F42" s="158"/>
      <c r="G42" s="158"/>
      <c r="H42" s="158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</row>
    <row r="43" spans="1:28" x14ac:dyDescent="0.25">
      <c r="A43" s="450" t="s">
        <v>258</v>
      </c>
      <c r="B43" s="450" t="s">
        <v>259</v>
      </c>
      <c r="C43" s="451" t="s">
        <v>260</v>
      </c>
      <c r="D43" s="160" t="str">
        <f>G23</f>
        <v>OT 1</v>
      </c>
      <c r="E43" s="160" t="str">
        <f t="shared" ref="E43:S43" si="5">H23</f>
        <v>OT2</v>
      </c>
      <c r="F43" s="160" t="str">
        <f t="shared" si="5"/>
        <v>OT3</v>
      </c>
      <c r="G43" s="160" t="str">
        <f t="shared" si="5"/>
        <v>OT4</v>
      </c>
      <c r="H43" s="160" t="str">
        <f t="shared" si="5"/>
        <v>OT 5</v>
      </c>
      <c r="I43" s="160" t="str">
        <f t="shared" si="5"/>
        <v>OT 6</v>
      </c>
      <c r="J43" s="160" t="str">
        <f t="shared" si="5"/>
        <v>OT 7</v>
      </c>
      <c r="K43" s="160" t="str">
        <f t="shared" si="5"/>
        <v>OT 8</v>
      </c>
      <c r="L43" s="160" t="str">
        <f t="shared" si="5"/>
        <v>OT 9</v>
      </c>
      <c r="M43" s="160" t="str">
        <f t="shared" si="5"/>
        <v>OT 10</v>
      </c>
      <c r="N43" s="160" t="str">
        <f t="shared" si="5"/>
        <v>OT 11</v>
      </c>
      <c r="O43" s="160" t="str">
        <f t="shared" si="5"/>
        <v>OT 12</v>
      </c>
      <c r="P43" s="160" t="str">
        <f t="shared" si="5"/>
        <v>OT 13</v>
      </c>
      <c r="Q43" s="160" t="str">
        <f t="shared" si="5"/>
        <v>OT 14</v>
      </c>
      <c r="R43" s="160" t="str">
        <f t="shared" si="5"/>
        <v>OT 15</v>
      </c>
      <c r="S43" s="160" t="str">
        <f t="shared" si="5"/>
        <v>OT 16</v>
      </c>
      <c r="T43" s="159"/>
      <c r="U43" s="159"/>
      <c r="V43" s="159"/>
      <c r="W43" s="159"/>
      <c r="X43" s="159"/>
      <c r="Y43" s="159"/>
      <c r="Z43" s="159"/>
      <c r="AA43" s="159"/>
    </row>
    <row r="44" spans="1:28" x14ac:dyDescent="0.25">
      <c r="A44" s="450"/>
      <c r="B44" s="450"/>
      <c r="C44" s="451"/>
      <c r="D44" s="204" t="str">
        <f>G3</f>
        <v>CASACAS</v>
      </c>
      <c r="E44" s="204" t="str">
        <f t="shared" ref="E44:S44" si="6">H3</f>
        <v>CASACAS</v>
      </c>
      <c r="F44" s="204" t="str">
        <f t="shared" si="6"/>
        <v>POLOS</v>
      </c>
      <c r="G44" s="204" t="str">
        <f t="shared" si="6"/>
        <v>POLERAS</v>
      </c>
      <c r="H44" s="204" t="str">
        <f t="shared" si="6"/>
        <v>CASACAS</v>
      </c>
      <c r="I44" s="204" t="str">
        <f t="shared" si="6"/>
        <v>POLERAS</v>
      </c>
      <c r="J44" s="204" t="str">
        <f t="shared" si="6"/>
        <v>POLOS</v>
      </c>
      <c r="K44" s="204" t="str">
        <f t="shared" si="6"/>
        <v>POLERAS</v>
      </c>
      <c r="L44" s="204" t="str">
        <f t="shared" si="6"/>
        <v>POLERAS</v>
      </c>
      <c r="M44" s="204" t="str">
        <f t="shared" si="6"/>
        <v>POLERAS</v>
      </c>
      <c r="N44" s="204" t="str">
        <f t="shared" si="6"/>
        <v>POLOS</v>
      </c>
      <c r="O44" s="204" t="str">
        <f t="shared" si="6"/>
        <v>POLERAS</v>
      </c>
      <c r="P44" s="204" t="str">
        <f t="shared" si="6"/>
        <v>CASACAS</v>
      </c>
      <c r="Q44" s="204" t="str">
        <f t="shared" si="6"/>
        <v>CASACAS</v>
      </c>
      <c r="R44" s="204" t="str">
        <f t="shared" si="6"/>
        <v>CASACAS</v>
      </c>
      <c r="S44" s="204" t="str">
        <f t="shared" si="6"/>
        <v>POLERAS</v>
      </c>
      <c r="T44" s="159"/>
      <c r="U44" s="159"/>
      <c r="V44" s="159"/>
      <c r="W44" s="159"/>
      <c r="X44" s="159"/>
      <c r="Y44" s="159"/>
      <c r="Z44" s="159"/>
      <c r="AA44" s="159"/>
    </row>
    <row r="45" spans="1:28" x14ac:dyDescent="0.25">
      <c r="A45" s="450"/>
      <c r="B45" s="450"/>
      <c r="C45" s="451"/>
      <c r="D45" s="160">
        <f>G5</f>
        <v>21</v>
      </c>
      <c r="E45" s="160">
        <f t="shared" ref="E45:S45" si="7">H5</f>
        <v>27</v>
      </c>
      <c r="F45" s="160">
        <f t="shared" si="7"/>
        <v>27</v>
      </c>
      <c r="G45" s="160">
        <f t="shared" si="7"/>
        <v>54</v>
      </c>
      <c r="H45" s="160">
        <f t="shared" si="7"/>
        <v>21</v>
      </c>
      <c r="I45" s="160">
        <f t="shared" si="7"/>
        <v>24</v>
      </c>
      <c r="J45" s="160">
        <f t="shared" si="7"/>
        <v>26</v>
      </c>
      <c r="K45" s="160">
        <f t="shared" si="7"/>
        <v>28</v>
      </c>
      <c r="L45" s="160">
        <f t="shared" si="7"/>
        <v>17</v>
      </c>
      <c r="M45" s="160">
        <f t="shared" si="7"/>
        <v>14</v>
      </c>
      <c r="N45" s="160">
        <f t="shared" si="7"/>
        <v>34</v>
      </c>
      <c r="O45" s="160">
        <f t="shared" si="7"/>
        <v>22</v>
      </c>
      <c r="P45" s="160">
        <f t="shared" si="7"/>
        <v>23</v>
      </c>
      <c r="Q45" s="160">
        <f t="shared" si="7"/>
        <v>29</v>
      </c>
      <c r="R45" s="160">
        <f t="shared" si="7"/>
        <v>51</v>
      </c>
      <c r="S45" s="160">
        <f t="shared" si="7"/>
        <v>27</v>
      </c>
      <c r="T45" s="159"/>
      <c r="U45" s="159"/>
      <c r="V45" s="159"/>
      <c r="W45" s="159"/>
      <c r="X45" s="159"/>
      <c r="Y45" s="159"/>
      <c r="Z45" s="159"/>
      <c r="AA45" s="159"/>
      <c r="AB45" s="159"/>
    </row>
    <row r="46" spans="1:28" ht="15.75" customHeight="1" x14ac:dyDescent="0.25">
      <c r="A46" s="450"/>
      <c r="B46" s="450"/>
      <c r="C46" s="451"/>
      <c r="D46" s="160" t="str">
        <f>G27</f>
        <v>Terminado</v>
      </c>
      <c r="E46" s="160" t="str">
        <f t="shared" ref="E46:S46" si="8">H27</f>
        <v>Terminado</v>
      </c>
      <c r="F46" s="160" t="str">
        <f t="shared" si="8"/>
        <v>Terminado</v>
      </c>
      <c r="G46" s="160" t="str">
        <f t="shared" si="8"/>
        <v>Terminado</v>
      </c>
      <c r="H46" s="160" t="str">
        <f t="shared" si="8"/>
        <v>Terminado</v>
      </c>
      <c r="I46" s="160" t="str">
        <f t="shared" si="8"/>
        <v>Terminado</v>
      </c>
      <c r="J46" s="160" t="str">
        <f t="shared" si="8"/>
        <v>Terminado</v>
      </c>
      <c r="K46" s="160" t="str">
        <f t="shared" si="8"/>
        <v>Terminado</v>
      </c>
      <c r="L46" s="160" t="str">
        <f t="shared" si="8"/>
        <v>Terminado</v>
      </c>
      <c r="M46" s="160" t="str">
        <f t="shared" si="8"/>
        <v>Terminado</v>
      </c>
      <c r="N46" s="160" t="str">
        <f t="shared" si="8"/>
        <v>Terminado</v>
      </c>
      <c r="O46" s="160" t="str">
        <f t="shared" si="8"/>
        <v>Terminado</v>
      </c>
      <c r="P46" s="160" t="str">
        <f t="shared" si="8"/>
        <v>Terminado</v>
      </c>
      <c r="Q46" s="160" t="str">
        <f t="shared" si="8"/>
        <v>Terminado</v>
      </c>
      <c r="R46" s="160" t="str">
        <f t="shared" si="8"/>
        <v>Terminado</v>
      </c>
      <c r="S46" s="160" t="str">
        <f t="shared" si="8"/>
        <v>Terminado</v>
      </c>
      <c r="T46" s="159"/>
      <c r="U46" s="159"/>
      <c r="V46" s="159"/>
      <c r="W46" s="159"/>
      <c r="X46" s="159"/>
      <c r="Y46" s="159"/>
      <c r="Z46" s="159"/>
      <c r="AA46" s="159"/>
      <c r="AB46" s="159"/>
    </row>
    <row r="47" spans="1:28" x14ac:dyDescent="0.25">
      <c r="A47" s="145" t="str">
        <f t="shared" ref="A47:C59" si="9">A28</f>
        <v>MD01</v>
      </c>
      <c r="B47" s="145" t="str">
        <f t="shared" si="9"/>
        <v>Bolsas para empaquetado</v>
      </c>
      <c r="C47" s="145" t="str">
        <f t="shared" si="9"/>
        <v xml:space="preserve">unidad </v>
      </c>
      <c r="D47" s="205">
        <f>G28*G7</f>
        <v>3.15</v>
      </c>
      <c r="E47" s="205">
        <f t="shared" ref="E47:S59" si="10">H28*H7</f>
        <v>4.05</v>
      </c>
      <c r="F47" s="205">
        <f t="shared" si="10"/>
        <v>4.05</v>
      </c>
      <c r="G47" s="205">
        <f t="shared" si="10"/>
        <v>8.1</v>
      </c>
      <c r="H47" s="205">
        <f t="shared" si="10"/>
        <v>3.15</v>
      </c>
      <c r="I47" s="205">
        <f t="shared" si="10"/>
        <v>3.5999999999999996</v>
      </c>
      <c r="J47" s="205">
        <f t="shared" si="10"/>
        <v>3.9</v>
      </c>
      <c r="K47" s="205">
        <f t="shared" si="10"/>
        <v>4.2</v>
      </c>
      <c r="L47" s="205">
        <f t="shared" si="10"/>
        <v>2.5499999999999998</v>
      </c>
      <c r="M47" s="205">
        <f t="shared" si="10"/>
        <v>2.1</v>
      </c>
      <c r="N47" s="205">
        <f t="shared" si="10"/>
        <v>5.0999999999999996</v>
      </c>
      <c r="O47" s="205">
        <f t="shared" si="10"/>
        <v>3.3</v>
      </c>
      <c r="P47" s="205">
        <f t="shared" si="10"/>
        <v>3.4499999999999997</v>
      </c>
      <c r="Q47" s="205">
        <f t="shared" si="10"/>
        <v>4.3499999999999996</v>
      </c>
      <c r="R47" s="205">
        <f t="shared" si="10"/>
        <v>7.6499999999999995</v>
      </c>
      <c r="S47" s="205">
        <f t="shared" si="10"/>
        <v>4.05</v>
      </c>
      <c r="T47" s="159"/>
      <c r="U47" s="159"/>
      <c r="V47" s="159"/>
      <c r="W47" s="159"/>
      <c r="X47" s="159"/>
      <c r="Y47" s="159"/>
      <c r="Z47" s="159"/>
      <c r="AA47" s="159"/>
      <c r="AB47" s="159"/>
    </row>
    <row r="48" spans="1:28" ht="15.75" customHeight="1" x14ac:dyDescent="0.25">
      <c r="A48" s="145" t="str">
        <f t="shared" si="9"/>
        <v>MD02</v>
      </c>
      <c r="B48" s="145" t="str">
        <f t="shared" si="9"/>
        <v>Broches</v>
      </c>
      <c r="C48" s="145" t="str">
        <f t="shared" si="9"/>
        <v xml:space="preserve">unidad </v>
      </c>
      <c r="D48" s="205">
        <f t="shared" ref="D48:D59" si="11">G29*G8</f>
        <v>50.4</v>
      </c>
      <c r="E48" s="205">
        <f t="shared" si="10"/>
        <v>64.8</v>
      </c>
      <c r="F48" s="205">
        <f t="shared" si="10"/>
        <v>0</v>
      </c>
      <c r="G48" s="205">
        <f t="shared" si="10"/>
        <v>0</v>
      </c>
      <c r="H48" s="205">
        <f t="shared" si="10"/>
        <v>50.4</v>
      </c>
      <c r="I48" s="205">
        <f t="shared" si="10"/>
        <v>0</v>
      </c>
      <c r="J48" s="205">
        <f t="shared" si="10"/>
        <v>0</v>
      </c>
      <c r="K48" s="205">
        <f t="shared" si="10"/>
        <v>0</v>
      </c>
      <c r="L48" s="205">
        <f t="shared" si="10"/>
        <v>0</v>
      </c>
      <c r="M48" s="205">
        <f t="shared" si="10"/>
        <v>0</v>
      </c>
      <c r="N48" s="205">
        <f t="shared" si="10"/>
        <v>0</v>
      </c>
      <c r="O48" s="205">
        <f t="shared" si="10"/>
        <v>0</v>
      </c>
      <c r="P48" s="205">
        <f t="shared" si="10"/>
        <v>0</v>
      </c>
      <c r="Q48" s="205">
        <f t="shared" si="10"/>
        <v>69.599999999999994</v>
      </c>
      <c r="R48" s="205">
        <f t="shared" si="10"/>
        <v>122.39999999999999</v>
      </c>
      <c r="S48" s="205">
        <f t="shared" si="10"/>
        <v>0</v>
      </c>
      <c r="T48" s="159"/>
      <c r="U48" s="159"/>
      <c r="V48" s="159"/>
      <c r="W48" s="159"/>
      <c r="X48" s="159"/>
      <c r="Y48" s="159"/>
      <c r="Z48" s="159"/>
      <c r="AA48" s="159"/>
      <c r="AB48" s="159"/>
    </row>
    <row r="49" spans="1:28" x14ac:dyDescent="0.25">
      <c r="A49" s="145" t="str">
        <f t="shared" si="9"/>
        <v>MD03</v>
      </c>
      <c r="B49" s="145" t="str">
        <f t="shared" si="9"/>
        <v>Cierre</v>
      </c>
      <c r="C49" s="145" t="str">
        <f t="shared" si="9"/>
        <v xml:space="preserve">unidad </v>
      </c>
      <c r="D49" s="205">
        <f t="shared" si="11"/>
        <v>26.25</v>
      </c>
      <c r="E49" s="205">
        <f t="shared" si="10"/>
        <v>0</v>
      </c>
      <c r="F49" s="205">
        <f t="shared" si="10"/>
        <v>0</v>
      </c>
      <c r="G49" s="205">
        <f t="shared" si="10"/>
        <v>0</v>
      </c>
      <c r="H49" s="205">
        <f t="shared" si="10"/>
        <v>26.25</v>
      </c>
      <c r="I49" s="205">
        <f t="shared" si="10"/>
        <v>0</v>
      </c>
      <c r="J49" s="205">
        <f t="shared" si="10"/>
        <v>0</v>
      </c>
      <c r="K49" s="205">
        <f t="shared" si="10"/>
        <v>0</v>
      </c>
      <c r="L49" s="205">
        <f t="shared" si="10"/>
        <v>0</v>
      </c>
      <c r="M49" s="205">
        <f t="shared" si="10"/>
        <v>0</v>
      </c>
      <c r="N49" s="205">
        <f t="shared" si="10"/>
        <v>0</v>
      </c>
      <c r="O49" s="205">
        <f t="shared" si="10"/>
        <v>0</v>
      </c>
      <c r="P49" s="205">
        <f t="shared" si="10"/>
        <v>28.75</v>
      </c>
      <c r="Q49" s="205">
        <f t="shared" si="10"/>
        <v>0</v>
      </c>
      <c r="R49" s="205">
        <f t="shared" si="10"/>
        <v>63.75</v>
      </c>
      <c r="S49" s="205">
        <f t="shared" si="10"/>
        <v>0</v>
      </c>
      <c r="T49" s="159"/>
      <c r="U49" s="159"/>
      <c r="V49" s="159"/>
      <c r="W49" s="159"/>
      <c r="X49" s="159"/>
      <c r="Y49" s="159"/>
      <c r="Z49" s="159"/>
      <c r="AA49" s="159"/>
      <c r="AB49" s="159"/>
    </row>
    <row r="50" spans="1:28" x14ac:dyDescent="0.25">
      <c r="A50" s="145" t="str">
        <f t="shared" si="9"/>
        <v>MD04</v>
      </c>
      <c r="B50" s="145" t="str">
        <f t="shared" si="9"/>
        <v>Etiqueta de la marca</v>
      </c>
      <c r="C50" s="145" t="str">
        <f t="shared" si="9"/>
        <v xml:space="preserve">unidad </v>
      </c>
      <c r="D50" s="205">
        <f t="shared" si="11"/>
        <v>2.1</v>
      </c>
      <c r="E50" s="205">
        <f t="shared" si="10"/>
        <v>2.7</v>
      </c>
      <c r="F50" s="205">
        <f t="shared" si="10"/>
        <v>2.7</v>
      </c>
      <c r="G50" s="205">
        <f t="shared" si="10"/>
        <v>5.4</v>
      </c>
      <c r="H50" s="205">
        <f t="shared" si="10"/>
        <v>2.1</v>
      </c>
      <c r="I50" s="205">
        <f t="shared" si="10"/>
        <v>2.4000000000000004</v>
      </c>
      <c r="J50" s="205">
        <f t="shared" si="10"/>
        <v>2.6</v>
      </c>
      <c r="K50" s="205">
        <f t="shared" si="10"/>
        <v>2.8000000000000003</v>
      </c>
      <c r="L50" s="205">
        <f t="shared" si="10"/>
        <v>1.7000000000000002</v>
      </c>
      <c r="M50" s="205">
        <f t="shared" si="10"/>
        <v>1.4000000000000001</v>
      </c>
      <c r="N50" s="205">
        <f t="shared" si="10"/>
        <v>3.4000000000000004</v>
      </c>
      <c r="O50" s="205">
        <f t="shared" si="10"/>
        <v>2.2000000000000002</v>
      </c>
      <c r="P50" s="205">
        <f t="shared" si="10"/>
        <v>2.3000000000000003</v>
      </c>
      <c r="Q50" s="205">
        <f t="shared" si="10"/>
        <v>2.9000000000000004</v>
      </c>
      <c r="R50" s="205">
        <f t="shared" si="10"/>
        <v>5.1000000000000005</v>
      </c>
      <c r="S50" s="205">
        <f t="shared" si="10"/>
        <v>2.7</v>
      </c>
      <c r="T50" s="159"/>
      <c r="U50" s="159"/>
      <c r="V50" s="159"/>
      <c r="W50" s="159"/>
      <c r="X50" s="159"/>
      <c r="Y50" s="159"/>
      <c r="Z50" s="159"/>
      <c r="AA50" s="159"/>
      <c r="AB50" s="159"/>
    </row>
    <row r="51" spans="1:28" x14ac:dyDescent="0.25">
      <c r="A51" s="145" t="str">
        <f t="shared" si="9"/>
        <v>MD05</v>
      </c>
      <c r="B51" s="145" t="str">
        <f t="shared" si="9"/>
        <v>Etiqueta de los nombre</v>
      </c>
      <c r="C51" s="145" t="str">
        <f t="shared" si="9"/>
        <v xml:space="preserve">unidad </v>
      </c>
      <c r="D51" s="205">
        <f t="shared" si="11"/>
        <v>0.42</v>
      </c>
      <c r="E51" s="205">
        <f t="shared" si="10"/>
        <v>0.54</v>
      </c>
      <c r="F51" s="205">
        <f t="shared" si="10"/>
        <v>0.54</v>
      </c>
      <c r="G51" s="205">
        <f t="shared" si="10"/>
        <v>1.08</v>
      </c>
      <c r="H51" s="205">
        <f t="shared" si="10"/>
        <v>0.42</v>
      </c>
      <c r="I51" s="205">
        <f t="shared" si="10"/>
        <v>0.48</v>
      </c>
      <c r="J51" s="205">
        <f t="shared" si="10"/>
        <v>0.52</v>
      </c>
      <c r="K51" s="205">
        <f t="shared" si="10"/>
        <v>0.56000000000000005</v>
      </c>
      <c r="L51" s="205">
        <f t="shared" si="10"/>
        <v>0.34</v>
      </c>
      <c r="M51" s="205">
        <f t="shared" si="10"/>
        <v>0.28000000000000003</v>
      </c>
      <c r="N51" s="205">
        <f t="shared" si="10"/>
        <v>0.68</v>
      </c>
      <c r="O51" s="205">
        <f t="shared" si="10"/>
        <v>0.44</v>
      </c>
      <c r="P51" s="205">
        <f t="shared" si="10"/>
        <v>0.46</v>
      </c>
      <c r="Q51" s="205">
        <f t="shared" si="10"/>
        <v>0.57999999999999996</v>
      </c>
      <c r="R51" s="205">
        <f t="shared" si="10"/>
        <v>1.02</v>
      </c>
      <c r="S51" s="205">
        <f t="shared" si="10"/>
        <v>0.54</v>
      </c>
      <c r="T51" s="159"/>
      <c r="U51" s="159"/>
      <c r="V51" s="159"/>
      <c r="W51" s="159"/>
      <c r="X51" s="159"/>
      <c r="Y51" s="159"/>
      <c r="Z51" s="159"/>
      <c r="AA51" s="159"/>
      <c r="AB51" s="159"/>
    </row>
    <row r="52" spans="1:28" x14ac:dyDescent="0.25">
      <c r="A52" s="145" t="str">
        <f t="shared" si="9"/>
        <v>MD06</v>
      </c>
      <c r="B52" s="145" t="str">
        <f t="shared" si="9"/>
        <v>Etiqueta de los piezas (Etiquetas de Transferencia Térmica)</v>
      </c>
      <c r="C52" s="145" t="str">
        <f t="shared" si="9"/>
        <v xml:space="preserve">unidad </v>
      </c>
      <c r="D52" s="205">
        <f t="shared" si="11"/>
        <v>3.3600000000000003</v>
      </c>
      <c r="E52" s="205">
        <f t="shared" si="10"/>
        <v>4.32</v>
      </c>
      <c r="F52" s="205">
        <f t="shared" si="10"/>
        <v>2.8800000000000003</v>
      </c>
      <c r="G52" s="205">
        <f t="shared" si="10"/>
        <v>8.64</v>
      </c>
      <c r="H52" s="205">
        <f t="shared" si="10"/>
        <v>3.3600000000000003</v>
      </c>
      <c r="I52" s="205">
        <f t="shared" si="10"/>
        <v>3.8400000000000003</v>
      </c>
      <c r="J52" s="205">
        <f t="shared" si="10"/>
        <v>2.7733333333333334</v>
      </c>
      <c r="K52" s="205">
        <f t="shared" si="10"/>
        <v>4.4800000000000004</v>
      </c>
      <c r="L52" s="205">
        <f t="shared" si="10"/>
        <v>2.72</v>
      </c>
      <c r="M52" s="205">
        <f t="shared" si="10"/>
        <v>2.2400000000000002</v>
      </c>
      <c r="N52" s="205">
        <f t="shared" si="10"/>
        <v>3.6266666666666669</v>
      </c>
      <c r="O52" s="205">
        <f t="shared" si="10"/>
        <v>3.52</v>
      </c>
      <c r="P52" s="205">
        <f t="shared" si="10"/>
        <v>3.68</v>
      </c>
      <c r="Q52" s="205">
        <f t="shared" si="10"/>
        <v>4.6400000000000006</v>
      </c>
      <c r="R52" s="205">
        <f t="shared" si="10"/>
        <v>8.16</v>
      </c>
      <c r="S52" s="205">
        <f t="shared" si="10"/>
        <v>4.32</v>
      </c>
      <c r="T52" s="159"/>
      <c r="U52" s="159"/>
      <c r="V52" s="159"/>
      <c r="W52" s="159"/>
      <c r="X52" s="159"/>
      <c r="Y52" s="159"/>
      <c r="Z52" s="159"/>
      <c r="AA52" s="159"/>
      <c r="AB52" s="159"/>
    </row>
    <row r="53" spans="1:28" x14ac:dyDescent="0.25">
      <c r="A53" s="145" t="str">
        <f t="shared" si="9"/>
        <v>MD07</v>
      </c>
      <c r="B53" s="145" t="str">
        <f t="shared" si="9"/>
        <v>Hilo de costura</v>
      </c>
      <c r="C53" s="145" t="str">
        <f t="shared" si="9"/>
        <v xml:space="preserve">unidad </v>
      </c>
      <c r="D53" s="205">
        <f t="shared" si="11"/>
        <v>12.600000000000001</v>
      </c>
      <c r="E53" s="205">
        <f t="shared" si="10"/>
        <v>16.200000000000003</v>
      </c>
      <c r="F53" s="205">
        <f t="shared" si="10"/>
        <v>16.200000000000003</v>
      </c>
      <c r="G53" s="205">
        <f t="shared" si="10"/>
        <v>32.400000000000006</v>
      </c>
      <c r="H53" s="205">
        <f t="shared" si="10"/>
        <v>12.600000000000001</v>
      </c>
      <c r="I53" s="205">
        <f t="shared" si="10"/>
        <v>14.400000000000002</v>
      </c>
      <c r="J53" s="205">
        <f t="shared" si="10"/>
        <v>15.600000000000001</v>
      </c>
      <c r="K53" s="205">
        <f t="shared" si="10"/>
        <v>16.8</v>
      </c>
      <c r="L53" s="205">
        <f t="shared" si="10"/>
        <v>10.200000000000001</v>
      </c>
      <c r="M53" s="205">
        <f t="shared" si="10"/>
        <v>8.4</v>
      </c>
      <c r="N53" s="205">
        <f t="shared" si="10"/>
        <v>20.400000000000002</v>
      </c>
      <c r="O53" s="205">
        <f t="shared" si="10"/>
        <v>13.200000000000001</v>
      </c>
      <c r="P53" s="205">
        <f t="shared" si="10"/>
        <v>13.8</v>
      </c>
      <c r="Q53" s="205">
        <f t="shared" si="10"/>
        <v>17.400000000000002</v>
      </c>
      <c r="R53" s="205">
        <f t="shared" si="10"/>
        <v>30.6</v>
      </c>
      <c r="S53" s="205">
        <f t="shared" si="10"/>
        <v>16.200000000000003</v>
      </c>
      <c r="T53" s="159"/>
      <c r="U53" s="159"/>
      <c r="V53" s="159"/>
      <c r="W53" s="159"/>
      <c r="X53" s="159"/>
      <c r="Y53" s="159"/>
      <c r="Z53" s="159"/>
      <c r="AA53" s="159"/>
      <c r="AB53" s="159"/>
    </row>
    <row r="54" spans="1:28" x14ac:dyDescent="0.25">
      <c r="A54" s="145" t="str">
        <f t="shared" si="9"/>
        <v>MD08</v>
      </c>
      <c r="B54" s="145" t="str">
        <f t="shared" si="9"/>
        <v>Hilo pasador</v>
      </c>
      <c r="C54" s="145" t="str">
        <f t="shared" si="9"/>
        <v xml:space="preserve">unidad </v>
      </c>
      <c r="D54" s="205">
        <f t="shared" si="11"/>
        <v>0</v>
      </c>
      <c r="E54" s="205">
        <f t="shared" si="10"/>
        <v>0</v>
      </c>
      <c r="F54" s="205">
        <f t="shared" si="10"/>
        <v>0</v>
      </c>
      <c r="G54" s="205">
        <f t="shared" si="10"/>
        <v>27</v>
      </c>
      <c r="H54" s="205">
        <f t="shared" si="10"/>
        <v>0</v>
      </c>
      <c r="I54" s="205">
        <f t="shared" si="10"/>
        <v>0</v>
      </c>
      <c r="J54" s="205">
        <f t="shared" si="10"/>
        <v>0</v>
      </c>
      <c r="K54" s="205">
        <f t="shared" si="10"/>
        <v>14</v>
      </c>
      <c r="L54" s="205">
        <f t="shared" si="10"/>
        <v>0</v>
      </c>
      <c r="M54" s="205">
        <f t="shared" si="10"/>
        <v>0</v>
      </c>
      <c r="N54" s="205">
        <f t="shared" si="10"/>
        <v>0</v>
      </c>
      <c r="O54" s="205">
        <f t="shared" si="10"/>
        <v>11</v>
      </c>
      <c r="P54" s="205">
        <f t="shared" si="10"/>
        <v>0</v>
      </c>
      <c r="Q54" s="205">
        <f t="shared" si="10"/>
        <v>0</v>
      </c>
      <c r="R54" s="205">
        <f t="shared" si="10"/>
        <v>0</v>
      </c>
      <c r="S54" s="205">
        <f t="shared" si="10"/>
        <v>13.5</v>
      </c>
      <c r="T54" s="159"/>
      <c r="U54" s="159"/>
      <c r="V54" s="159"/>
      <c r="W54" s="159"/>
      <c r="X54" s="159"/>
      <c r="Y54" s="159"/>
      <c r="Z54" s="159"/>
      <c r="AA54" s="159"/>
      <c r="AB54" s="159"/>
    </row>
    <row r="55" spans="1:28" x14ac:dyDescent="0.25">
      <c r="A55" s="145" t="str">
        <f t="shared" si="9"/>
        <v>MD09</v>
      </c>
      <c r="B55" s="145" t="str">
        <f t="shared" si="9"/>
        <v>Rib</v>
      </c>
      <c r="C55" s="145" t="str">
        <f t="shared" si="9"/>
        <v>metro</v>
      </c>
      <c r="D55" s="205">
        <f t="shared" si="11"/>
        <v>56</v>
      </c>
      <c r="E55" s="205">
        <f t="shared" si="10"/>
        <v>72</v>
      </c>
      <c r="F55" s="205">
        <f t="shared" si="10"/>
        <v>72</v>
      </c>
      <c r="G55" s="205">
        <f t="shared" si="10"/>
        <v>144</v>
      </c>
      <c r="H55" s="205">
        <f t="shared" si="10"/>
        <v>56</v>
      </c>
      <c r="I55" s="205">
        <f t="shared" si="10"/>
        <v>64</v>
      </c>
      <c r="J55" s="205">
        <f t="shared" si="10"/>
        <v>69.333333333333329</v>
      </c>
      <c r="K55" s="205">
        <f t="shared" si="10"/>
        <v>74.666666666666671</v>
      </c>
      <c r="L55" s="205">
        <f t="shared" si="10"/>
        <v>45.333333333333336</v>
      </c>
      <c r="M55" s="205">
        <f t="shared" si="10"/>
        <v>37.333333333333336</v>
      </c>
      <c r="N55" s="205">
        <f t="shared" si="10"/>
        <v>90.666666666666671</v>
      </c>
      <c r="O55" s="205">
        <f t="shared" si="10"/>
        <v>58.666666666666664</v>
      </c>
      <c r="P55" s="205">
        <f t="shared" si="10"/>
        <v>61.333333333333329</v>
      </c>
      <c r="Q55" s="205">
        <f t="shared" si="10"/>
        <v>77.333333333333329</v>
      </c>
      <c r="R55" s="205">
        <f t="shared" si="10"/>
        <v>136</v>
      </c>
      <c r="S55" s="205">
        <f t="shared" si="10"/>
        <v>72</v>
      </c>
      <c r="T55" s="159"/>
      <c r="U55" s="159"/>
      <c r="V55" s="159"/>
      <c r="W55" s="159"/>
      <c r="X55" s="159"/>
      <c r="Y55" s="159"/>
      <c r="Z55" s="159"/>
      <c r="AA55" s="159"/>
      <c r="AB55" s="159"/>
    </row>
    <row r="56" spans="1:28" x14ac:dyDescent="0.25">
      <c r="A56" s="145" t="str">
        <f t="shared" si="9"/>
        <v>MD10</v>
      </c>
      <c r="B56" s="145" t="str">
        <f t="shared" si="9"/>
        <v>Franela Perchada 24/1</v>
      </c>
      <c r="C56" s="145" t="str">
        <f t="shared" si="9"/>
        <v>metro</v>
      </c>
      <c r="D56" s="205">
        <f t="shared" si="11"/>
        <v>462</v>
      </c>
      <c r="E56" s="205">
        <f t="shared" si="10"/>
        <v>594.00000000000011</v>
      </c>
      <c r="F56" s="205">
        <f t="shared" si="10"/>
        <v>0</v>
      </c>
      <c r="G56" s="205">
        <f t="shared" si="10"/>
        <v>1188.0000000000002</v>
      </c>
      <c r="H56" s="205">
        <f t="shared" si="10"/>
        <v>0</v>
      </c>
      <c r="I56" s="205">
        <f t="shared" si="10"/>
        <v>0</v>
      </c>
      <c r="J56" s="205">
        <f t="shared" si="10"/>
        <v>0</v>
      </c>
      <c r="K56" s="205">
        <f t="shared" si="10"/>
        <v>616.13440000000003</v>
      </c>
      <c r="L56" s="205">
        <f t="shared" si="10"/>
        <v>374.08160000000004</v>
      </c>
      <c r="M56" s="205">
        <f t="shared" si="10"/>
        <v>0</v>
      </c>
      <c r="N56" s="205">
        <f t="shared" si="10"/>
        <v>0</v>
      </c>
      <c r="O56" s="205">
        <f t="shared" si="10"/>
        <v>484.10560000000004</v>
      </c>
      <c r="P56" s="205">
        <f t="shared" si="10"/>
        <v>0</v>
      </c>
      <c r="Q56" s="205">
        <f t="shared" si="10"/>
        <v>638.13920000000007</v>
      </c>
      <c r="R56" s="205">
        <f t="shared" si="10"/>
        <v>1122.2447999999999</v>
      </c>
      <c r="S56" s="205">
        <f t="shared" si="10"/>
        <v>594.1296000000001</v>
      </c>
      <c r="T56" s="159"/>
      <c r="U56" s="159"/>
      <c r="V56" s="159"/>
      <c r="W56" s="159"/>
      <c r="X56" s="159"/>
      <c r="Y56" s="159"/>
      <c r="Z56" s="159"/>
      <c r="AA56" s="159"/>
      <c r="AB56" s="159"/>
    </row>
    <row r="57" spans="1:28" x14ac:dyDescent="0.25">
      <c r="A57" s="145" t="str">
        <f t="shared" si="9"/>
        <v>MD11</v>
      </c>
      <c r="B57" s="145" t="str">
        <f t="shared" si="9"/>
        <v>Frech Terry 24/1</v>
      </c>
      <c r="C57" s="145" t="str">
        <f t="shared" si="9"/>
        <v>metro</v>
      </c>
      <c r="D57" s="205">
        <f t="shared" si="11"/>
        <v>0</v>
      </c>
      <c r="E57" s="205">
        <f t="shared" si="10"/>
        <v>0</v>
      </c>
      <c r="F57" s="205">
        <f t="shared" si="10"/>
        <v>0</v>
      </c>
      <c r="G57" s="205">
        <f t="shared" si="10"/>
        <v>0</v>
      </c>
      <c r="H57" s="205">
        <f t="shared" si="10"/>
        <v>523.6</v>
      </c>
      <c r="I57" s="205">
        <f t="shared" si="10"/>
        <v>598.4</v>
      </c>
      <c r="J57" s="205">
        <f t="shared" si="10"/>
        <v>0</v>
      </c>
      <c r="K57" s="205">
        <f t="shared" si="10"/>
        <v>0</v>
      </c>
      <c r="L57" s="205">
        <f t="shared" si="10"/>
        <v>0</v>
      </c>
      <c r="M57" s="205">
        <f t="shared" si="10"/>
        <v>349.00319999999999</v>
      </c>
      <c r="N57" s="205">
        <f t="shared" si="10"/>
        <v>0</v>
      </c>
      <c r="O57" s="205">
        <f t="shared" si="10"/>
        <v>0</v>
      </c>
      <c r="P57" s="205">
        <f t="shared" si="10"/>
        <v>573.36239999999998</v>
      </c>
      <c r="Q57" s="205">
        <f t="shared" si="10"/>
        <v>0</v>
      </c>
      <c r="R57" s="205">
        <f t="shared" si="10"/>
        <v>0</v>
      </c>
      <c r="S57" s="205">
        <f t="shared" si="10"/>
        <v>0</v>
      </c>
      <c r="T57" s="159"/>
      <c r="U57" s="159"/>
      <c r="V57" s="159"/>
      <c r="W57" s="159"/>
      <c r="X57" s="159"/>
      <c r="Y57" s="159"/>
      <c r="Z57" s="159"/>
      <c r="AA57" s="159"/>
      <c r="AB57" s="159"/>
    </row>
    <row r="58" spans="1:28" x14ac:dyDescent="0.25">
      <c r="A58" s="145" t="str">
        <f t="shared" si="9"/>
        <v>MD12</v>
      </c>
      <c r="B58" s="145" t="str">
        <f t="shared" si="9"/>
        <v>Jersey 30/1</v>
      </c>
      <c r="C58" s="145" t="str">
        <f t="shared" si="9"/>
        <v>metro</v>
      </c>
      <c r="D58" s="205">
        <f t="shared" si="11"/>
        <v>0</v>
      </c>
      <c r="E58" s="205">
        <f t="shared" si="10"/>
        <v>0</v>
      </c>
      <c r="F58" s="205">
        <f t="shared" si="10"/>
        <v>185.625</v>
      </c>
      <c r="G58" s="205">
        <f t="shared" si="10"/>
        <v>0</v>
      </c>
      <c r="H58" s="205">
        <f t="shared" si="10"/>
        <v>0</v>
      </c>
      <c r="I58" s="205">
        <f t="shared" si="10"/>
        <v>0</v>
      </c>
      <c r="J58" s="205">
        <f t="shared" si="10"/>
        <v>0</v>
      </c>
      <c r="K58" s="205">
        <f t="shared" si="10"/>
        <v>0</v>
      </c>
      <c r="L58" s="205">
        <f t="shared" si="10"/>
        <v>0</v>
      </c>
      <c r="M58" s="205">
        <f t="shared" si="10"/>
        <v>0</v>
      </c>
      <c r="N58" s="205">
        <f t="shared" si="10"/>
        <v>233.75</v>
      </c>
      <c r="O58" s="205">
        <f t="shared" si="10"/>
        <v>0</v>
      </c>
      <c r="P58" s="205">
        <f t="shared" si="10"/>
        <v>0</v>
      </c>
      <c r="Q58" s="205">
        <f t="shared" si="10"/>
        <v>0</v>
      </c>
      <c r="R58" s="205">
        <f t="shared" si="10"/>
        <v>0</v>
      </c>
      <c r="S58" s="205">
        <f t="shared" si="10"/>
        <v>0</v>
      </c>
      <c r="T58" s="159"/>
      <c r="U58" s="159"/>
      <c r="V58" s="159"/>
      <c r="W58" s="159"/>
      <c r="X58" s="159"/>
      <c r="Y58" s="159"/>
      <c r="Z58" s="159"/>
      <c r="AA58" s="159"/>
      <c r="AB58" s="159"/>
    </row>
    <row r="59" spans="1:28" x14ac:dyDescent="0.25">
      <c r="A59" s="145" t="str">
        <f t="shared" si="9"/>
        <v>MD13</v>
      </c>
      <c r="B59" s="145" t="str">
        <f t="shared" si="9"/>
        <v>Algodón tacto</v>
      </c>
      <c r="C59" s="145" t="str">
        <f t="shared" si="9"/>
        <v xml:space="preserve">unidad </v>
      </c>
      <c r="D59" s="205">
        <f t="shared" si="11"/>
        <v>0</v>
      </c>
      <c r="E59" s="205">
        <f t="shared" si="10"/>
        <v>0</v>
      </c>
      <c r="F59" s="205">
        <f t="shared" si="10"/>
        <v>0</v>
      </c>
      <c r="G59" s="205">
        <f t="shared" si="10"/>
        <v>0</v>
      </c>
      <c r="H59" s="205">
        <f t="shared" si="10"/>
        <v>0</v>
      </c>
      <c r="I59" s="205">
        <f t="shared" si="10"/>
        <v>0</v>
      </c>
      <c r="J59" s="205">
        <f t="shared" si="10"/>
        <v>156</v>
      </c>
      <c r="K59" s="205">
        <f t="shared" si="10"/>
        <v>0</v>
      </c>
      <c r="L59" s="205">
        <f t="shared" si="10"/>
        <v>0</v>
      </c>
      <c r="M59" s="205">
        <f t="shared" si="10"/>
        <v>0</v>
      </c>
      <c r="N59" s="205">
        <f t="shared" si="10"/>
        <v>0</v>
      </c>
      <c r="O59" s="205">
        <f t="shared" si="10"/>
        <v>0</v>
      </c>
      <c r="P59" s="205">
        <f t="shared" si="10"/>
        <v>0</v>
      </c>
      <c r="Q59" s="205">
        <f t="shared" si="10"/>
        <v>0</v>
      </c>
      <c r="R59" s="205">
        <f t="shared" si="10"/>
        <v>0</v>
      </c>
      <c r="S59" s="205">
        <f t="shared" si="10"/>
        <v>0</v>
      </c>
      <c r="T59" s="159"/>
      <c r="U59" s="159"/>
      <c r="V59" s="159"/>
      <c r="W59" s="159"/>
      <c r="X59" s="159"/>
      <c r="Y59" s="159"/>
      <c r="Z59" s="159"/>
      <c r="AA59" s="159"/>
      <c r="AB59" s="159"/>
    </row>
    <row r="60" spans="1:28" ht="15.75" x14ac:dyDescent="0.25">
      <c r="A60" s="159"/>
      <c r="B60" s="159"/>
      <c r="C60" s="159"/>
      <c r="D60" s="159"/>
      <c r="E60" s="159"/>
      <c r="F60" s="159"/>
      <c r="G60" s="159"/>
      <c r="H60" s="158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</row>
    <row r="61" spans="1:28" x14ac:dyDescent="0.25">
      <c r="A61" s="159"/>
      <c r="B61" s="159"/>
      <c r="C61" s="145" t="s">
        <v>285</v>
      </c>
      <c r="D61" s="145">
        <f>D45</f>
        <v>21</v>
      </c>
      <c r="E61" s="145">
        <f>E45</f>
        <v>27</v>
      </c>
      <c r="F61" s="145">
        <f>F45</f>
        <v>27</v>
      </c>
      <c r="G61" s="145">
        <f>G45</f>
        <v>54</v>
      </c>
      <c r="H61" s="145">
        <f t="shared" ref="H61:S61" si="12">H45</f>
        <v>21</v>
      </c>
      <c r="I61" s="145">
        <f t="shared" si="12"/>
        <v>24</v>
      </c>
      <c r="J61" s="145">
        <f t="shared" si="12"/>
        <v>26</v>
      </c>
      <c r="K61" s="145">
        <f t="shared" si="12"/>
        <v>28</v>
      </c>
      <c r="L61" s="145">
        <f t="shared" si="12"/>
        <v>17</v>
      </c>
      <c r="M61" s="145">
        <f t="shared" si="12"/>
        <v>14</v>
      </c>
      <c r="N61" s="145">
        <f t="shared" si="12"/>
        <v>34</v>
      </c>
      <c r="O61" s="145">
        <f t="shared" si="12"/>
        <v>22</v>
      </c>
      <c r="P61" s="145">
        <f t="shared" si="12"/>
        <v>23</v>
      </c>
      <c r="Q61" s="145">
        <f t="shared" si="12"/>
        <v>29</v>
      </c>
      <c r="R61" s="145">
        <f t="shared" si="12"/>
        <v>51</v>
      </c>
      <c r="S61" s="145">
        <f t="shared" si="12"/>
        <v>27</v>
      </c>
      <c r="T61" s="159"/>
      <c r="U61" s="159"/>
      <c r="V61" s="159"/>
      <c r="W61" s="159"/>
      <c r="X61" s="159"/>
      <c r="Y61" s="159"/>
      <c r="Z61" s="159"/>
      <c r="AA61" s="159"/>
      <c r="AB61" s="159"/>
    </row>
    <row r="62" spans="1:28" x14ac:dyDescent="0.25">
      <c r="A62" s="159"/>
      <c r="B62" s="159"/>
      <c r="C62" s="206" t="s">
        <v>286</v>
      </c>
      <c r="D62" s="207">
        <f>SUM(D47:D59)</f>
        <v>616.28</v>
      </c>
      <c r="E62" s="207">
        <f>SUM(E47:E59)</f>
        <v>758.61000000000013</v>
      </c>
      <c r="F62" s="207">
        <f>SUM(F47:F59)</f>
        <v>283.995</v>
      </c>
      <c r="G62" s="207">
        <f>SUM(G47:G59)</f>
        <v>1414.6200000000003</v>
      </c>
      <c r="H62" s="207">
        <f t="shared" ref="H62:S62" si="13">SUM(H47:H59)</f>
        <v>677.88</v>
      </c>
      <c r="I62" s="207">
        <f t="shared" si="13"/>
        <v>687.12</v>
      </c>
      <c r="J62" s="207">
        <f t="shared" si="13"/>
        <v>250.72666666666666</v>
      </c>
      <c r="K62" s="207">
        <f t="shared" si="13"/>
        <v>733.64106666666669</v>
      </c>
      <c r="L62" s="207">
        <f t="shared" si="13"/>
        <v>436.92493333333334</v>
      </c>
      <c r="M62" s="207">
        <f t="shared" si="13"/>
        <v>400.75653333333332</v>
      </c>
      <c r="N62" s="207">
        <f t="shared" si="13"/>
        <v>357.62333333333333</v>
      </c>
      <c r="O62" s="207">
        <f t="shared" si="13"/>
        <v>576.43226666666669</v>
      </c>
      <c r="P62" s="207">
        <f t="shared" si="13"/>
        <v>687.13573333333329</v>
      </c>
      <c r="Q62" s="207">
        <f t="shared" si="13"/>
        <v>814.94253333333336</v>
      </c>
      <c r="R62" s="207">
        <f t="shared" si="13"/>
        <v>1496.9247999999998</v>
      </c>
      <c r="S62" s="207">
        <f t="shared" si="13"/>
        <v>707.43960000000015</v>
      </c>
      <c r="T62" s="159"/>
      <c r="U62" s="159"/>
      <c r="V62" s="159"/>
      <c r="W62" s="159"/>
      <c r="X62" s="159"/>
      <c r="Y62" s="159"/>
      <c r="Z62" s="159"/>
      <c r="AA62" s="159"/>
      <c r="AB62" s="159"/>
    </row>
    <row r="63" spans="1:28" x14ac:dyDescent="0.25">
      <c r="A63" s="159"/>
      <c r="B63" s="159"/>
      <c r="C63" s="190" t="s">
        <v>287</v>
      </c>
      <c r="D63" s="208">
        <f>D62/D61</f>
        <v>29.346666666666664</v>
      </c>
      <c r="E63" s="208">
        <f>E62/E61</f>
        <v>28.096666666666671</v>
      </c>
      <c r="F63" s="208">
        <f>F62/F61</f>
        <v>10.518333333333333</v>
      </c>
      <c r="G63" s="208">
        <f>G62/G61</f>
        <v>26.196666666666673</v>
      </c>
      <c r="H63" s="208">
        <f>H62/H61</f>
        <v>32.28</v>
      </c>
      <c r="I63" s="208">
        <f t="shared" ref="I63:S63" si="14">I62/I61</f>
        <v>28.63</v>
      </c>
      <c r="J63" s="208">
        <f t="shared" si="14"/>
        <v>9.6433333333333326</v>
      </c>
      <c r="K63" s="208">
        <f t="shared" si="14"/>
        <v>26.201466666666668</v>
      </c>
      <c r="L63" s="208">
        <f t="shared" si="14"/>
        <v>25.701466666666668</v>
      </c>
      <c r="M63" s="208">
        <f t="shared" si="14"/>
        <v>28.625466666666664</v>
      </c>
      <c r="N63" s="208">
        <f t="shared" si="14"/>
        <v>10.518333333333333</v>
      </c>
      <c r="O63" s="208">
        <f t="shared" si="14"/>
        <v>26.201466666666668</v>
      </c>
      <c r="P63" s="208">
        <f t="shared" si="14"/>
        <v>29.875466666666664</v>
      </c>
      <c r="Q63" s="208">
        <f t="shared" si="14"/>
        <v>28.101466666666667</v>
      </c>
      <c r="R63" s="208">
        <f t="shared" si="14"/>
        <v>29.351466666666663</v>
      </c>
      <c r="S63" s="208">
        <f t="shared" si="14"/>
        <v>26.201466666666672</v>
      </c>
      <c r="T63" s="159"/>
      <c r="U63" s="159"/>
      <c r="V63" s="159"/>
      <c r="W63" s="159"/>
      <c r="X63" s="159"/>
      <c r="Y63" s="159"/>
      <c r="Z63" s="159"/>
      <c r="AA63" s="159"/>
      <c r="AB63" s="159"/>
    </row>
    <row r="64" spans="1:28" x14ac:dyDescent="0.25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</row>
    <row r="65" spans="1:28" ht="15.75" x14ac:dyDescent="0.25">
      <c r="A65" s="159"/>
      <c r="B65" s="159"/>
      <c r="C65" s="159"/>
      <c r="D65" s="158" t="s">
        <v>288</v>
      </c>
      <c r="E65" s="158"/>
      <c r="F65" s="158"/>
      <c r="G65" s="209">
        <f>SUM(D62:S62)</f>
        <v>10901.052466666666</v>
      </c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</row>
    <row r="66" spans="1:28" x14ac:dyDescent="0.25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</row>
    <row r="67" spans="1:28" x14ac:dyDescent="0.25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</row>
    <row r="68" spans="1:28" x14ac:dyDescent="0.25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</row>
    <row r="69" spans="1:28" x14ac:dyDescent="0.25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</row>
  </sheetData>
  <mergeCells count="14">
    <mergeCell ref="A43:A46"/>
    <mergeCell ref="B43:B46"/>
    <mergeCell ref="C43:C46"/>
    <mergeCell ref="A1:E1"/>
    <mergeCell ref="A2:A6"/>
    <mergeCell ref="B2:B6"/>
    <mergeCell ref="C2:C6"/>
    <mergeCell ref="D2:F5"/>
    <mergeCell ref="A22:E22"/>
    <mergeCell ref="A23:A27"/>
    <mergeCell ref="B23:B27"/>
    <mergeCell ref="C23:C27"/>
    <mergeCell ref="D23:F26"/>
    <mergeCell ref="A42:D42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6600"/>
  </sheetPr>
  <dimension ref="B1:X54"/>
  <sheetViews>
    <sheetView topLeftCell="F16" workbookViewId="0">
      <selection activeCell="G29" sqref="G29:T33"/>
    </sheetView>
  </sheetViews>
  <sheetFormatPr baseColWidth="10" defaultRowHeight="15" x14ac:dyDescent="0.25"/>
  <cols>
    <col min="1" max="1" width="6.140625" style="255" customWidth="1"/>
    <col min="2" max="2" width="28.28515625" style="255" customWidth="1"/>
    <col min="3" max="3" width="30.28515625" style="255" customWidth="1"/>
    <col min="4" max="6" width="14.85546875" style="255" customWidth="1"/>
    <col min="7" max="7" width="14.42578125" style="255" customWidth="1"/>
    <col min="8" max="8" width="12.5703125" style="255" customWidth="1"/>
    <col min="9" max="9" width="13.42578125" style="255" customWidth="1"/>
    <col min="10" max="10" width="13.5703125" style="255" customWidth="1"/>
    <col min="11" max="11" width="15.28515625" style="268" customWidth="1"/>
    <col min="12" max="12" width="10.85546875" style="280" customWidth="1"/>
    <col min="13" max="13" width="12.7109375" style="255" customWidth="1"/>
    <col min="14" max="14" width="11.42578125" style="255"/>
    <col min="15" max="15" width="10.85546875" style="255" customWidth="1"/>
    <col min="16" max="22" width="11.42578125" style="255"/>
    <col min="23" max="23" width="15.28515625" style="255" customWidth="1"/>
    <col min="24" max="24" width="29.5703125" style="255" customWidth="1"/>
    <col min="25" max="16384" width="11.42578125" style="255"/>
  </cols>
  <sheetData>
    <row r="1" spans="2:24" ht="15" customHeight="1" x14ac:dyDescent="0.25">
      <c r="B1" s="464" t="s">
        <v>461</v>
      </c>
      <c r="C1" s="464"/>
      <c r="D1" s="464"/>
      <c r="E1" s="464"/>
    </row>
    <row r="2" spans="2:24" ht="15" customHeight="1" x14ac:dyDescent="0.25">
      <c r="B2" s="465"/>
      <c r="C2" s="465"/>
      <c r="D2" s="465"/>
      <c r="E2" s="465"/>
      <c r="F2" s="254"/>
      <c r="G2" s="254" t="str">
        <f>[3]CMD!G24</f>
        <v>CASACAS</v>
      </c>
      <c r="H2" s="254" t="str">
        <f>[3]CMD!H24</f>
        <v>CASACAS</v>
      </c>
      <c r="I2" s="254" t="str">
        <f>[3]CMD!I24</f>
        <v>POLOS</v>
      </c>
      <c r="J2" s="254" t="str">
        <f>[3]CMD!J24</f>
        <v>POLERAS</v>
      </c>
      <c r="K2" s="254" t="str">
        <f>[3]CMD!K24</f>
        <v>CASACA</v>
      </c>
      <c r="L2" s="254" t="str">
        <f>[3]CMD!L24</f>
        <v>POLERAS</v>
      </c>
      <c r="M2" s="254" t="str">
        <f>[3]CMD!M24</f>
        <v>POLOS</v>
      </c>
      <c r="N2" s="254" t="str">
        <f>[3]CMD!N24</f>
        <v>POLERAS</v>
      </c>
      <c r="O2" s="254" t="str">
        <f>[3]CMD!O24</f>
        <v>CASACAS</v>
      </c>
      <c r="P2" s="254" t="str">
        <f>[3]CMD!P24</f>
        <v>POLERAS</v>
      </c>
      <c r="Q2" s="254" t="str">
        <f>[3]CMD!Q24</f>
        <v>POLOS</v>
      </c>
      <c r="R2" s="254" t="str">
        <f>[3]CMD!R24</f>
        <v>POLERAS</v>
      </c>
      <c r="S2" s="254" t="str">
        <f>[3]CMD!S24</f>
        <v>CASACAS</v>
      </c>
      <c r="T2" s="254" t="str">
        <f>[3]CMD!T24</f>
        <v>CASACAS</v>
      </c>
      <c r="U2" s="254" t="str">
        <f>[3]CMD!U24</f>
        <v>CASACAS</v>
      </c>
      <c r="V2" s="254" t="str">
        <f>[3]CMD!V24</f>
        <v>POLERAS</v>
      </c>
    </row>
    <row r="3" spans="2:24" x14ac:dyDescent="0.25">
      <c r="B3" s="439" t="s">
        <v>229</v>
      </c>
      <c r="C3" s="439" t="s">
        <v>230</v>
      </c>
      <c r="D3" s="441" t="s">
        <v>231</v>
      </c>
      <c r="E3" s="441" t="s">
        <v>232</v>
      </c>
      <c r="F3" s="441" t="s">
        <v>290</v>
      </c>
      <c r="G3" s="239" t="s">
        <v>262</v>
      </c>
      <c r="H3" s="239" t="s">
        <v>462</v>
      </c>
      <c r="I3" s="256" t="s">
        <v>463</v>
      </c>
      <c r="J3" s="256" t="s">
        <v>464</v>
      </c>
      <c r="K3" s="239" t="s">
        <v>266</v>
      </c>
      <c r="L3" s="239" t="s">
        <v>267</v>
      </c>
      <c r="M3" s="256" t="s">
        <v>268</v>
      </c>
      <c r="N3" s="256" t="s">
        <v>269</v>
      </c>
      <c r="O3" s="239" t="s">
        <v>270</v>
      </c>
      <c r="P3" s="239" t="s">
        <v>271</v>
      </c>
      <c r="Q3" s="256" t="s">
        <v>272</v>
      </c>
      <c r="R3" s="256" t="s">
        <v>273</v>
      </c>
      <c r="S3" s="239" t="s">
        <v>274</v>
      </c>
      <c r="T3" s="239" t="s">
        <v>275</v>
      </c>
      <c r="U3" s="256" t="s">
        <v>276</v>
      </c>
      <c r="V3" s="256" t="s">
        <v>277</v>
      </c>
    </row>
    <row r="4" spans="2:24" x14ac:dyDescent="0.25">
      <c r="B4" s="440"/>
      <c r="C4" s="440"/>
      <c r="D4" s="442"/>
      <c r="E4" s="442"/>
      <c r="F4" s="442"/>
      <c r="G4" s="257" t="s">
        <v>96</v>
      </c>
      <c r="H4" s="257" t="s">
        <v>96</v>
      </c>
      <c r="I4" s="257" t="s">
        <v>96</v>
      </c>
      <c r="J4" s="257" t="s">
        <v>96</v>
      </c>
      <c r="K4" s="257" t="s">
        <v>96</v>
      </c>
      <c r="L4" s="257" t="s">
        <v>96</v>
      </c>
      <c r="M4" s="257" t="s">
        <v>96</v>
      </c>
      <c r="N4" s="257" t="s">
        <v>96</v>
      </c>
      <c r="O4" s="257" t="s">
        <v>96</v>
      </c>
      <c r="P4" s="257" t="s">
        <v>96</v>
      </c>
      <c r="Q4" s="257" t="s">
        <v>96</v>
      </c>
      <c r="R4" s="257" t="s">
        <v>96</v>
      </c>
      <c r="S4" s="257" t="s">
        <v>96</v>
      </c>
      <c r="T4" s="257" t="s">
        <v>96</v>
      </c>
      <c r="U4" s="257" t="s">
        <v>96</v>
      </c>
      <c r="V4" s="257" t="s">
        <v>96</v>
      </c>
    </row>
    <row r="5" spans="2:24" x14ac:dyDescent="0.25">
      <c r="B5" s="440"/>
      <c r="C5" s="440"/>
      <c r="D5" s="442"/>
      <c r="E5" s="442"/>
      <c r="F5" s="442"/>
      <c r="G5" s="160">
        <v>21</v>
      </c>
      <c r="H5" s="160">
        <v>27</v>
      </c>
      <c r="I5" s="160">
        <v>27</v>
      </c>
      <c r="J5" s="160">
        <v>54</v>
      </c>
      <c r="K5" s="160">
        <v>21</v>
      </c>
      <c r="L5" s="160">
        <v>24</v>
      </c>
      <c r="M5" s="160">
        <v>26</v>
      </c>
      <c r="N5" s="160">
        <v>28</v>
      </c>
      <c r="O5" s="160">
        <v>17</v>
      </c>
      <c r="P5" s="160">
        <v>14</v>
      </c>
      <c r="Q5" s="160">
        <v>34</v>
      </c>
      <c r="R5" s="160">
        <v>22</v>
      </c>
      <c r="S5" s="160">
        <v>23</v>
      </c>
      <c r="T5" s="160">
        <v>29</v>
      </c>
      <c r="U5" s="160">
        <v>51</v>
      </c>
      <c r="V5" s="160">
        <v>27</v>
      </c>
    </row>
    <row r="6" spans="2:24" x14ac:dyDescent="0.25">
      <c r="B6" s="463"/>
      <c r="C6" s="463"/>
      <c r="D6" s="443"/>
      <c r="E6" s="443"/>
      <c r="F6" s="443"/>
      <c r="G6" s="160" t="s">
        <v>281</v>
      </c>
      <c r="H6" s="160" t="s">
        <v>281</v>
      </c>
      <c r="I6" s="160" t="s">
        <v>281</v>
      </c>
      <c r="J6" s="160" t="s">
        <v>281</v>
      </c>
      <c r="K6" s="160" t="s">
        <v>281</v>
      </c>
      <c r="L6" s="160" t="s">
        <v>281</v>
      </c>
      <c r="M6" s="160" t="s">
        <v>281</v>
      </c>
      <c r="N6" s="160" t="s">
        <v>281</v>
      </c>
      <c r="O6" s="160" t="s">
        <v>281</v>
      </c>
      <c r="P6" s="160" t="s">
        <v>281</v>
      </c>
      <c r="Q6" s="160" t="s">
        <v>281</v>
      </c>
      <c r="R6" s="160" t="s">
        <v>281</v>
      </c>
      <c r="S6" s="160" t="s">
        <v>281</v>
      </c>
      <c r="T6" s="160" t="s">
        <v>281</v>
      </c>
      <c r="U6" s="160" t="s">
        <v>281</v>
      </c>
      <c r="V6" s="160" t="s">
        <v>281</v>
      </c>
      <c r="X6" s="160" t="s">
        <v>465</v>
      </c>
    </row>
    <row r="7" spans="2:24" x14ac:dyDescent="0.25">
      <c r="B7" s="258" t="s">
        <v>38</v>
      </c>
      <c r="C7" s="258" t="s">
        <v>380</v>
      </c>
      <c r="D7" s="259" t="s">
        <v>237</v>
      </c>
      <c r="E7" s="259" t="s">
        <v>238</v>
      </c>
      <c r="F7" s="260" t="s">
        <v>291</v>
      </c>
      <c r="G7" s="260">
        <v>100.8</v>
      </c>
      <c r="H7" s="260">
        <v>129.6</v>
      </c>
      <c r="I7" s="260">
        <v>129.6</v>
      </c>
      <c r="J7" s="260">
        <v>259.2</v>
      </c>
      <c r="K7" s="260">
        <v>100.8</v>
      </c>
      <c r="L7" s="260">
        <v>115.19999999999999</v>
      </c>
      <c r="M7" s="260">
        <v>124.8</v>
      </c>
      <c r="N7" s="260">
        <v>134.4</v>
      </c>
      <c r="O7" s="260">
        <v>81.599999999999994</v>
      </c>
      <c r="P7" s="260">
        <v>67.2</v>
      </c>
      <c r="Q7" s="260">
        <v>163.19999999999999</v>
      </c>
      <c r="R7" s="260">
        <v>105.6</v>
      </c>
      <c r="S7" s="260">
        <v>110.39999999999999</v>
      </c>
      <c r="T7" s="260">
        <v>139.19999999999999</v>
      </c>
      <c r="U7" s="260">
        <v>244.79999999999998</v>
      </c>
      <c r="V7" s="260">
        <v>129.6</v>
      </c>
      <c r="X7" s="260">
        <f>SUM(G7:V7)</f>
        <v>2136</v>
      </c>
    </row>
    <row r="8" spans="2:24" x14ac:dyDescent="0.25">
      <c r="B8" s="258" t="s">
        <v>37</v>
      </c>
      <c r="C8" s="258" t="s">
        <v>381</v>
      </c>
      <c r="D8" s="259" t="s">
        <v>239</v>
      </c>
      <c r="E8" s="259" t="s">
        <v>240</v>
      </c>
      <c r="F8" s="260" t="s">
        <v>291</v>
      </c>
      <c r="G8" s="260">
        <v>302.40000000000003</v>
      </c>
      <c r="H8" s="260">
        <v>388.8</v>
      </c>
      <c r="I8" s="260">
        <v>259.2</v>
      </c>
      <c r="J8" s="260">
        <v>777.6</v>
      </c>
      <c r="K8" s="260">
        <v>302.40000000000003</v>
      </c>
      <c r="L8" s="260">
        <v>345.6</v>
      </c>
      <c r="M8" s="260">
        <v>249.6</v>
      </c>
      <c r="N8" s="260">
        <v>403.2</v>
      </c>
      <c r="O8" s="260">
        <v>244.8</v>
      </c>
      <c r="P8" s="260">
        <v>201.6</v>
      </c>
      <c r="Q8" s="260">
        <v>326.39999999999998</v>
      </c>
      <c r="R8" s="260">
        <v>316.8</v>
      </c>
      <c r="S8" s="260">
        <v>331.2</v>
      </c>
      <c r="T8" s="260">
        <v>417.6</v>
      </c>
      <c r="U8" s="260">
        <v>489.59999999999997</v>
      </c>
      <c r="V8" s="260">
        <v>388.8</v>
      </c>
      <c r="X8" s="260">
        <f>SUM(G8:V8)</f>
        <v>5745.6</v>
      </c>
    </row>
    <row r="9" spans="2:24" x14ac:dyDescent="0.25">
      <c r="B9" s="258" t="s">
        <v>148</v>
      </c>
      <c r="C9" s="258" t="s">
        <v>382</v>
      </c>
      <c r="D9" s="259" t="s">
        <v>241</v>
      </c>
      <c r="E9" s="259" t="s">
        <v>242</v>
      </c>
      <c r="F9" s="260" t="s">
        <v>291</v>
      </c>
      <c r="G9" s="260">
        <v>50.4</v>
      </c>
      <c r="H9" s="260">
        <v>64.8</v>
      </c>
      <c r="I9" s="260">
        <v>64.8</v>
      </c>
      <c r="J9" s="260">
        <v>129.6</v>
      </c>
      <c r="K9" s="260">
        <v>50.4</v>
      </c>
      <c r="L9" s="260">
        <v>57.599999999999994</v>
      </c>
      <c r="M9" s="260">
        <v>62.4</v>
      </c>
      <c r="N9" s="260">
        <v>67.2</v>
      </c>
      <c r="O9" s="260">
        <v>40.799999999999997</v>
      </c>
      <c r="P9" s="260">
        <v>33.6</v>
      </c>
      <c r="Q9" s="260">
        <v>81.599999999999994</v>
      </c>
      <c r="R9" s="260">
        <v>52.8</v>
      </c>
      <c r="S9" s="260">
        <v>55.199999999999996</v>
      </c>
      <c r="T9" s="260">
        <v>69.599999999999994</v>
      </c>
      <c r="U9" s="260">
        <v>122.39999999999999</v>
      </c>
      <c r="V9" s="260">
        <v>64.8</v>
      </c>
      <c r="X9" s="260">
        <f>SUM(G9:V9)</f>
        <v>1068</v>
      </c>
    </row>
    <row r="10" spans="2:24" x14ac:dyDescent="0.25">
      <c r="B10" s="258" t="s">
        <v>151</v>
      </c>
      <c r="C10" s="258" t="s">
        <v>383</v>
      </c>
      <c r="D10" s="261" t="s">
        <v>243</v>
      </c>
      <c r="E10" s="259" t="s">
        <v>242</v>
      </c>
      <c r="F10" s="260" t="s">
        <v>291</v>
      </c>
      <c r="G10" s="260">
        <v>100.8</v>
      </c>
      <c r="H10" s="260">
        <v>129.6</v>
      </c>
      <c r="I10" s="260">
        <v>129.6</v>
      </c>
      <c r="J10" s="260">
        <v>259.2</v>
      </c>
      <c r="K10" s="260">
        <v>100.8</v>
      </c>
      <c r="L10" s="260">
        <v>115.19999999999999</v>
      </c>
      <c r="M10" s="260">
        <v>124.8</v>
      </c>
      <c r="N10" s="260">
        <v>134.4</v>
      </c>
      <c r="O10" s="260">
        <v>81.599999999999994</v>
      </c>
      <c r="P10" s="260">
        <v>67.2</v>
      </c>
      <c r="Q10" s="260">
        <v>163.19999999999999</v>
      </c>
      <c r="R10" s="260">
        <v>105.6</v>
      </c>
      <c r="S10" s="260">
        <v>110.39999999999999</v>
      </c>
      <c r="T10" s="260">
        <v>139.19999999999999</v>
      </c>
      <c r="U10" s="260">
        <v>244.79999999999998</v>
      </c>
      <c r="V10" s="260">
        <v>129.6</v>
      </c>
      <c r="X10" s="260">
        <f>SUM(G10:V10)</f>
        <v>2136</v>
      </c>
    </row>
    <row r="11" spans="2:24" x14ac:dyDescent="0.25">
      <c r="K11" s="262"/>
      <c r="L11" s="254"/>
      <c r="M11" s="254"/>
    </row>
    <row r="12" spans="2:24" x14ac:dyDescent="0.25">
      <c r="B12" s="254"/>
      <c r="C12" s="254"/>
      <c r="D12" s="254"/>
      <c r="E12" s="254"/>
      <c r="F12" s="254"/>
      <c r="G12" s="254"/>
      <c r="H12" s="254"/>
      <c r="I12" s="254"/>
      <c r="J12" s="254"/>
      <c r="K12" s="263"/>
      <c r="L12" s="264"/>
      <c r="M12" s="254"/>
      <c r="N12" s="254"/>
    </row>
    <row r="13" spans="2:24" ht="15.75" x14ac:dyDescent="0.25">
      <c r="B13" s="253" t="s">
        <v>466</v>
      </c>
      <c r="C13" s="254"/>
      <c r="D13" s="254"/>
      <c r="E13" s="254"/>
      <c r="F13" s="254"/>
      <c r="G13" s="254"/>
      <c r="H13" s="254"/>
      <c r="I13" s="254"/>
      <c r="J13" s="254"/>
      <c r="K13" s="263"/>
      <c r="L13" s="264"/>
      <c r="M13" s="254"/>
      <c r="N13" s="254"/>
    </row>
    <row r="14" spans="2:24" x14ac:dyDescent="0.25">
      <c r="B14" s="439" t="s">
        <v>229</v>
      </c>
      <c r="C14" s="439" t="s">
        <v>230</v>
      </c>
      <c r="D14" s="441" t="s">
        <v>231</v>
      </c>
      <c r="E14" s="441" t="s">
        <v>232</v>
      </c>
      <c r="F14" s="441" t="s">
        <v>290</v>
      </c>
      <c r="G14" s="160" t="s">
        <v>262</v>
      </c>
      <c r="H14" s="160" t="s">
        <v>263</v>
      </c>
      <c r="I14" s="265" t="s">
        <v>264</v>
      </c>
      <c r="J14" s="160" t="s">
        <v>265</v>
      </c>
      <c r="K14" s="160" t="s">
        <v>266</v>
      </c>
      <c r="L14" s="160" t="s">
        <v>267</v>
      </c>
      <c r="M14" s="265" t="s">
        <v>268</v>
      </c>
      <c r="N14" s="160" t="s">
        <v>269</v>
      </c>
      <c r="O14" s="160" t="s">
        <v>270</v>
      </c>
      <c r="P14" s="160" t="s">
        <v>271</v>
      </c>
      <c r="Q14" s="265" t="s">
        <v>272</v>
      </c>
      <c r="R14" s="160" t="s">
        <v>273</v>
      </c>
      <c r="S14" s="160" t="s">
        <v>274</v>
      </c>
      <c r="T14" s="160" t="s">
        <v>275</v>
      </c>
      <c r="U14" s="265" t="s">
        <v>276</v>
      </c>
      <c r="V14" s="160" t="s">
        <v>277</v>
      </c>
    </row>
    <row r="15" spans="2:24" x14ac:dyDescent="0.25">
      <c r="B15" s="440"/>
      <c r="C15" s="440"/>
      <c r="D15" s="442"/>
      <c r="E15" s="442"/>
      <c r="F15" s="442"/>
      <c r="G15" s="204" t="str">
        <f t="shared" ref="G15:V15" si="0">G2</f>
        <v>CASACAS</v>
      </c>
      <c r="H15" s="204" t="str">
        <f t="shared" si="0"/>
        <v>CASACAS</v>
      </c>
      <c r="I15" s="266" t="str">
        <f t="shared" si="0"/>
        <v>POLOS</v>
      </c>
      <c r="J15" s="204" t="str">
        <f t="shared" si="0"/>
        <v>POLERAS</v>
      </c>
      <c r="K15" s="204" t="str">
        <f t="shared" si="0"/>
        <v>CASACA</v>
      </c>
      <c r="L15" s="204" t="str">
        <f t="shared" si="0"/>
        <v>POLERAS</v>
      </c>
      <c r="M15" s="266" t="str">
        <f t="shared" si="0"/>
        <v>POLOS</v>
      </c>
      <c r="N15" s="204" t="str">
        <f t="shared" si="0"/>
        <v>POLERAS</v>
      </c>
      <c r="O15" s="204" t="str">
        <f t="shared" si="0"/>
        <v>CASACAS</v>
      </c>
      <c r="P15" s="204" t="str">
        <f t="shared" si="0"/>
        <v>POLERAS</v>
      </c>
      <c r="Q15" s="266" t="str">
        <f t="shared" si="0"/>
        <v>POLOS</v>
      </c>
      <c r="R15" s="204" t="str">
        <f t="shared" si="0"/>
        <v>POLERAS</v>
      </c>
      <c r="S15" s="204" t="str">
        <f t="shared" si="0"/>
        <v>CASACAS</v>
      </c>
      <c r="T15" s="204" t="str">
        <f t="shared" si="0"/>
        <v>CASACAS</v>
      </c>
      <c r="U15" s="266" t="str">
        <f t="shared" si="0"/>
        <v>CASACAS</v>
      </c>
      <c r="V15" s="204" t="str">
        <f t="shared" si="0"/>
        <v>POLERAS</v>
      </c>
    </row>
    <row r="16" spans="2:24" x14ac:dyDescent="0.25">
      <c r="B16" s="440"/>
      <c r="C16" s="440"/>
      <c r="D16" s="442"/>
      <c r="E16" s="442"/>
      <c r="F16" s="442"/>
      <c r="G16" s="160">
        <f>G5</f>
        <v>21</v>
      </c>
      <c r="H16" s="160">
        <f t="shared" ref="H16:V16" si="1">H5</f>
        <v>27</v>
      </c>
      <c r="I16" s="160">
        <f t="shared" si="1"/>
        <v>27</v>
      </c>
      <c r="J16" s="160">
        <f t="shared" si="1"/>
        <v>54</v>
      </c>
      <c r="K16" s="160">
        <f t="shared" si="1"/>
        <v>21</v>
      </c>
      <c r="L16" s="160">
        <f t="shared" si="1"/>
        <v>24</v>
      </c>
      <c r="M16" s="160">
        <f t="shared" si="1"/>
        <v>26</v>
      </c>
      <c r="N16" s="160">
        <f t="shared" si="1"/>
        <v>28</v>
      </c>
      <c r="O16" s="160">
        <f t="shared" si="1"/>
        <v>17</v>
      </c>
      <c r="P16" s="160">
        <f t="shared" si="1"/>
        <v>14</v>
      </c>
      <c r="Q16" s="160">
        <f t="shared" si="1"/>
        <v>34</v>
      </c>
      <c r="R16" s="160">
        <f t="shared" si="1"/>
        <v>22</v>
      </c>
      <c r="S16" s="160">
        <f t="shared" si="1"/>
        <v>23</v>
      </c>
      <c r="T16" s="160">
        <f t="shared" si="1"/>
        <v>29</v>
      </c>
      <c r="U16" s="160">
        <f t="shared" si="1"/>
        <v>51</v>
      </c>
      <c r="V16" s="160">
        <f t="shared" si="1"/>
        <v>27</v>
      </c>
    </row>
    <row r="17" spans="2:24" x14ac:dyDescent="0.25">
      <c r="B17" s="463"/>
      <c r="C17" s="463"/>
      <c r="D17" s="443"/>
      <c r="E17" s="443"/>
      <c r="F17" s="443"/>
      <c r="G17" s="160" t="s">
        <v>281</v>
      </c>
      <c r="H17" s="160" t="s">
        <v>281</v>
      </c>
      <c r="I17" s="265" t="s">
        <v>281</v>
      </c>
      <c r="J17" s="160" t="s">
        <v>281</v>
      </c>
      <c r="K17" s="160" t="s">
        <v>281</v>
      </c>
      <c r="L17" s="160" t="s">
        <v>281</v>
      </c>
      <c r="M17" s="265" t="s">
        <v>281</v>
      </c>
      <c r="N17" s="160" t="s">
        <v>281</v>
      </c>
      <c r="O17" s="160" t="s">
        <v>281</v>
      </c>
      <c r="P17" s="160" t="s">
        <v>281</v>
      </c>
      <c r="Q17" s="265" t="s">
        <v>281</v>
      </c>
      <c r="R17" s="160" t="s">
        <v>281</v>
      </c>
      <c r="S17" s="160" t="s">
        <v>281</v>
      </c>
      <c r="T17" s="160" t="s">
        <v>281</v>
      </c>
      <c r="U17" s="265" t="s">
        <v>281</v>
      </c>
      <c r="V17" s="160" t="s">
        <v>281</v>
      </c>
      <c r="X17" s="160" t="s">
        <v>467</v>
      </c>
    </row>
    <row r="18" spans="2:24" x14ac:dyDescent="0.25">
      <c r="B18" s="258" t="str">
        <f>B7</f>
        <v>CAO1</v>
      </c>
      <c r="C18" s="258" t="s">
        <v>380</v>
      </c>
      <c r="D18" s="259" t="str">
        <f t="shared" ref="D18:E21" si="2">D7</f>
        <v>Operario D1</v>
      </c>
      <c r="E18" s="259" t="str">
        <f t="shared" si="2"/>
        <v>PAVEL</v>
      </c>
      <c r="F18" s="260" t="s">
        <v>291</v>
      </c>
      <c r="G18" s="267">
        <f>'[3]Matriz_Remu_MOD '!$I4/CMOD!$X7</f>
        <v>7.02247191011236E-2</v>
      </c>
      <c r="H18" s="267">
        <f>'[3]Matriz_Remu_MOD '!$I4/CMOD!$X7</f>
        <v>7.02247191011236E-2</v>
      </c>
      <c r="I18" s="267">
        <f>'[3]Matriz_Remu_MOD '!$I4/CMOD!$X7</f>
        <v>7.02247191011236E-2</v>
      </c>
      <c r="J18" s="267">
        <f>'[3]Matriz_Remu_MOD '!$I4/CMOD!$X7</f>
        <v>7.02247191011236E-2</v>
      </c>
      <c r="K18" s="267">
        <f>'[3]Matriz_Remu_MOD '!$I4/CMOD!$X7</f>
        <v>7.02247191011236E-2</v>
      </c>
      <c r="L18" s="267">
        <f>'[3]Matriz_Remu_MOD '!$I4/CMOD!$X7</f>
        <v>7.02247191011236E-2</v>
      </c>
      <c r="M18" s="267">
        <f>'[3]Matriz_Remu_MOD '!$I4/CMOD!$X7</f>
        <v>7.02247191011236E-2</v>
      </c>
      <c r="N18" s="267">
        <f>'[3]Matriz_Remu_MOD '!$I4/CMOD!$X7</f>
        <v>7.02247191011236E-2</v>
      </c>
      <c r="O18" s="267">
        <f>'[3]Matriz_Remu_MOD '!$I4/CMOD!$X7</f>
        <v>7.02247191011236E-2</v>
      </c>
      <c r="P18" s="267">
        <f>'[3]Matriz_Remu_MOD '!$I4/CMOD!$X7</f>
        <v>7.02247191011236E-2</v>
      </c>
      <c r="Q18" s="267">
        <f>'[3]Matriz_Remu_MOD '!$I4/CMOD!$X7</f>
        <v>7.02247191011236E-2</v>
      </c>
      <c r="R18" s="267">
        <f>'[3]Matriz_Remu_MOD '!$I4/CMOD!$X7</f>
        <v>7.02247191011236E-2</v>
      </c>
      <c r="S18" s="267">
        <f>'[3]Matriz_Remu_MOD '!$I4/CMOD!$X7</f>
        <v>7.02247191011236E-2</v>
      </c>
      <c r="T18" s="267">
        <f>'[3]Matriz_Remu_MOD '!$I4/CMOD!$X7</f>
        <v>7.02247191011236E-2</v>
      </c>
      <c r="U18" s="267">
        <f>'[3]Matriz_Remu_MOD '!$I4/CMOD!$X7</f>
        <v>7.02247191011236E-2</v>
      </c>
      <c r="V18" s="267">
        <f>'[3]Matriz_Remu_MOD '!$I4/CMOD!$X7</f>
        <v>7.02247191011236E-2</v>
      </c>
      <c r="X18" s="260">
        <v>0.21067415730337077</v>
      </c>
    </row>
    <row r="19" spans="2:24" x14ac:dyDescent="0.25">
      <c r="B19" s="258" t="str">
        <f>B8</f>
        <v>CAO2</v>
      </c>
      <c r="C19" s="258" t="s">
        <v>381</v>
      </c>
      <c r="D19" s="259" t="str">
        <f t="shared" si="2"/>
        <v>Operario C1</v>
      </c>
      <c r="E19" s="259" t="str">
        <f t="shared" si="2"/>
        <v>GROOVER</v>
      </c>
      <c r="F19" s="260" t="s">
        <v>291</v>
      </c>
      <c r="G19" s="267">
        <f>'[3]Matriz_Remu_MOD '!$I5/CMOD!$X8</f>
        <v>0.17404622667780562</v>
      </c>
      <c r="H19" s="267">
        <f>'[3]Matriz_Remu_MOD '!$I5/CMOD!$X8</f>
        <v>0.17404622667780562</v>
      </c>
      <c r="I19" s="267">
        <f>'[3]Matriz_Remu_MOD '!$I5/CMOD!$X8</f>
        <v>0.17404622667780562</v>
      </c>
      <c r="J19" s="267">
        <f>'[3]Matriz_Remu_MOD '!$I5/CMOD!$X8</f>
        <v>0.17404622667780562</v>
      </c>
      <c r="K19" s="267">
        <f>'[3]Matriz_Remu_MOD '!$I5/CMOD!$X8</f>
        <v>0.17404622667780562</v>
      </c>
      <c r="L19" s="267">
        <f>'[3]Matriz_Remu_MOD '!$I5/CMOD!$X8</f>
        <v>0.17404622667780562</v>
      </c>
      <c r="M19" s="267">
        <f>'[3]Matriz_Remu_MOD '!$I5/CMOD!$X8</f>
        <v>0.17404622667780562</v>
      </c>
      <c r="N19" s="267">
        <f>'[3]Matriz_Remu_MOD '!$I5/CMOD!$X8</f>
        <v>0.17404622667780562</v>
      </c>
      <c r="O19" s="267">
        <f>'[3]Matriz_Remu_MOD '!$I5/CMOD!$X8</f>
        <v>0.17404622667780562</v>
      </c>
      <c r="P19" s="267">
        <f>'[3]Matriz_Remu_MOD '!$I5/CMOD!$X8</f>
        <v>0.17404622667780562</v>
      </c>
      <c r="Q19" s="267">
        <f>'[3]Matriz_Remu_MOD '!$I5/CMOD!$X8</f>
        <v>0.17404622667780562</v>
      </c>
      <c r="R19" s="267">
        <f>'[3]Matriz_Remu_MOD '!$I5/CMOD!$X8</f>
        <v>0.17404622667780562</v>
      </c>
      <c r="S19" s="267">
        <f>'[3]Matriz_Remu_MOD '!$I5/CMOD!$X8</f>
        <v>0.17404622667780562</v>
      </c>
      <c r="T19" s="267">
        <f>'[3]Matriz_Remu_MOD '!$I5/CMOD!$X8</f>
        <v>0.17404622667780562</v>
      </c>
      <c r="U19" s="267">
        <f>'[3]Matriz_Remu_MOD '!$I5/CMOD!$X8</f>
        <v>0.17404622667780562</v>
      </c>
      <c r="V19" s="267">
        <f>'[3]Matriz_Remu_MOD '!$I5/CMOD!$X8</f>
        <v>0.17404622667780562</v>
      </c>
      <c r="X19" s="260">
        <v>0.52213868003341679</v>
      </c>
    </row>
    <row r="20" spans="2:24" x14ac:dyDescent="0.25">
      <c r="B20" s="258" t="str">
        <f>B9</f>
        <v>CAO3</v>
      </c>
      <c r="C20" s="258" t="s">
        <v>382</v>
      </c>
      <c r="D20" s="259" t="str">
        <f>D9</f>
        <v>Operario A1</v>
      </c>
      <c r="E20" s="259" t="str">
        <f>E9</f>
        <v>SERGIO</v>
      </c>
      <c r="F20" s="260" t="s">
        <v>291</v>
      </c>
      <c r="G20" s="267">
        <f>'[3]Matriz_Remu_MOD '!$I6/CMOD!$X9</f>
        <v>0.23408239700374531</v>
      </c>
      <c r="H20" s="267">
        <f>'[3]Matriz_Remu_MOD '!$I6/CMOD!$X9</f>
        <v>0.23408239700374531</v>
      </c>
      <c r="I20" s="267">
        <f>'[3]Matriz_Remu_MOD '!$I6/CMOD!$X9</f>
        <v>0.23408239700374531</v>
      </c>
      <c r="J20" s="267">
        <f>'[3]Matriz_Remu_MOD '!$I6/CMOD!$X9</f>
        <v>0.23408239700374531</v>
      </c>
      <c r="K20" s="267">
        <f>'[3]Matriz_Remu_MOD '!$I6/CMOD!$X9</f>
        <v>0.23408239700374531</v>
      </c>
      <c r="L20" s="267">
        <f>'[3]Matriz_Remu_MOD '!$I6/CMOD!$X9</f>
        <v>0.23408239700374531</v>
      </c>
      <c r="M20" s="267">
        <f>'[3]Matriz_Remu_MOD '!$I6/CMOD!$X9</f>
        <v>0.23408239700374531</v>
      </c>
      <c r="N20" s="267">
        <f>'[3]Matriz_Remu_MOD '!$I6/CMOD!$X9</f>
        <v>0.23408239700374531</v>
      </c>
      <c r="O20" s="267">
        <f>'[3]Matriz_Remu_MOD '!$I6/CMOD!$X9</f>
        <v>0.23408239700374531</v>
      </c>
      <c r="P20" s="267">
        <f>'[3]Matriz_Remu_MOD '!$I6/CMOD!$X9</f>
        <v>0.23408239700374531</v>
      </c>
      <c r="Q20" s="267">
        <f>'[3]Matriz_Remu_MOD '!$I6/CMOD!$X9</f>
        <v>0.23408239700374531</v>
      </c>
      <c r="R20" s="267">
        <f>'[3]Matriz_Remu_MOD '!$I6/CMOD!$X9</f>
        <v>0.23408239700374531</v>
      </c>
      <c r="S20" s="267">
        <f>'[3]Matriz_Remu_MOD '!$I6/CMOD!$X9</f>
        <v>0.23408239700374531</v>
      </c>
      <c r="T20" s="267">
        <f>'[3]Matriz_Remu_MOD '!$I6/CMOD!$X9</f>
        <v>0.23408239700374531</v>
      </c>
      <c r="U20" s="267">
        <f>'[3]Matriz_Remu_MOD '!$I6/CMOD!$X9</f>
        <v>0.23408239700374531</v>
      </c>
      <c r="V20" s="267">
        <f>'[3]Matriz_Remu_MOD '!$I6/CMOD!$X9</f>
        <v>0.23408239700374531</v>
      </c>
      <c r="X20" s="260">
        <v>0.702247191011236</v>
      </c>
    </row>
    <row r="21" spans="2:24" x14ac:dyDescent="0.25">
      <c r="B21" s="258" t="str">
        <f>B10</f>
        <v>CAO4</v>
      </c>
      <c r="C21" s="258" t="s">
        <v>383</v>
      </c>
      <c r="D21" s="259" t="str">
        <f t="shared" si="2"/>
        <v>Operario ER1</v>
      </c>
      <c r="E21" s="259" t="str">
        <f t="shared" si="2"/>
        <v>SERGIO</v>
      </c>
      <c r="F21" s="260" t="s">
        <v>291</v>
      </c>
      <c r="G21" s="267">
        <f>'[3]Matriz_Remu_MOD '!$I7/CMOD!$X10</f>
        <v>0.11704119850187265</v>
      </c>
      <c r="H21" s="267">
        <f>'[3]Matriz_Remu_MOD '!$I7/CMOD!$X10</f>
        <v>0.11704119850187265</v>
      </c>
      <c r="I21" s="267">
        <f>'[3]Matriz_Remu_MOD '!$I7/CMOD!$X10</f>
        <v>0.11704119850187265</v>
      </c>
      <c r="J21" s="267">
        <f>'[3]Matriz_Remu_MOD '!$I7/CMOD!$X10</f>
        <v>0.11704119850187265</v>
      </c>
      <c r="K21" s="267">
        <f>'[3]Matriz_Remu_MOD '!$I7/CMOD!$X10</f>
        <v>0.11704119850187265</v>
      </c>
      <c r="L21" s="267">
        <f>'[3]Matriz_Remu_MOD '!$I7/CMOD!$X10</f>
        <v>0.11704119850187265</v>
      </c>
      <c r="M21" s="267">
        <f>'[3]Matriz_Remu_MOD '!$I7/CMOD!$X10</f>
        <v>0.11704119850187265</v>
      </c>
      <c r="N21" s="267">
        <f>'[3]Matriz_Remu_MOD '!$I7/CMOD!$X10</f>
        <v>0.11704119850187265</v>
      </c>
      <c r="O21" s="267">
        <f>'[3]Matriz_Remu_MOD '!$I7/CMOD!$X10</f>
        <v>0.11704119850187265</v>
      </c>
      <c r="P21" s="267">
        <f>'[3]Matriz_Remu_MOD '!$I7/CMOD!$X10</f>
        <v>0.11704119850187265</v>
      </c>
      <c r="Q21" s="267">
        <f>'[3]Matriz_Remu_MOD '!$I7/CMOD!$X10</f>
        <v>0.11704119850187265</v>
      </c>
      <c r="R21" s="267">
        <f>'[3]Matriz_Remu_MOD '!$I7/CMOD!$X10</f>
        <v>0.11704119850187265</v>
      </c>
      <c r="S21" s="267">
        <f>'[3]Matriz_Remu_MOD '!$I7/CMOD!$X10</f>
        <v>0.11704119850187265</v>
      </c>
      <c r="T21" s="267">
        <f>'[3]Matriz_Remu_MOD '!$I7/CMOD!$X10</f>
        <v>0.11704119850187265</v>
      </c>
      <c r="U21" s="267">
        <f>'[3]Matriz_Remu_MOD '!$I7/CMOD!$X10</f>
        <v>0.11704119850187265</v>
      </c>
      <c r="V21" s="267">
        <f>'[3]Matriz_Remu_MOD '!$I7/CMOD!$X10</f>
        <v>0.11704119850187265</v>
      </c>
      <c r="X21" s="260">
        <v>0.351123595505618</v>
      </c>
    </row>
    <row r="22" spans="2:24" x14ac:dyDescent="0.25">
      <c r="B22" s="268"/>
      <c r="C22" s="268"/>
      <c r="D22" s="269"/>
      <c r="E22" s="269"/>
      <c r="F22" s="270"/>
      <c r="K22" s="255"/>
      <c r="L22" s="255"/>
    </row>
    <row r="23" spans="2:24" x14ac:dyDescent="0.25">
      <c r="K23" s="255"/>
      <c r="L23" s="255"/>
    </row>
    <row r="24" spans="2:24" ht="15.75" x14ac:dyDescent="0.25">
      <c r="B24" s="253" t="s">
        <v>468</v>
      </c>
      <c r="C24" s="254"/>
      <c r="D24" s="254"/>
      <c r="E24" s="254"/>
      <c r="F24" s="254"/>
      <c r="G24" s="254"/>
      <c r="H24" s="254"/>
      <c r="I24" s="254"/>
      <c r="J24" s="254"/>
      <c r="K24" s="263"/>
      <c r="L24" s="264"/>
      <c r="M24" s="254"/>
      <c r="N24" s="254"/>
    </row>
    <row r="25" spans="2:24" x14ac:dyDescent="0.25">
      <c r="B25" s="439" t="s">
        <v>229</v>
      </c>
      <c r="C25" s="439" t="s">
        <v>230</v>
      </c>
      <c r="D25" s="441" t="s">
        <v>231</v>
      </c>
      <c r="E25" s="441" t="s">
        <v>232</v>
      </c>
      <c r="F25" s="441" t="s">
        <v>290</v>
      </c>
      <c r="G25" s="160" t="s">
        <v>262</v>
      </c>
      <c r="H25" s="160" t="s">
        <v>263</v>
      </c>
      <c r="I25" s="265" t="s">
        <v>264</v>
      </c>
      <c r="J25" s="160" t="s">
        <v>265</v>
      </c>
      <c r="K25" s="160" t="s">
        <v>266</v>
      </c>
      <c r="L25" s="160" t="s">
        <v>267</v>
      </c>
      <c r="M25" s="265" t="s">
        <v>268</v>
      </c>
      <c r="N25" s="160" t="s">
        <v>269</v>
      </c>
      <c r="O25" s="160" t="s">
        <v>270</v>
      </c>
      <c r="P25" s="160" t="s">
        <v>271</v>
      </c>
      <c r="Q25" s="265" t="s">
        <v>272</v>
      </c>
      <c r="R25" s="160" t="s">
        <v>273</v>
      </c>
      <c r="S25" s="160" t="s">
        <v>274</v>
      </c>
      <c r="T25" s="160" t="s">
        <v>275</v>
      </c>
      <c r="U25" s="265" t="s">
        <v>276</v>
      </c>
      <c r="V25" s="160" t="s">
        <v>277</v>
      </c>
    </row>
    <row r="26" spans="2:24" ht="15" customHeight="1" x14ac:dyDescent="0.25">
      <c r="B26" s="440"/>
      <c r="C26" s="440"/>
      <c r="D26" s="442"/>
      <c r="E26" s="442"/>
      <c r="F26" s="442"/>
      <c r="G26" s="204" t="str">
        <f>G15</f>
        <v>CASACAS</v>
      </c>
      <c r="H26" s="204" t="str">
        <f t="shared" ref="H26:V27" si="3">H15</f>
        <v>CASACAS</v>
      </c>
      <c r="I26" s="204" t="str">
        <f t="shared" si="3"/>
        <v>POLOS</v>
      </c>
      <c r="J26" s="204" t="str">
        <f t="shared" si="3"/>
        <v>POLERAS</v>
      </c>
      <c r="K26" s="204" t="str">
        <f t="shared" si="3"/>
        <v>CASACA</v>
      </c>
      <c r="L26" s="204" t="str">
        <f t="shared" si="3"/>
        <v>POLERAS</v>
      </c>
      <c r="M26" s="204" t="str">
        <f t="shared" si="3"/>
        <v>POLOS</v>
      </c>
      <c r="N26" s="204" t="str">
        <f t="shared" si="3"/>
        <v>POLERAS</v>
      </c>
      <c r="O26" s="204" t="str">
        <f t="shared" si="3"/>
        <v>CASACAS</v>
      </c>
      <c r="P26" s="204" t="str">
        <f t="shared" si="3"/>
        <v>POLERAS</v>
      </c>
      <c r="Q26" s="204" t="str">
        <f t="shared" si="3"/>
        <v>POLOS</v>
      </c>
      <c r="R26" s="204" t="str">
        <f t="shared" si="3"/>
        <v>POLERAS</v>
      </c>
      <c r="S26" s="204" t="str">
        <f t="shared" si="3"/>
        <v>CASACAS</v>
      </c>
      <c r="T26" s="204" t="str">
        <f t="shared" si="3"/>
        <v>CASACAS</v>
      </c>
      <c r="U26" s="204" t="str">
        <f t="shared" si="3"/>
        <v>CASACAS</v>
      </c>
      <c r="V26" s="204" t="str">
        <f t="shared" si="3"/>
        <v>POLERAS</v>
      </c>
    </row>
    <row r="27" spans="2:24" x14ac:dyDescent="0.25">
      <c r="B27" s="440"/>
      <c r="C27" s="440"/>
      <c r="D27" s="442"/>
      <c r="E27" s="442"/>
      <c r="F27" s="442"/>
      <c r="G27" s="160">
        <f>G16</f>
        <v>21</v>
      </c>
      <c r="H27" s="160">
        <f t="shared" si="3"/>
        <v>27</v>
      </c>
      <c r="I27" s="160">
        <f t="shared" si="3"/>
        <v>27</v>
      </c>
      <c r="J27" s="160">
        <f t="shared" si="3"/>
        <v>54</v>
      </c>
      <c r="K27" s="160">
        <f t="shared" si="3"/>
        <v>21</v>
      </c>
      <c r="L27" s="160">
        <f t="shared" si="3"/>
        <v>24</v>
      </c>
      <c r="M27" s="160">
        <f t="shared" si="3"/>
        <v>26</v>
      </c>
      <c r="N27" s="160">
        <f t="shared" si="3"/>
        <v>28</v>
      </c>
      <c r="O27" s="160">
        <f t="shared" si="3"/>
        <v>17</v>
      </c>
      <c r="P27" s="160">
        <f t="shared" si="3"/>
        <v>14</v>
      </c>
      <c r="Q27" s="160">
        <f t="shared" si="3"/>
        <v>34</v>
      </c>
      <c r="R27" s="160">
        <f t="shared" si="3"/>
        <v>22</v>
      </c>
      <c r="S27" s="160">
        <f t="shared" si="3"/>
        <v>23</v>
      </c>
      <c r="T27" s="160">
        <f t="shared" si="3"/>
        <v>29</v>
      </c>
      <c r="U27" s="160">
        <f t="shared" si="3"/>
        <v>51</v>
      </c>
      <c r="V27" s="160">
        <f t="shared" si="3"/>
        <v>27</v>
      </c>
    </row>
    <row r="28" spans="2:24" x14ac:dyDescent="0.25">
      <c r="B28" s="463"/>
      <c r="C28" s="463"/>
      <c r="D28" s="443"/>
      <c r="E28" s="443"/>
      <c r="F28" s="443"/>
      <c r="G28" s="160" t="s">
        <v>281</v>
      </c>
      <c r="H28" s="160" t="s">
        <v>281</v>
      </c>
      <c r="I28" s="265" t="s">
        <v>281</v>
      </c>
      <c r="J28" s="160" t="s">
        <v>281</v>
      </c>
      <c r="K28" s="160" t="s">
        <v>281</v>
      </c>
      <c r="L28" s="160" t="s">
        <v>281</v>
      </c>
      <c r="M28" s="265" t="s">
        <v>281</v>
      </c>
      <c r="N28" s="160" t="s">
        <v>281</v>
      </c>
      <c r="O28" s="160" t="s">
        <v>281</v>
      </c>
      <c r="P28" s="160" t="s">
        <v>281</v>
      </c>
      <c r="Q28" s="265" t="s">
        <v>281</v>
      </c>
      <c r="R28" s="160" t="s">
        <v>281</v>
      </c>
      <c r="S28" s="160" t="s">
        <v>281</v>
      </c>
      <c r="T28" s="160" t="s">
        <v>281</v>
      </c>
      <c r="U28" s="265" t="s">
        <v>281</v>
      </c>
      <c r="V28" s="160" t="s">
        <v>281</v>
      </c>
    </row>
    <row r="29" spans="2:24" x14ac:dyDescent="0.25">
      <c r="B29" s="258" t="str">
        <f>B18</f>
        <v>CAO1</v>
      </c>
      <c r="C29" s="258" t="str">
        <f>C18</f>
        <v>Área de Diseño</v>
      </c>
      <c r="D29" s="258" t="str">
        <f>D18</f>
        <v>Operario D1</v>
      </c>
      <c r="E29" s="258" t="str">
        <f>E18</f>
        <v>PAVEL</v>
      </c>
      <c r="F29" s="258" t="str">
        <f>F18</f>
        <v>MinutosH</v>
      </c>
      <c r="G29" s="267">
        <f t="shared" ref="G29:V32" si="4">G18*G7</f>
        <v>7.0786516853932584</v>
      </c>
      <c r="H29" s="267">
        <f t="shared" si="4"/>
        <v>9.1011235955056176</v>
      </c>
      <c r="I29" s="267">
        <f t="shared" si="4"/>
        <v>9.1011235955056176</v>
      </c>
      <c r="J29" s="267">
        <f t="shared" si="4"/>
        <v>18.202247191011235</v>
      </c>
      <c r="K29" s="267">
        <f t="shared" si="4"/>
        <v>7.0786516853932584</v>
      </c>
      <c r="L29" s="267">
        <f t="shared" si="4"/>
        <v>8.0898876404494384</v>
      </c>
      <c r="M29" s="267">
        <f t="shared" si="4"/>
        <v>8.7640449438202257</v>
      </c>
      <c r="N29" s="267">
        <f t="shared" si="4"/>
        <v>9.438202247191013</v>
      </c>
      <c r="O29" s="267">
        <f t="shared" si="4"/>
        <v>5.7303370786516856</v>
      </c>
      <c r="P29" s="267">
        <f t="shared" si="4"/>
        <v>4.7191011235955065</v>
      </c>
      <c r="Q29" s="267">
        <f t="shared" si="4"/>
        <v>11.460674157303371</v>
      </c>
      <c r="R29" s="267">
        <f t="shared" si="4"/>
        <v>7.415730337078652</v>
      </c>
      <c r="S29" s="267">
        <f t="shared" si="4"/>
        <v>7.7528089887640448</v>
      </c>
      <c r="T29" s="267">
        <f t="shared" si="4"/>
        <v>9.7752808988764048</v>
      </c>
      <c r="U29" s="267">
        <f t="shared" si="4"/>
        <v>17.191011235955056</v>
      </c>
      <c r="V29" s="267">
        <f t="shared" si="4"/>
        <v>9.1011235955056176</v>
      </c>
    </row>
    <row r="30" spans="2:24" x14ac:dyDescent="0.25">
      <c r="B30" s="258" t="str">
        <f t="shared" ref="B30:F32" si="5">B19</f>
        <v>CAO2</v>
      </c>
      <c r="C30" s="258" t="str">
        <f t="shared" si="5"/>
        <v>Área de Corte</v>
      </c>
      <c r="D30" s="258" t="str">
        <f t="shared" si="5"/>
        <v>Operario C1</v>
      </c>
      <c r="E30" s="258" t="str">
        <f t="shared" si="5"/>
        <v>GROOVER</v>
      </c>
      <c r="F30" s="258" t="str">
        <f t="shared" si="5"/>
        <v>MinutosH</v>
      </c>
      <c r="G30" s="267">
        <f t="shared" si="4"/>
        <v>52.631578947368425</v>
      </c>
      <c r="H30" s="267">
        <f t="shared" si="4"/>
        <v>67.669172932330824</v>
      </c>
      <c r="I30" s="267">
        <f t="shared" si="4"/>
        <v>45.112781954887211</v>
      </c>
      <c r="J30" s="267">
        <f t="shared" si="4"/>
        <v>135.33834586466165</v>
      </c>
      <c r="K30" s="267">
        <f t="shared" si="4"/>
        <v>52.631578947368425</v>
      </c>
      <c r="L30" s="267">
        <f t="shared" si="4"/>
        <v>60.150375939849624</v>
      </c>
      <c r="M30" s="267">
        <f t="shared" si="4"/>
        <v>43.441938178780283</v>
      </c>
      <c r="N30" s="267">
        <f t="shared" si="4"/>
        <v>70.175438596491219</v>
      </c>
      <c r="O30" s="267">
        <f t="shared" si="4"/>
        <v>42.606516290726816</v>
      </c>
      <c r="P30" s="267">
        <f t="shared" si="4"/>
        <v>35.087719298245609</v>
      </c>
      <c r="Q30" s="267">
        <f t="shared" si="4"/>
        <v>56.808688387635748</v>
      </c>
      <c r="R30" s="267">
        <f t="shared" si="4"/>
        <v>55.13784461152882</v>
      </c>
      <c r="S30" s="267">
        <f t="shared" si="4"/>
        <v>57.644110275689215</v>
      </c>
      <c r="T30" s="267">
        <f t="shared" si="4"/>
        <v>72.681704260651628</v>
      </c>
      <c r="U30" s="267">
        <f t="shared" si="4"/>
        <v>85.213032581453618</v>
      </c>
      <c r="V30" s="267">
        <f t="shared" si="4"/>
        <v>67.669172932330824</v>
      </c>
    </row>
    <row r="31" spans="2:24" x14ac:dyDescent="0.25">
      <c r="B31" s="258" t="str">
        <f t="shared" si="5"/>
        <v>CAO3</v>
      </c>
      <c r="C31" s="258" t="str">
        <f t="shared" si="5"/>
        <v>Área de acabado</v>
      </c>
      <c r="D31" s="258" t="str">
        <f t="shared" si="5"/>
        <v>Operario A1</v>
      </c>
      <c r="E31" s="258" t="str">
        <f t="shared" si="5"/>
        <v>SERGIO</v>
      </c>
      <c r="F31" s="258" t="str">
        <f t="shared" si="5"/>
        <v>MinutosH</v>
      </c>
      <c r="G31" s="267">
        <f t="shared" si="4"/>
        <v>11.797752808988763</v>
      </c>
      <c r="H31" s="267">
        <f t="shared" si="4"/>
        <v>15.168539325842696</v>
      </c>
      <c r="I31" s="267">
        <f t="shared" si="4"/>
        <v>15.168539325842696</v>
      </c>
      <c r="J31" s="267">
        <f t="shared" si="4"/>
        <v>30.337078651685392</v>
      </c>
      <c r="K31" s="267">
        <f t="shared" si="4"/>
        <v>11.797752808988763</v>
      </c>
      <c r="L31" s="267">
        <f t="shared" si="4"/>
        <v>13.483146067415728</v>
      </c>
      <c r="M31" s="267">
        <f t="shared" si="4"/>
        <v>14.606741573033707</v>
      </c>
      <c r="N31" s="267">
        <f t="shared" si="4"/>
        <v>15.730337078651685</v>
      </c>
      <c r="O31" s="267">
        <f t="shared" si="4"/>
        <v>9.5505617977528079</v>
      </c>
      <c r="P31" s="267">
        <f t="shared" si="4"/>
        <v>7.8651685393258424</v>
      </c>
      <c r="Q31" s="267">
        <f t="shared" si="4"/>
        <v>19.101123595505616</v>
      </c>
      <c r="R31" s="267">
        <f t="shared" si="4"/>
        <v>12.359550561797752</v>
      </c>
      <c r="S31" s="267">
        <f t="shared" si="4"/>
        <v>12.921348314606741</v>
      </c>
      <c r="T31" s="267">
        <f t="shared" si="4"/>
        <v>16.292134831460672</v>
      </c>
      <c r="U31" s="267">
        <f t="shared" si="4"/>
        <v>28.651685393258422</v>
      </c>
      <c r="V31" s="267">
        <f t="shared" si="4"/>
        <v>15.168539325842696</v>
      </c>
    </row>
    <row r="32" spans="2:24" x14ac:dyDescent="0.25">
      <c r="B32" s="258" t="str">
        <f t="shared" si="5"/>
        <v>CAO4</v>
      </c>
      <c r="C32" s="258" t="str">
        <f t="shared" si="5"/>
        <v>Área de empaquetado y rotulado</v>
      </c>
      <c r="D32" s="258" t="str">
        <f t="shared" si="5"/>
        <v>Operario ER1</v>
      </c>
      <c r="E32" s="258" t="str">
        <f t="shared" si="5"/>
        <v>SERGIO</v>
      </c>
      <c r="F32" s="258" t="str">
        <f t="shared" si="5"/>
        <v>MinutosH</v>
      </c>
      <c r="G32" s="267">
        <f t="shared" si="4"/>
        <v>11.797752808988763</v>
      </c>
      <c r="H32" s="267">
        <f t="shared" si="4"/>
        <v>15.168539325842696</v>
      </c>
      <c r="I32" s="267">
        <f t="shared" si="4"/>
        <v>15.168539325842696</v>
      </c>
      <c r="J32" s="267">
        <f t="shared" si="4"/>
        <v>30.337078651685392</v>
      </c>
      <c r="K32" s="267">
        <f t="shared" si="4"/>
        <v>11.797752808988763</v>
      </c>
      <c r="L32" s="267">
        <f t="shared" si="4"/>
        <v>13.483146067415728</v>
      </c>
      <c r="M32" s="267">
        <f t="shared" si="4"/>
        <v>14.606741573033707</v>
      </c>
      <c r="N32" s="267">
        <f t="shared" si="4"/>
        <v>15.730337078651685</v>
      </c>
      <c r="O32" s="267">
        <f t="shared" si="4"/>
        <v>9.5505617977528079</v>
      </c>
      <c r="P32" s="267">
        <f t="shared" si="4"/>
        <v>7.8651685393258424</v>
      </c>
      <c r="Q32" s="267">
        <f t="shared" si="4"/>
        <v>19.101123595505616</v>
      </c>
      <c r="R32" s="267">
        <f t="shared" si="4"/>
        <v>12.359550561797752</v>
      </c>
      <c r="S32" s="267">
        <f t="shared" si="4"/>
        <v>12.921348314606741</v>
      </c>
      <c r="T32" s="267">
        <f t="shared" si="4"/>
        <v>16.292134831460672</v>
      </c>
      <c r="U32" s="267">
        <f t="shared" si="4"/>
        <v>28.651685393258422</v>
      </c>
      <c r="V32" s="267">
        <f t="shared" si="4"/>
        <v>15.168539325842696</v>
      </c>
    </row>
    <row r="33" spans="6:23" x14ac:dyDescent="0.25">
      <c r="F33" s="271" t="s">
        <v>469</v>
      </c>
      <c r="G33" s="272">
        <f t="shared" ref="G33:V33" si="6">SUM(G29:G32)</f>
        <v>83.305736250739216</v>
      </c>
      <c r="H33" s="272">
        <f t="shared" si="6"/>
        <v>107.10737517952184</v>
      </c>
      <c r="I33" s="272">
        <f t="shared" si="6"/>
        <v>84.550984202078226</v>
      </c>
      <c r="J33" s="272">
        <f t="shared" si="6"/>
        <v>214.21475035904368</v>
      </c>
      <c r="K33" s="272">
        <f t="shared" si="6"/>
        <v>83.305736250739216</v>
      </c>
      <c r="L33" s="272">
        <f t="shared" si="6"/>
        <v>95.20655571513052</v>
      </c>
      <c r="M33" s="272">
        <f t="shared" si="6"/>
        <v>81.419466268667918</v>
      </c>
      <c r="N33" s="272">
        <f t="shared" si="6"/>
        <v>111.07431500098561</v>
      </c>
      <c r="O33" s="272">
        <f t="shared" si="6"/>
        <v>67.437976964884115</v>
      </c>
      <c r="P33" s="272">
        <f t="shared" si="6"/>
        <v>55.537157500492803</v>
      </c>
      <c r="Q33" s="272">
        <f t="shared" si="6"/>
        <v>106.47160973595034</v>
      </c>
      <c r="R33" s="272">
        <f t="shared" si="6"/>
        <v>87.27267607220297</v>
      </c>
      <c r="S33" s="272">
        <f t="shared" si="6"/>
        <v>91.239615893666752</v>
      </c>
      <c r="T33" s="272">
        <f t="shared" si="6"/>
        <v>115.04125482244937</v>
      </c>
      <c r="U33" s="272">
        <f t="shared" si="6"/>
        <v>159.70741460392551</v>
      </c>
      <c r="V33" s="272">
        <f t="shared" si="6"/>
        <v>107.10737517952184</v>
      </c>
      <c r="W33" s="271" t="s">
        <v>470</v>
      </c>
    </row>
    <row r="34" spans="6:23" ht="45" x14ac:dyDescent="0.25">
      <c r="F34" s="273" t="s">
        <v>471</v>
      </c>
      <c r="G34" s="273">
        <f>G27</f>
        <v>21</v>
      </c>
      <c r="H34" s="273">
        <f t="shared" ref="H34:V34" si="7">H27</f>
        <v>27</v>
      </c>
      <c r="I34" s="273">
        <f t="shared" si="7"/>
        <v>27</v>
      </c>
      <c r="J34" s="273">
        <f t="shared" si="7"/>
        <v>54</v>
      </c>
      <c r="K34" s="273">
        <f t="shared" si="7"/>
        <v>21</v>
      </c>
      <c r="L34" s="273">
        <f t="shared" si="7"/>
        <v>24</v>
      </c>
      <c r="M34" s="273">
        <f t="shared" si="7"/>
        <v>26</v>
      </c>
      <c r="N34" s="273">
        <f t="shared" si="7"/>
        <v>28</v>
      </c>
      <c r="O34" s="273">
        <f t="shared" si="7"/>
        <v>17</v>
      </c>
      <c r="P34" s="273">
        <f t="shared" si="7"/>
        <v>14</v>
      </c>
      <c r="Q34" s="273">
        <f t="shared" si="7"/>
        <v>34</v>
      </c>
      <c r="R34" s="273">
        <f t="shared" si="7"/>
        <v>22</v>
      </c>
      <c r="S34" s="273">
        <f t="shared" si="7"/>
        <v>23</v>
      </c>
      <c r="T34" s="273">
        <f t="shared" si="7"/>
        <v>29</v>
      </c>
      <c r="U34" s="273">
        <f t="shared" si="7"/>
        <v>51</v>
      </c>
      <c r="V34" s="273">
        <f t="shared" si="7"/>
        <v>27</v>
      </c>
      <c r="W34" s="274">
        <f>SUM(G33:V33)</f>
        <v>1650</v>
      </c>
    </row>
    <row r="35" spans="6:23" x14ac:dyDescent="0.25">
      <c r="F35" s="275" t="s">
        <v>472</v>
      </c>
      <c r="G35" s="276">
        <f>(G33/G34)</f>
        <v>3.9669398214637721</v>
      </c>
      <c r="H35" s="276">
        <f>(H33/H34)</f>
        <v>3.9669398214637717</v>
      </c>
      <c r="I35" s="276">
        <f>(I33/I34)</f>
        <v>3.1315179334103047</v>
      </c>
      <c r="J35" s="276">
        <f>(J33/J34)</f>
        <v>3.9669398214637717</v>
      </c>
      <c r="K35" s="276">
        <f>(K33/K34)</f>
        <v>3.9669398214637721</v>
      </c>
      <c r="L35" s="276">
        <f t="shared" ref="L35:V35" si="8">(L33/L34)</f>
        <v>3.9669398214637717</v>
      </c>
      <c r="M35" s="276">
        <f t="shared" si="8"/>
        <v>3.1315179334103047</v>
      </c>
      <c r="N35" s="276">
        <f t="shared" si="8"/>
        <v>3.9669398214637717</v>
      </c>
      <c r="O35" s="276">
        <f t="shared" si="8"/>
        <v>3.9669398214637717</v>
      </c>
      <c r="P35" s="276">
        <f t="shared" si="8"/>
        <v>3.9669398214637717</v>
      </c>
      <c r="Q35" s="276">
        <f t="shared" si="8"/>
        <v>3.1315179334103043</v>
      </c>
      <c r="R35" s="276">
        <f t="shared" si="8"/>
        <v>3.9669398214637712</v>
      </c>
      <c r="S35" s="276">
        <f t="shared" si="8"/>
        <v>3.9669398214637717</v>
      </c>
      <c r="T35" s="276">
        <f t="shared" si="8"/>
        <v>3.9669398214637717</v>
      </c>
      <c r="U35" s="276">
        <f t="shared" si="8"/>
        <v>3.1315179334103043</v>
      </c>
      <c r="V35" s="276">
        <f t="shared" si="8"/>
        <v>3.9669398214637717</v>
      </c>
    </row>
    <row r="36" spans="6:23" x14ac:dyDescent="0.25">
      <c r="J36" s="268"/>
      <c r="L36" s="262"/>
      <c r="M36" s="254"/>
      <c r="N36" s="254"/>
    </row>
    <row r="37" spans="6:23" x14ac:dyDescent="0.25">
      <c r="G37" s="277" t="s">
        <v>473</v>
      </c>
      <c r="H37" s="277"/>
      <c r="I37" s="277"/>
      <c r="J37" s="278">
        <f>SUM(G33:V33)</f>
        <v>1650</v>
      </c>
      <c r="L37" s="262"/>
      <c r="M37" s="254"/>
      <c r="N37" s="254"/>
    </row>
    <row r="38" spans="6:23" x14ac:dyDescent="0.25">
      <c r="L38" s="262"/>
      <c r="M38" s="254"/>
      <c r="N38" s="254"/>
    </row>
    <row r="39" spans="6:23" x14ac:dyDescent="0.25">
      <c r="L39" s="262"/>
      <c r="M39" s="254"/>
      <c r="N39" s="254"/>
    </row>
    <row r="40" spans="6:23" x14ac:dyDescent="0.25">
      <c r="L40" s="264"/>
      <c r="M40" s="254"/>
      <c r="N40" s="254"/>
    </row>
    <row r="54" spans="11:11" x14ac:dyDescent="0.25">
      <c r="K54" s="279"/>
    </row>
  </sheetData>
  <mergeCells count="16">
    <mergeCell ref="F3:F6"/>
    <mergeCell ref="B14:B17"/>
    <mergeCell ref="C14:C17"/>
    <mergeCell ref="D14:D17"/>
    <mergeCell ref="E14:E17"/>
    <mergeCell ref="F14:F17"/>
    <mergeCell ref="B1:E2"/>
    <mergeCell ref="B3:B6"/>
    <mergeCell ref="C3:C6"/>
    <mergeCell ref="D3:D6"/>
    <mergeCell ref="E3:E6"/>
    <mergeCell ref="B25:B28"/>
    <mergeCell ref="C25:C28"/>
    <mergeCell ref="D25:D28"/>
    <mergeCell ref="E25:E28"/>
    <mergeCell ref="F25:F28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6600"/>
  </sheetPr>
  <dimension ref="A2:Y29"/>
  <sheetViews>
    <sheetView topLeftCell="A7" workbookViewId="0">
      <selection activeCell="E27" sqref="E27"/>
    </sheetView>
  </sheetViews>
  <sheetFormatPr baseColWidth="10" defaultRowHeight="15" x14ac:dyDescent="0.25"/>
  <cols>
    <col min="1" max="1" width="11.42578125" style="255"/>
    <col min="2" max="2" width="21.5703125" style="255" customWidth="1"/>
    <col min="3" max="4" width="10.85546875" style="255" customWidth="1"/>
    <col min="5" max="5" width="8.5703125" style="255" customWidth="1"/>
    <col min="6" max="6" width="11.140625" style="255" customWidth="1"/>
    <col min="7" max="7" width="9.42578125" style="255" customWidth="1"/>
    <col min="8" max="8" width="11.42578125" style="255"/>
    <col min="9" max="9" width="8.5703125" style="255" customWidth="1"/>
    <col min="10" max="10" width="11.140625" style="255" customWidth="1"/>
    <col min="11" max="11" width="10.85546875" style="255" customWidth="1"/>
    <col min="12" max="12" width="11.140625" style="255" customWidth="1"/>
    <col min="13" max="13" width="8.5703125" style="255" customWidth="1"/>
    <col min="14" max="14" width="11.140625" style="255" customWidth="1"/>
    <col min="15" max="17" width="10.85546875" style="255" customWidth="1"/>
    <col min="18" max="18" width="11.140625" style="255" customWidth="1"/>
    <col min="19" max="19" width="11.42578125" style="255"/>
    <col min="20" max="20" width="15.5703125" style="255" customWidth="1"/>
    <col min="21" max="21" width="15.42578125" style="255" customWidth="1"/>
    <col min="22" max="22" width="15" style="255" customWidth="1"/>
    <col min="23" max="23" width="13.5703125" style="255" customWidth="1"/>
    <col min="24" max="24" width="12.28515625" style="255" customWidth="1"/>
    <col min="25" max="25" width="14" style="255" customWidth="1"/>
    <col min="26" max="16384" width="11.42578125" style="255"/>
  </cols>
  <sheetData>
    <row r="2" spans="1:25" ht="15.75" x14ac:dyDescent="0.25">
      <c r="A2" s="477" t="s">
        <v>474</v>
      </c>
      <c r="B2" s="477"/>
      <c r="C2" s="477"/>
      <c r="D2" s="477"/>
      <c r="E2" s="477"/>
      <c r="F2" s="477"/>
      <c r="G2" s="477"/>
      <c r="H2" s="477"/>
      <c r="I2" s="281"/>
      <c r="J2" s="281"/>
      <c r="K2" s="282"/>
      <c r="L2" s="282"/>
      <c r="M2" s="282"/>
      <c r="N2" s="282"/>
      <c r="O2" s="282"/>
    </row>
    <row r="3" spans="1:25" x14ac:dyDescent="0.25">
      <c r="A3" s="478" t="s">
        <v>475</v>
      </c>
      <c r="B3" s="481" t="s">
        <v>259</v>
      </c>
      <c r="C3" s="283" t="s">
        <v>262</v>
      </c>
      <c r="D3" s="284" t="s">
        <v>263</v>
      </c>
      <c r="E3" s="284" t="s">
        <v>264</v>
      </c>
      <c r="F3" s="284" t="s">
        <v>265</v>
      </c>
      <c r="G3" s="283" t="s">
        <v>266</v>
      </c>
      <c r="H3" s="284" t="s">
        <v>267</v>
      </c>
      <c r="I3" s="284" t="s">
        <v>268</v>
      </c>
      <c r="J3" s="284" t="s">
        <v>269</v>
      </c>
      <c r="K3" s="283" t="s">
        <v>270</v>
      </c>
      <c r="L3" s="284" t="s">
        <v>271</v>
      </c>
      <c r="M3" s="284" t="s">
        <v>272</v>
      </c>
      <c r="N3" s="284" t="s">
        <v>273</v>
      </c>
      <c r="O3" s="283" t="s">
        <v>274</v>
      </c>
      <c r="P3" s="284" t="s">
        <v>275</v>
      </c>
      <c r="Q3" s="284" t="s">
        <v>276</v>
      </c>
      <c r="R3" s="284" t="s">
        <v>277</v>
      </c>
    </row>
    <row r="4" spans="1:25" x14ac:dyDescent="0.25">
      <c r="A4" s="479"/>
      <c r="B4" s="482"/>
      <c r="C4" s="283">
        <v>21</v>
      </c>
      <c r="D4" s="283">
        <v>27</v>
      </c>
      <c r="E4" s="283">
        <v>27</v>
      </c>
      <c r="F4" s="283">
        <v>54</v>
      </c>
      <c r="G4" s="283">
        <v>21</v>
      </c>
      <c r="H4" s="283">
        <v>24</v>
      </c>
      <c r="I4" s="283">
        <v>26</v>
      </c>
      <c r="J4" s="283">
        <v>28</v>
      </c>
      <c r="K4" s="283">
        <v>17</v>
      </c>
      <c r="L4" s="283">
        <v>14</v>
      </c>
      <c r="M4" s="283">
        <v>34</v>
      </c>
      <c r="N4" s="283">
        <v>22</v>
      </c>
      <c r="O4" s="283">
        <v>23</v>
      </c>
      <c r="P4" s="283">
        <v>29</v>
      </c>
      <c r="Q4" s="283">
        <v>51</v>
      </c>
      <c r="R4" s="283">
        <v>27</v>
      </c>
    </row>
    <row r="5" spans="1:25" x14ac:dyDescent="0.25">
      <c r="A5" s="480"/>
      <c r="B5" s="483"/>
      <c r="C5" s="285" t="s">
        <v>278</v>
      </c>
      <c r="D5" s="285" t="s">
        <v>278</v>
      </c>
      <c r="E5" s="285" t="s">
        <v>279</v>
      </c>
      <c r="F5" s="285" t="s">
        <v>280</v>
      </c>
      <c r="G5" s="285" t="s">
        <v>278</v>
      </c>
      <c r="H5" s="285" t="s">
        <v>280</v>
      </c>
      <c r="I5" s="285" t="s">
        <v>279</v>
      </c>
      <c r="J5" s="285" t="s">
        <v>280</v>
      </c>
      <c r="K5" s="285" t="s">
        <v>280</v>
      </c>
      <c r="L5" s="285" t="s">
        <v>280</v>
      </c>
      <c r="M5" s="285" t="s">
        <v>279</v>
      </c>
      <c r="N5" s="285" t="s">
        <v>280</v>
      </c>
      <c r="O5" s="285" t="s">
        <v>278</v>
      </c>
      <c r="P5" s="285" t="s">
        <v>278</v>
      </c>
      <c r="Q5" s="285" t="s">
        <v>278</v>
      </c>
      <c r="R5" s="285" t="s">
        <v>280</v>
      </c>
    </row>
    <row r="6" spans="1:25" x14ac:dyDescent="0.25">
      <c r="A6" s="286" t="s">
        <v>436</v>
      </c>
      <c r="B6" s="286" t="s">
        <v>445</v>
      </c>
      <c r="C6" s="287"/>
      <c r="D6" s="288"/>
      <c r="E6" s="288">
        <v>1</v>
      </c>
      <c r="F6" s="289"/>
      <c r="G6" s="287"/>
      <c r="H6" s="288"/>
      <c r="I6" s="288">
        <v>1</v>
      </c>
      <c r="J6" s="289"/>
      <c r="K6" s="287"/>
      <c r="L6" s="288"/>
      <c r="M6" s="288">
        <v>1</v>
      </c>
      <c r="N6" s="289"/>
      <c r="O6" s="287"/>
      <c r="P6" s="288"/>
      <c r="Q6" s="288"/>
      <c r="R6" s="289"/>
    </row>
    <row r="7" spans="1:25" ht="15" customHeight="1" x14ac:dyDescent="0.25">
      <c r="A7" s="286" t="s">
        <v>437</v>
      </c>
      <c r="B7" s="286" t="s">
        <v>446</v>
      </c>
      <c r="C7" s="287"/>
      <c r="D7" s="288"/>
      <c r="E7" s="288">
        <v>0</v>
      </c>
      <c r="F7" s="289"/>
      <c r="G7" s="287"/>
      <c r="H7" s="288"/>
      <c r="I7" s="288">
        <v>0</v>
      </c>
      <c r="J7" s="289"/>
      <c r="K7" s="287"/>
      <c r="L7" s="288"/>
      <c r="M7" s="288">
        <v>0</v>
      </c>
      <c r="N7" s="289"/>
      <c r="O7" s="287"/>
      <c r="P7" s="288"/>
      <c r="Q7" s="288"/>
      <c r="R7" s="289"/>
    </row>
    <row r="8" spans="1:25" ht="15" customHeight="1" x14ac:dyDescent="0.25">
      <c r="A8" s="286" t="s">
        <v>438</v>
      </c>
      <c r="B8" s="286" t="s">
        <v>447</v>
      </c>
      <c r="C8" s="287">
        <v>1</v>
      </c>
      <c r="D8" s="288">
        <v>1</v>
      </c>
      <c r="E8" s="288"/>
      <c r="F8" s="289">
        <v>1</v>
      </c>
      <c r="G8" s="287">
        <v>1</v>
      </c>
      <c r="H8" s="288">
        <v>1</v>
      </c>
      <c r="I8" s="288"/>
      <c r="J8" s="289">
        <v>1</v>
      </c>
      <c r="K8" s="287">
        <v>1</v>
      </c>
      <c r="L8" s="288">
        <v>1</v>
      </c>
      <c r="M8" s="288"/>
      <c r="N8" s="289">
        <v>1</v>
      </c>
      <c r="O8" s="287">
        <v>1</v>
      </c>
      <c r="P8" s="288">
        <v>1</v>
      </c>
      <c r="Q8" s="288">
        <v>1</v>
      </c>
      <c r="R8" s="289">
        <v>1</v>
      </c>
    </row>
    <row r="9" spans="1:25" ht="15" customHeight="1" x14ac:dyDescent="0.3">
      <c r="A9" s="286" t="s">
        <v>439</v>
      </c>
      <c r="B9" s="286" t="s">
        <v>448</v>
      </c>
      <c r="C9" s="287">
        <v>1</v>
      </c>
      <c r="D9" s="288">
        <v>1</v>
      </c>
      <c r="E9" s="288"/>
      <c r="F9" s="289">
        <v>1</v>
      </c>
      <c r="G9" s="287">
        <v>1</v>
      </c>
      <c r="H9" s="288">
        <v>1</v>
      </c>
      <c r="I9" s="288"/>
      <c r="J9" s="289">
        <v>1</v>
      </c>
      <c r="K9" s="287">
        <v>1</v>
      </c>
      <c r="L9" s="288">
        <v>1</v>
      </c>
      <c r="M9" s="288"/>
      <c r="N9" s="289">
        <v>1</v>
      </c>
      <c r="O9" s="287">
        <v>1</v>
      </c>
      <c r="P9" s="288">
        <v>1</v>
      </c>
      <c r="Q9" s="288">
        <v>1</v>
      </c>
      <c r="R9" s="289">
        <v>1</v>
      </c>
      <c r="S9" s="294" t="s">
        <v>480</v>
      </c>
      <c r="T9" s="294"/>
      <c r="U9" s="281"/>
      <c r="V9" s="281"/>
      <c r="W9" s="282"/>
      <c r="X9" s="282"/>
      <c r="Y9" s="282"/>
    </row>
    <row r="10" spans="1:25" ht="18.75" customHeight="1" x14ac:dyDescent="0.25">
      <c r="A10" s="286" t="s">
        <v>440</v>
      </c>
      <c r="B10" s="286" t="s">
        <v>449</v>
      </c>
      <c r="C10" s="287"/>
      <c r="D10" s="288"/>
      <c r="E10" s="288">
        <v>1</v>
      </c>
      <c r="F10" s="289"/>
      <c r="G10" s="287"/>
      <c r="H10" s="288"/>
      <c r="I10" s="288">
        <v>1</v>
      </c>
      <c r="J10" s="289"/>
      <c r="K10" s="287"/>
      <c r="L10" s="288"/>
      <c r="M10" s="288">
        <v>1</v>
      </c>
      <c r="N10" s="289"/>
      <c r="O10" s="287"/>
      <c r="P10" s="288"/>
      <c r="Q10" s="288"/>
      <c r="R10" s="289"/>
      <c r="S10" s="281"/>
      <c r="T10" s="466" t="s">
        <v>481</v>
      </c>
      <c r="U10" s="467"/>
      <c r="V10" s="467"/>
      <c r="W10" s="467"/>
      <c r="X10" s="467"/>
      <c r="Y10" s="468"/>
    </row>
    <row r="11" spans="1:25" ht="18.75" customHeight="1" x14ac:dyDescent="0.25">
      <c r="A11" s="286" t="s">
        <v>441</v>
      </c>
      <c r="B11" s="286" t="s">
        <v>450</v>
      </c>
      <c r="C11" s="287">
        <v>1</v>
      </c>
      <c r="D11" s="288">
        <v>1</v>
      </c>
      <c r="E11" s="288"/>
      <c r="F11" s="289"/>
      <c r="G11" s="287">
        <v>1</v>
      </c>
      <c r="H11" s="288">
        <v>1</v>
      </c>
      <c r="I11" s="288"/>
      <c r="J11" s="289"/>
      <c r="K11" s="287"/>
      <c r="L11" s="288"/>
      <c r="M11" s="288"/>
      <c r="N11" s="289"/>
      <c r="O11" s="287">
        <v>1</v>
      </c>
      <c r="P11" s="288">
        <v>1</v>
      </c>
      <c r="Q11" s="288">
        <v>1</v>
      </c>
      <c r="R11" s="289"/>
      <c r="S11" s="281"/>
      <c r="T11" s="469"/>
      <c r="U11" s="470"/>
      <c r="V11" s="470"/>
      <c r="W11" s="470"/>
      <c r="X11" s="470"/>
      <c r="Y11" s="471"/>
    </row>
    <row r="12" spans="1:25" ht="18.75" customHeight="1" x14ac:dyDescent="0.25">
      <c r="A12" s="286" t="s">
        <v>442</v>
      </c>
      <c r="B12" s="286" t="s">
        <v>451</v>
      </c>
      <c r="C12" s="287"/>
      <c r="D12" s="288"/>
      <c r="E12" s="288"/>
      <c r="F12" s="289">
        <v>1</v>
      </c>
      <c r="G12" s="287"/>
      <c r="H12" s="288"/>
      <c r="I12" s="288"/>
      <c r="J12" s="289">
        <v>1</v>
      </c>
      <c r="K12" s="287">
        <v>1</v>
      </c>
      <c r="L12" s="288">
        <v>1</v>
      </c>
      <c r="M12" s="288"/>
      <c r="N12" s="289">
        <v>1</v>
      </c>
      <c r="O12" s="287"/>
      <c r="P12" s="288"/>
      <c r="Q12" s="288"/>
      <c r="R12" s="289">
        <v>1</v>
      </c>
      <c r="S12" s="281"/>
      <c r="T12" s="472"/>
      <c r="U12" s="473"/>
      <c r="V12" s="473"/>
      <c r="W12" s="473"/>
      <c r="X12" s="473"/>
      <c r="Y12" s="474"/>
    </row>
    <row r="13" spans="1:25" ht="18.75" x14ac:dyDescent="0.3">
      <c r="A13" s="281"/>
      <c r="B13" s="281"/>
      <c r="C13" s="290"/>
      <c r="D13" s="281"/>
      <c r="E13" s="281"/>
      <c r="F13" s="281"/>
      <c r="N13" s="282"/>
      <c r="O13" s="282"/>
      <c r="S13" s="294" t="s">
        <v>482</v>
      </c>
      <c r="T13" s="281"/>
      <c r="U13" s="281"/>
      <c r="V13" s="281"/>
      <c r="W13" s="282"/>
      <c r="X13" s="282"/>
      <c r="Y13" s="282"/>
    </row>
    <row r="14" spans="1:25" ht="15.75" x14ac:dyDescent="0.25">
      <c r="A14" s="253" t="s">
        <v>476</v>
      </c>
      <c r="B14" s="281"/>
      <c r="C14" s="290"/>
      <c r="D14" s="281"/>
      <c r="E14" s="281"/>
      <c r="F14" s="281"/>
      <c r="G14" s="281"/>
      <c r="H14" s="281"/>
      <c r="N14" s="282"/>
      <c r="O14" s="282"/>
    </row>
    <row r="15" spans="1:25" x14ac:dyDescent="0.25">
      <c r="A15" s="478" t="s">
        <v>475</v>
      </c>
      <c r="B15" s="481" t="s">
        <v>259</v>
      </c>
      <c r="C15" s="475" t="s">
        <v>262</v>
      </c>
      <c r="D15" s="475" t="s">
        <v>263</v>
      </c>
      <c r="E15" s="475" t="s">
        <v>264</v>
      </c>
      <c r="F15" s="475" t="s">
        <v>265</v>
      </c>
      <c r="G15" s="475" t="s">
        <v>266</v>
      </c>
      <c r="H15" s="475" t="s">
        <v>267</v>
      </c>
      <c r="I15" s="475" t="s">
        <v>268</v>
      </c>
      <c r="J15" s="475" t="s">
        <v>269</v>
      </c>
      <c r="K15" s="475" t="s">
        <v>270</v>
      </c>
      <c r="L15" s="475" t="s">
        <v>271</v>
      </c>
      <c r="M15" s="475" t="s">
        <v>272</v>
      </c>
      <c r="N15" s="475" t="s">
        <v>273</v>
      </c>
      <c r="O15" s="475" t="s">
        <v>274</v>
      </c>
      <c r="P15" s="475" t="s">
        <v>275</v>
      </c>
      <c r="Q15" s="475" t="s">
        <v>276</v>
      </c>
      <c r="R15" s="475" t="s">
        <v>277</v>
      </c>
    </row>
    <row r="16" spans="1:25" x14ac:dyDescent="0.25">
      <c r="A16" s="480"/>
      <c r="B16" s="483"/>
      <c r="C16" s="476"/>
      <c r="D16" s="476"/>
      <c r="E16" s="476"/>
      <c r="F16" s="476"/>
      <c r="G16" s="476"/>
      <c r="H16" s="476"/>
      <c r="I16" s="476"/>
      <c r="J16" s="476"/>
      <c r="K16" s="476"/>
      <c r="L16" s="476"/>
      <c r="M16" s="476"/>
      <c r="N16" s="476"/>
      <c r="O16" s="476"/>
      <c r="P16" s="476"/>
      <c r="Q16" s="476"/>
      <c r="R16" s="476"/>
    </row>
    <row r="17" spans="1:18" x14ac:dyDescent="0.25">
      <c r="A17" s="286" t="s">
        <v>436</v>
      </c>
      <c r="B17" s="286" t="s">
        <v>445</v>
      </c>
      <c r="C17" s="291">
        <v>0</v>
      </c>
      <c r="D17" s="291">
        <v>0</v>
      </c>
      <c r="E17" s="291">
        <v>8.1</v>
      </c>
      <c r="F17" s="291">
        <v>0</v>
      </c>
      <c r="G17" s="291">
        <v>0</v>
      </c>
      <c r="H17" s="291">
        <v>0</v>
      </c>
      <c r="I17" s="291">
        <v>7.8</v>
      </c>
      <c r="J17" s="291">
        <v>0</v>
      </c>
      <c r="K17" s="291">
        <v>0</v>
      </c>
      <c r="L17" s="291">
        <v>0</v>
      </c>
      <c r="M17" s="291">
        <v>6.8000000000000007</v>
      </c>
      <c r="N17" s="291">
        <v>0</v>
      </c>
      <c r="O17" s="291">
        <v>0</v>
      </c>
      <c r="P17" s="291">
        <v>0</v>
      </c>
      <c r="Q17" s="291">
        <v>0</v>
      </c>
      <c r="R17" s="291">
        <v>0</v>
      </c>
    </row>
    <row r="18" spans="1:18" x14ac:dyDescent="0.25">
      <c r="A18" s="286" t="s">
        <v>437</v>
      </c>
      <c r="B18" s="286" t="s">
        <v>446</v>
      </c>
      <c r="C18" s="291">
        <v>0</v>
      </c>
      <c r="D18" s="291">
        <v>0</v>
      </c>
      <c r="E18" s="291">
        <v>0</v>
      </c>
      <c r="F18" s="291">
        <v>0</v>
      </c>
      <c r="G18" s="291">
        <v>0</v>
      </c>
      <c r="H18" s="291">
        <v>0</v>
      </c>
      <c r="I18" s="291">
        <v>0</v>
      </c>
      <c r="J18" s="291">
        <v>0</v>
      </c>
      <c r="K18" s="291">
        <v>0</v>
      </c>
      <c r="L18" s="291">
        <v>0</v>
      </c>
      <c r="M18" s="291">
        <v>0</v>
      </c>
      <c r="N18" s="291">
        <v>0</v>
      </c>
      <c r="O18" s="291">
        <v>0</v>
      </c>
      <c r="P18" s="291">
        <v>0</v>
      </c>
      <c r="Q18" s="291">
        <v>0</v>
      </c>
      <c r="R18" s="291">
        <v>0</v>
      </c>
    </row>
    <row r="19" spans="1:18" x14ac:dyDescent="0.25">
      <c r="A19" s="286" t="s">
        <v>438</v>
      </c>
      <c r="B19" s="286" t="s">
        <v>447</v>
      </c>
      <c r="C19" s="291">
        <v>6.3</v>
      </c>
      <c r="D19" s="291">
        <v>8.1</v>
      </c>
      <c r="E19" s="291">
        <v>0</v>
      </c>
      <c r="F19" s="291">
        <v>10.8</v>
      </c>
      <c r="G19" s="291">
        <v>6.3</v>
      </c>
      <c r="H19" s="291">
        <v>7.1999999999999993</v>
      </c>
      <c r="I19" s="291">
        <v>0</v>
      </c>
      <c r="J19" s="291">
        <v>8.4</v>
      </c>
      <c r="K19" s="291">
        <v>5.0999999999999996</v>
      </c>
      <c r="L19" s="291">
        <v>5.6000000000000005</v>
      </c>
      <c r="M19" s="291">
        <v>0</v>
      </c>
      <c r="N19" s="291">
        <v>6.6</v>
      </c>
      <c r="O19" s="291">
        <v>6.8999999999999995</v>
      </c>
      <c r="P19" s="291">
        <v>8.6999999999999993</v>
      </c>
      <c r="Q19" s="291">
        <v>10.200000000000001</v>
      </c>
      <c r="R19" s="291">
        <v>8.1</v>
      </c>
    </row>
    <row r="20" spans="1:18" x14ac:dyDescent="0.25">
      <c r="A20" s="286" t="s">
        <v>439</v>
      </c>
      <c r="B20" s="286" t="s">
        <v>448</v>
      </c>
      <c r="C20" s="291">
        <v>147</v>
      </c>
      <c r="D20" s="291">
        <v>189</v>
      </c>
      <c r="E20" s="291">
        <v>0</v>
      </c>
      <c r="F20" s="291">
        <v>378</v>
      </c>
      <c r="G20" s="291">
        <v>147</v>
      </c>
      <c r="H20" s="291">
        <v>168</v>
      </c>
      <c r="I20" s="291">
        <v>0</v>
      </c>
      <c r="J20" s="291">
        <v>196</v>
      </c>
      <c r="K20" s="291">
        <v>119</v>
      </c>
      <c r="L20" s="291">
        <v>98</v>
      </c>
      <c r="M20" s="291">
        <v>0</v>
      </c>
      <c r="N20" s="291">
        <v>154</v>
      </c>
      <c r="O20" s="291">
        <v>161</v>
      </c>
      <c r="P20" s="291">
        <v>203</v>
      </c>
      <c r="Q20" s="291">
        <v>357</v>
      </c>
      <c r="R20" s="291">
        <v>189</v>
      </c>
    </row>
    <row r="21" spans="1:18" x14ac:dyDescent="0.25">
      <c r="A21" s="286" t="s">
        <v>440</v>
      </c>
      <c r="B21" s="286" t="s">
        <v>449</v>
      </c>
      <c r="C21" s="291">
        <v>0</v>
      </c>
      <c r="D21" s="291">
        <v>0</v>
      </c>
      <c r="E21" s="291">
        <v>108</v>
      </c>
      <c r="F21" s="291">
        <v>0</v>
      </c>
      <c r="G21" s="291">
        <v>0</v>
      </c>
      <c r="H21" s="291">
        <v>0</v>
      </c>
      <c r="I21" s="291">
        <v>104</v>
      </c>
      <c r="J21" s="291">
        <v>0</v>
      </c>
      <c r="K21" s="291">
        <v>0</v>
      </c>
      <c r="L21" s="291">
        <v>0</v>
      </c>
      <c r="M21" s="291">
        <v>129.19999999999999</v>
      </c>
      <c r="N21" s="291">
        <v>0</v>
      </c>
      <c r="O21" s="291">
        <v>0</v>
      </c>
      <c r="P21" s="291">
        <v>0</v>
      </c>
      <c r="Q21" s="291">
        <v>0</v>
      </c>
      <c r="R21" s="291">
        <v>0</v>
      </c>
    </row>
    <row r="22" spans="1:18" x14ac:dyDescent="0.25">
      <c r="A22" s="286" t="s">
        <v>441</v>
      </c>
      <c r="B22" s="286" t="s">
        <v>450</v>
      </c>
      <c r="C22" s="291">
        <v>168</v>
      </c>
      <c r="D22" s="291">
        <v>216</v>
      </c>
      <c r="E22" s="291">
        <v>0</v>
      </c>
      <c r="F22" s="291">
        <v>0</v>
      </c>
      <c r="G22" s="291">
        <v>168</v>
      </c>
      <c r="H22" s="291">
        <v>192</v>
      </c>
      <c r="I22" s="291">
        <v>0</v>
      </c>
      <c r="J22" s="291">
        <v>0</v>
      </c>
      <c r="K22" s="291">
        <v>0</v>
      </c>
      <c r="L22" s="291">
        <v>0</v>
      </c>
      <c r="M22" s="291">
        <v>0</v>
      </c>
      <c r="N22" s="291">
        <v>0</v>
      </c>
      <c r="O22" s="291">
        <v>184</v>
      </c>
      <c r="P22" s="291">
        <v>232</v>
      </c>
      <c r="Q22" s="291">
        <v>382.5</v>
      </c>
      <c r="R22" s="291">
        <v>0</v>
      </c>
    </row>
    <row r="23" spans="1:18" x14ac:dyDescent="0.25">
      <c r="A23" s="286" t="s">
        <v>442</v>
      </c>
      <c r="B23" s="286" t="s">
        <v>451</v>
      </c>
      <c r="C23" s="291">
        <v>0</v>
      </c>
      <c r="D23" s="291">
        <v>0</v>
      </c>
      <c r="E23" s="291">
        <v>0</v>
      </c>
      <c r="F23" s="291">
        <v>405</v>
      </c>
      <c r="G23" s="291">
        <v>0</v>
      </c>
      <c r="H23" s="291">
        <v>0</v>
      </c>
      <c r="I23" s="291">
        <v>0</v>
      </c>
      <c r="J23" s="291">
        <v>224</v>
      </c>
      <c r="K23" s="291">
        <v>136</v>
      </c>
      <c r="L23" s="291">
        <v>119</v>
      </c>
      <c r="M23" s="291">
        <v>0</v>
      </c>
      <c r="N23" s="291">
        <v>176</v>
      </c>
      <c r="O23" s="291">
        <v>0</v>
      </c>
      <c r="P23" s="291">
        <v>0</v>
      </c>
      <c r="Q23" s="291">
        <v>0</v>
      </c>
      <c r="R23" s="291">
        <v>216</v>
      </c>
    </row>
    <row r="24" spans="1:18" x14ac:dyDescent="0.25">
      <c r="A24" s="281"/>
      <c r="B24" s="281"/>
      <c r="C24" s="290"/>
      <c r="D24" s="281"/>
      <c r="E24" s="281"/>
      <c r="F24" s="281"/>
      <c r="G24" s="281"/>
      <c r="H24" s="281"/>
      <c r="I24" s="282"/>
      <c r="J24" s="282"/>
      <c r="K24" s="282"/>
      <c r="L24" s="282"/>
      <c r="M24" s="282"/>
      <c r="N24" s="282"/>
      <c r="O24" s="282"/>
    </row>
    <row r="25" spans="1:18" x14ac:dyDescent="0.25">
      <c r="A25" s="281"/>
      <c r="B25" s="292" t="s">
        <v>477</v>
      </c>
      <c r="C25" s="293" t="s">
        <v>402</v>
      </c>
      <c r="D25" s="292" t="s">
        <v>263</v>
      </c>
      <c r="E25" s="292" t="s">
        <v>264</v>
      </c>
      <c r="F25" s="292" t="s">
        <v>265</v>
      </c>
      <c r="G25" s="293" t="s">
        <v>410</v>
      </c>
      <c r="H25" s="292" t="s">
        <v>412</v>
      </c>
      <c r="I25" s="292" t="s">
        <v>414</v>
      </c>
      <c r="J25" s="292" t="s">
        <v>417</v>
      </c>
      <c r="K25" s="293" t="s">
        <v>419</v>
      </c>
      <c r="L25" s="292" t="s">
        <v>421</v>
      </c>
      <c r="M25" s="292" t="s">
        <v>423</v>
      </c>
      <c r="N25" s="292" t="s">
        <v>425</v>
      </c>
      <c r="O25" s="293" t="s">
        <v>427</v>
      </c>
      <c r="P25" s="292" t="s">
        <v>429</v>
      </c>
      <c r="Q25" s="292" t="s">
        <v>431</v>
      </c>
      <c r="R25" s="292" t="s">
        <v>434</v>
      </c>
    </row>
    <row r="26" spans="1:18" x14ac:dyDescent="0.25">
      <c r="A26" s="281"/>
      <c r="B26" s="273" t="s">
        <v>295</v>
      </c>
      <c r="C26" s="273">
        <v>21</v>
      </c>
      <c r="D26" s="273">
        <v>27</v>
      </c>
      <c r="E26" s="273">
        <v>27</v>
      </c>
      <c r="F26" s="273">
        <v>54</v>
      </c>
      <c r="G26" s="273">
        <v>21</v>
      </c>
      <c r="H26" s="273">
        <v>24</v>
      </c>
      <c r="I26" s="273">
        <v>26</v>
      </c>
      <c r="J26" s="273">
        <v>28</v>
      </c>
      <c r="K26" s="273">
        <v>17</v>
      </c>
      <c r="L26" s="273">
        <v>14</v>
      </c>
      <c r="M26" s="273">
        <v>34</v>
      </c>
      <c r="N26" s="273">
        <v>22</v>
      </c>
      <c r="O26" s="273">
        <v>23</v>
      </c>
      <c r="P26" s="273">
        <v>29</v>
      </c>
      <c r="Q26" s="273">
        <v>51</v>
      </c>
      <c r="R26" s="273">
        <v>27</v>
      </c>
    </row>
    <row r="27" spans="1:18" x14ac:dyDescent="0.25">
      <c r="A27" s="281"/>
      <c r="B27" s="276" t="s">
        <v>478</v>
      </c>
      <c r="C27" s="276">
        <v>321.3</v>
      </c>
      <c r="D27" s="276">
        <v>413.1</v>
      </c>
      <c r="E27" s="276">
        <v>116.1</v>
      </c>
      <c r="F27" s="276">
        <v>793.8</v>
      </c>
      <c r="G27" s="276">
        <v>321.3</v>
      </c>
      <c r="H27" s="276">
        <v>367.2</v>
      </c>
      <c r="I27" s="276">
        <v>111.8</v>
      </c>
      <c r="J27" s="276">
        <v>428.4</v>
      </c>
      <c r="K27" s="276">
        <v>260.10000000000002</v>
      </c>
      <c r="L27" s="276">
        <v>222.6</v>
      </c>
      <c r="M27" s="276">
        <v>136</v>
      </c>
      <c r="N27" s="276">
        <v>336.6</v>
      </c>
      <c r="O27" s="276">
        <v>351.9</v>
      </c>
      <c r="P27" s="276">
        <v>443.7</v>
      </c>
      <c r="Q27" s="276">
        <v>749.7</v>
      </c>
      <c r="R27" s="276">
        <v>413.1</v>
      </c>
    </row>
    <row r="28" spans="1:18" x14ac:dyDescent="0.25">
      <c r="A28" s="281"/>
      <c r="B28" s="273" t="s">
        <v>479</v>
      </c>
      <c r="C28" s="273">
        <v>15.3</v>
      </c>
      <c r="D28" s="273">
        <v>15.3</v>
      </c>
      <c r="E28" s="273">
        <v>4.3</v>
      </c>
      <c r="F28" s="273">
        <v>14.7</v>
      </c>
      <c r="G28" s="273">
        <v>15.3</v>
      </c>
      <c r="H28" s="273">
        <v>15.299999999999999</v>
      </c>
      <c r="I28" s="273">
        <v>4.3</v>
      </c>
      <c r="J28" s="273">
        <v>15.299999999999999</v>
      </c>
      <c r="K28" s="273">
        <v>15.3</v>
      </c>
      <c r="L28" s="273">
        <v>15.9</v>
      </c>
      <c r="M28" s="273">
        <v>4</v>
      </c>
      <c r="N28" s="273">
        <v>15.3</v>
      </c>
      <c r="O28" s="273">
        <v>15.299999999999999</v>
      </c>
      <c r="P28" s="273">
        <v>15.299999999999999</v>
      </c>
      <c r="Q28" s="273">
        <v>14.700000000000001</v>
      </c>
      <c r="R28" s="273">
        <v>15.3</v>
      </c>
    </row>
    <row r="29" spans="1:18" x14ac:dyDescent="0.25">
      <c r="A29" s="281"/>
      <c r="B29" s="281"/>
      <c r="C29" s="290"/>
      <c r="D29" s="281"/>
      <c r="E29" s="281"/>
      <c r="F29" s="281"/>
      <c r="G29" s="281"/>
      <c r="H29" s="281"/>
      <c r="I29" s="281"/>
      <c r="J29" s="281"/>
      <c r="K29" s="282"/>
      <c r="L29" s="282"/>
      <c r="M29" s="282"/>
      <c r="N29" s="282"/>
      <c r="O29" s="282"/>
    </row>
  </sheetData>
  <mergeCells count="22">
    <mergeCell ref="M15:M16"/>
    <mergeCell ref="A2:H2"/>
    <mergeCell ref="A3:A5"/>
    <mergeCell ref="B3:B5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T10:Y12"/>
    <mergeCell ref="N15:N16"/>
    <mergeCell ref="O15:O16"/>
    <mergeCell ref="P15:P16"/>
    <mergeCell ref="Q15:Q16"/>
    <mergeCell ref="R15:R1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6600"/>
  </sheetPr>
  <dimension ref="A1:AA83"/>
  <sheetViews>
    <sheetView topLeftCell="A10" workbookViewId="0">
      <selection activeCell="D21" sqref="D21"/>
    </sheetView>
  </sheetViews>
  <sheetFormatPr baseColWidth="10" defaultRowHeight="15" customHeight="1" x14ac:dyDescent="0.2"/>
  <cols>
    <col min="1" max="1" width="4.28515625" style="7" customWidth="1"/>
    <col min="2" max="2" width="30.7109375" style="7" customWidth="1"/>
    <col min="3" max="3" width="8" style="7" customWidth="1"/>
    <col min="4" max="4" width="56" style="7" bestFit="1" customWidth="1"/>
    <col min="5" max="5" width="11.85546875" style="7" customWidth="1"/>
    <col min="6" max="6" width="15.42578125" style="7" customWidth="1"/>
    <col min="7" max="7" width="18.85546875" style="7" customWidth="1"/>
    <col min="8" max="8" width="18.5703125" style="7" customWidth="1"/>
    <col min="9" max="9" width="28.28515625" style="7" customWidth="1"/>
    <col min="10" max="10" width="19.28515625" style="7" customWidth="1"/>
    <col min="11" max="27" width="11.42578125" style="7" customWidth="1"/>
    <col min="28" max="16384" width="11.42578125" style="7"/>
  </cols>
  <sheetData>
    <row r="1" spans="1:27" s="97" customFormat="1" ht="41.25" customHeight="1" thickBot="1" x14ac:dyDescent="0.25">
      <c r="A1" s="426" t="s">
        <v>109</v>
      </c>
      <c r="B1" s="426"/>
      <c r="C1" s="426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pans="1:27" ht="15" customHeight="1" thickTop="1" x14ac:dyDescent="0.2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 customHeight="1" x14ac:dyDescent="0.2">
      <c r="B3" s="51" t="s">
        <v>36</v>
      </c>
      <c r="C3" s="51" t="s">
        <v>72</v>
      </c>
      <c r="D3" s="51" t="s">
        <v>55</v>
      </c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customHeight="1" x14ac:dyDescent="0.2">
      <c r="B4" s="484" t="s">
        <v>48</v>
      </c>
      <c r="C4" s="5" t="s">
        <v>35</v>
      </c>
      <c r="D4" s="6" t="s">
        <v>483</v>
      </c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2">
      <c r="B5" s="485"/>
      <c r="C5" s="5" t="s">
        <v>29</v>
      </c>
      <c r="D5" s="6" t="s">
        <v>484</v>
      </c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2">
      <c r="B6" s="485"/>
      <c r="C6" s="5" t="s">
        <v>28</v>
      </c>
      <c r="D6" s="6" t="s">
        <v>485</v>
      </c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2">
      <c r="B7" s="251" t="s">
        <v>486</v>
      </c>
      <c r="C7" s="5" t="s">
        <v>27</v>
      </c>
      <c r="D7" s="6" t="s">
        <v>167</v>
      </c>
      <c r="E7" s="1"/>
      <c r="F7" s="2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2">
      <c r="B8" s="488" t="s">
        <v>500</v>
      </c>
      <c r="C8" s="5" t="s">
        <v>26</v>
      </c>
      <c r="D8" s="6" t="s">
        <v>169</v>
      </c>
      <c r="E8" s="1"/>
      <c r="F8" s="2"/>
      <c r="G8" s="1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2">
      <c r="B9" s="489"/>
      <c r="C9" s="5" t="s">
        <v>25</v>
      </c>
      <c r="D9" s="6" t="s">
        <v>170</v>
      </c>
      <c r="E9" s="1"/>
      <c r="F9" s="2"/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2">
      <c r="B10" s="489"/>
      <c r="C10" s="5" t="s">
        <v>24</v>
      </c>
      <c r="D10" s="6" t="s">
        <v>171</v>
      </c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2">
      <c r="B11" s="489"/>
      <c r="C11" s="5" t="s">
        <v>23</v>
      </c>
      <c r="D11" s="6" t="s">
        <v>172</v>
      </c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2">
      <c r="B12" s="489"/>
      <c r="C12" s="5" t="s">
        <v>22</v>
      </c>
      <c r="D12" s="6" t="s">
        <v>487</v>
      </c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 x14ac:dyDescent="0.2">
      <c r="B13" s="484" t="s">
        <v>54</v>
      </c>
      <c r="C13" s="5" t="s">
        <v>32</v>
      </c>
      <c r="D13" s="6" t="s">
        <v>104</v>
      </c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 x14ac:dyDescent="0.2">
      <c r="B14" s="485"/>
      <c r="C14" s="296" t="s">
        <v>30</v>
      </c>
      <c r="D14" s="6" t="s">
        <v>53</v>
      </c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 x14ac:dyDescent="0.2">
      <c r="B15" s="485"/>
      <c r="C15" s="5" t="s">
        <v>31</v>
      </c>
      <c r="D15" s="6" t="s">
        <v>105</v>
      </c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 x14ac:dyDescent="0.2">
      <c r="B16" s="486"/>
      <c r="C16" s="5" t="s">
        <v>11</v>
      </c>
      <c r="D16" s="6" t="s">
        <v>89</v>
      </c>
      <c r="E16" s="1"/>
      <c r="F16" s="2"/>
      <c r="G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5" customHeight="1" x14ac:dyDescent="0.2">
      <c r="B17" s="485" t="s">
        <v>60</v>
      </c>
      <c r="C17" s="5" t="s">
        <v>10</v>
      </c>
      <c r="D17" s="6" t="s">
        <v>488</v>
      </c>
      <c r="E17" s="1"/>
      <c r="F17" s="2"/>
      <c r="G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5" customHeight="1" x14ac:dyDescent="0.2">
      <c r="B18" s="485"/>
      <c r="C18" s="5" t="s">
        <v>13</v>
      </c>
      <c r="D18" s="6" t="s">
        <v>489</v>
      </c>
      <c r="E18" s="1"/>
      <c r="F18" s="2"/>
      <c r="G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5" customHeight="1" x14ac:dyDescent="0.2">
      <c r="B19" s="485"/>
      <c r="C19" s="5" t="s">
        <v>12</v>
      </c>
      <c r="D19" s="6" t="s">
        <v>490</v>
      </c>
      <c r="E19" s="1"/>
      <c r="F19" s="2"/>
      <c r="G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5" customHeight="1" x14ac:dyDescent="0.2">
      <c r="B20" s="486"/>
      <c r="C20" s="5" t="s">
        <v>15</v>
      </c>
      <c r="D20" s="6" t="s">
        <v>491</v>
      </c>
      <c r="E20" s="1"/>
      <c r="F20" s="2"/>
      <c r="G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5" customHeight="1" x14ac:dyDescent="0.2">
      <c r="B21" s="484" t="s">
        <v>492</v>
      </c>
      <c r="C21" s="5" t="s">
        <v>14</v>
      </c>
      <c r="D21" s="6" t="s">
        <v>493</v>
      </c>
      <c r="E21" s="1"/>
      <c r="F21" s="2"/>
      <c r="G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5" customHeight="1" x14ac:dyDescent="0.2">
      <c r="B22" s="485"/>
      <c r="C22" s="5" t="s">
        <v>17</v>
      </c>
      <c r="D22" s="6" t="s">
        <v>494</v>
      </c>
      <c r="E22" s="1"/>
      <c r="F22" s="2"/>
      <c r="G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5" customHeight="1" x14ac:dyDescent="0.2">
      <c r="B23" s="486"/>
      <c r="C23" s="5" t="s">
        <v>18</v>
      </c>
      <c r="D23" s="6" t="s">
        <v>495</v>
      </c>
      <c r="E23" s="1"/>
      <c r="F23" s="2"/>
      <c r="G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5" customHeight="1" x14ac:dyDescent="0.2">
      <c r="B24" s="484" t="s">
        <v>496</v>
      </c>
      <c r="C24" s="5" t="s">
        <v>19</v>
      </c>
      <c r="D24" s="6" t="s">
        <v>497</v>
      </c>
      <c r="E24" s="1"/>
      <c r="F24" s="2"/>
      <c r="G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5" customHeight="1" x14ac:dyDescent="0.2">
      <c r="B25" s="485"/>
      <c r="C25" s="5" t="s">
        <v>20</v>
      </c>
      <c r="D25" s="6" t="s">
        <v>498</v>
      </c>
      <c r="E25" s="1"/>
      <c r="F25" s="2"/>
      <c r="G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5" customHeight="1" x14ac:dyDescent="0.2">
      <c r="B26" s="486"/>
      <c r="C26" s="5" t="s">
        <v>21</v>
      </c>
      <c r="D26" s="6" t="s">
        <v>499</v>
      </c>
      <c r="E26" s="1"/>
      <c r="F26" s="2"/>
      <c r="G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5" customHeight="1" x14ac:dyDescent="0.2">
      <c r="B27" s="487" t="s">
        <v>41</v>
      </c>
      <c r="C27" s="5" t="s">
        <v>3</v>
      </c>
      <c r="D27" s="6" t="s">
        <v>501</v>
      </c>
      <c r="E27" s="1"/>
      <c r="F27" s="2"/>
      <c r="G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5" customHeight="1" x14ac:dyDescent="0.2">
      <c r="B28" s="487"/>
      <c r="C28" s="5" t="s">
        <v>2</v>
      </c>
      <c r="D28" s="6" t="s">
        <v>502</v>
      </c>
      <c r="E28" s="1"/>
      <c r="F28" s="2"/>
      <c r="G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5" customHeight="1" x14ac:dyDescent="0.2">
      <c r="B29" s="487"/>
      <c r="C29" s="5" t="s">
        <v>1</v>
      </c>
      <c r="D29" s="6" t="s">
        <v>106</v>
      </c>
      <c r="E29" s="2"/>
      <c r="F29" s="2"/>
      <c r="G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5" customHeight="1" x14ac:dyDescent="0.2">
      <c r="B30" s="487"/>
      <c r="C30" s="5" t="s">
        <v>0</v>
      </c>
      <c r="D30" s="6" t="s">
        <v>168</v>
      </c>
      <c r="E30" s="2"/>
      <c r="F30" s="2"/>
      <c r="G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5" customHeight="1" x14ac:dyDescent="0.2">
      <c r="B31" s="487"/>
      <c r="C31" s="5" t="s">
        <v>5</v>
      </c>
      <c r="D31" s="6" t="s">
        <v>173</v>
      </c>
      <c r="E31" s="2"/>
      <c r="F31" s="2"/>
      <c r="G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5" customHeight="1" x14ac:dyDescent="0.2">
      <c r="B32" s="487"/>
      <c r="C32" s="5" t="s">
        <v>4</v>
      </c>
      <c r="D32" s="6" t="s">
        <v>503</v>
      </c>
      <c r="E32" s="2"/>
      <c r="F32" s="2"/>
      <c r="G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5" customHeight="1" x14ac:dyDescent="0.2">
      <c r="E33" s="2"/>
      <c r="F33" s="2"/>
      <c r="G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5" customHeight="1" x14ac:dyDescent="0.2">
      <c r="E34" s="2"/>
      <c r="F34" s="2"/>
      <c r="G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5" customHeight="1" x14ac:dyDescent="0.2">
      <c r="E35" s="2"/>
      <c r="F35" s="2"/>
      <c r="G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5" customHeight="1" x14ac:dyDescent="0.2">
      <c r="E36" s="2"/>
      <c r="F36" s="2"/>
      <c r="G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5" customHeight="1" x14ac:dyDescent="0.2">
      <c r="E37" s="2"/>
      <c r="F37" s="2"/>
      <c r="G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5" customHeight="1" x14ac:dyDescent="0.2">
      <c r="E38" s="2"/>
      <c r="F38" s="2"/>
      <c r="G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5" customHeight="1" x14ac:dyDescent="0.2">
      <c r="E39" s="2"/>
      <c r="F39" s="2"/>
      <c r="G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5" customHeight="1" x14ac:dyDescent="0.2">
      <c r="E40" s="2"/>
      <c r="F40" s="2"/>
      <c r="G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5" customHeight="1" x14ac:dyDescent="0.2">
      <c r="E41" s="2"/>
      <c r="F41" s="2"/>
      <c r="G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5" customHeight="1" x14ac:dyDescent="0.2">
      <c r="B42" s="2"/>
      <c r="E42" s="2"/>
      <c r="F42" s="2"/>
      <c r="G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5" customHeight="1" x14ac:dyDescent="0.2">
      <c r="B43" s="2"/>
      <c r="D43" s="2"/>
      <c r="E43" s="2"/>
      <c r="F43" s="2"/>
      <c r="G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5" customHeight="1" x14ac:dyDescent="0.2">
      <c r="B44" s="2"/>
      <c r="C44" s="2"/>
      <c r="D44" s="2"/>
      <c r="E44" s="2"/>
      <c r="F44" s="2"/>
      <c r="G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5" customHeight="1" x14ac:dyDescent="0.2">
      <c r="B45" s="2"/>
      <c r="C45" s="2"/>
      <c r="D45" s="2"/>
      <c r="E45" s="2"/>
      <c r="F45" s="2"/>
      <c r="G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5" customHeight="1" x14ac:dyDescent="0.2">
      <c r="B46" s="2"/>
      <c r="C46" s="2"/>
      <c r="D46" s="2"/>
      <c r="E46" s="2"/>
      <c r="F46" s="2"/>
      <c r="G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5" customHeight="1" x14ac:dyDescent="0.2">
      <c r="B47" s="2"/>
      <c r="C47" s="2"/>
      <c r="D47" s="2"/>
      <c r="E47" s="2"/>
      <c r="F47" s="2"/>
      <c r="G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5" customHeight="1" x14ac:dyDescent="0.2">
      <c r="B48" s="2"/>
      <c r="C48" s="2"/>
      <c r="D48" s="2"/>
      <c r="E48" s="2"/>
      <c r="F48" s="2"/>
      <c r="G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5" customHeight="1" x14ac:dyDescent="0.2">
      <c r="B49" s="2"/>
      <c r="C49" s="2"/>
      <c r="D49" s="2"/>
      <c r="E49" s="2"/>
      <c r="F49" s="2"/>
      <c r="G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5" customHeight="1" x14ac:dyDescent="0.2">
      <c r="B50" s="2"/>
      <c r="C50" s="2"/>
      <c r="D50" s="2"/>
      <c r="E50" s="2"/>
      <c r="F50" s="2"/>
      <c r="G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5" customHeight="1" x14ac:dyDescent="0.2">
      <c r="B51" s="2"/>
      <c r="C51" s="2"/>
      <c r="D51" s="2"/>
      <c r="E51" s="2"/>
      <c r="F51" s="2"/>
      <c r="G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5" customHeight="1" x14ac:dyDescent="0.2">
      <c r="B52" s="2"/>
      <c r="C52" s="2"/>
      <c r="D52" s="2"/>
      <c r="E52" s="2"/>
      <c r="F52" s="2"/>
      <c r="G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5" customHeight="1" x14ac:dyDescent="0.2">
      <c r="B53" s="2"/>
      <c r="C53" s="2"/>
      <c r="D53" s="2"/>
      <c r="E53" s="2"/>
      <c r="F53" s="2"/>
      <c r="G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5" customHeight="1" x14ac:dyDescent="0.2">
      <c r="B54" s="2"/>
      <c r="C54" s="2"/>
      <c r="D54" s="2"/>
      <c r="E54" s="2"/>
      <c r="F54" s="2"/>
      <c r="G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5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5" customHeight="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5" customHeight="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5" customHeight="1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5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5" customHeight="1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5" customHeight="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5" customHeight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5" customHeight="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5" customHeight="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5" customHeight="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5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5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5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5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5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5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5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5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5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5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5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5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5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5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5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5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5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5" customHeight="1" x14ac:dyDescent="0.2">
      <c r="C83" s="2"/>
      <c r="D83" s="2"/>
    </row>
  </sheetData>
  <mergeCells count="8">
    <mergeCell ref="B24:B26"/>
    <mergeCell ref="B27:B32"/>
    <mergeCell ref="A1:C1"/>
    <mergeCell ref="B4:B6"/>
    <mergeCell ref="B17:B20"/>
    <mergeCell ref="B13:B16"/>
    <mergeCell ref="B8:B12"/>
    <mergeCell ref="B21:B23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6600"/>
  </sheetPr>
  <dimension ref="A1:AP71"/>
  <sheetViews>
    <sheetView topLeftCell="D1" zoomScaleNormal="100" workbookViewId="0">
      <selection activeCell="U8" sqref="U8:AC8"/>
    </sheetView>
  </sheetViews>
  <sheetFormatPr baseColWidth="10" defaultRowHeight="12.75" x14ac:dyDescent="0.2"/>
  <cols>
    <col min="1" max="1" width="5.7109375" style="53" customWidth="1"/>
    <col min="2" max="2" width="7.42578125" style="54" customWidth="1"/>
    <col min="3" max="3" width="54.42578125" customWidth="1"/>
    <col min="4" max="10" width="5.7109375" customWidth="1"/>
    <col min="11" max="12" width="5.7109375" style="26" customWidth="1"/>
    <col min="13" max="20" width="5.7109375" customWidth="1"/>
    <col min="21" max="21" width="6" customWidth="1"/>
    <col min="22" max="33" width="5.7109375" customWidth="1"/>
    <col min="34" max="42" width="5.28515625" bestFit="1" customWidth="1"/>
  </cols>
  <sheetData>
    <row r="1" spans="1:42" s="95" customFormat="1" ht="41.25" customHeight="1" thickBot="1" x14ac:dyDescent="0.25">
      <c r="A1" s="491" t="s">
        <v>122</v>
      </c>
      <c r="B1" s="491"/>
      <c r="C1" s="491"/>
      <c r="D1" s="491"/>
      <c r="E1" s="491"/>
      <c r="F1" s="491"/>
      <c r="G1" s="491"/>
      <c r="H1" s="491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42" ht="13.5" thickTop="1" x14ac:dyDescent="0.2"/>
    <row r="5" spans="1:42" s="57" customFormat="1" ht="18.75" customHeight="1" x14ac:dyDescent="0.2">
      <c r="A5" s="58"/>
      <c r="B5" s="59"/>
      <c r="D5" s="495" t="s">
        <v>110</v>
      </c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75"/>
      <c r="AD5" s="490" t="s">
        <v>110</v>
      </c>
      <c r="AE5" s="490"/>
      <c r="AF5" s="490"/>
      <c r="AG5" s="490"/>
      <c r="AH5" s="490"/>
      <c r="AI5" s="490"/>
      <c r="AJ5" s="490"/>
      <c r="AK5" s="490"/>
      <c r="AL5" s="490"/>
      <c r="AM5" s="490"/>
      <c r="AN5" s="490"/>
      <c r="AO5" s="490"/>
      <c r="AP5" s="490"/>
    </row>
    <row r="6" spans="1:42" s="57" customFormat="1" ht="14.25" customHeight="1" x14ac:dyDescent="0.2">
      <c r="A6" s="58"/>
      <c r="B6" s="59"/>
      <c r="D6" s="61" t="s">
        <v>108</v>
      </c>
      <c r="E6" s="61" t="s">
        <v>174</v>
      </c>
      <c r="F6" s="61" t="s">
        <v>175</v>
      </c>
      <c r="G6" s="61" t="s">
        <v>210</v>
      </c>
      <c r="H6" s="62" t="s">
        <v>49</v>
      </c>
      <c r="I6" s="62" t="s">
        <v>176</v>
      </c>
      <c r="J6" s="62" t="s">
        <v>177</v>
      </c>
      <c r="K6" s="62" t="s">
        <v>160</v>
      </c>
      <c r="L6" s="63" t="s">
        <v>38</v>
      </c>
      <c r="M6" s="63" t="s">
        <v>37</v>
      </c>
      <c r="N6" s="63" t="s">
        <v>148</v>
      </c>
      <c r="O6" s="63" t="s">
        <v>151</v>
      </c>
      <c r="P6" s="63" t="s">
        <v>518</v>
      </c>
      <c r="R6" s="60"/>
      <c r="AD6" s="61" t="s">
        <v>108</v>
      </c>
      <c r="AE6" s="61" t="s">
        <v>174</v>
      </c>
      <c r="AF6" s="61" t="s">
        <v>175</v>
      </c>
      <c r="AG6" s="61" t="s">
        <v>210</v>
      </c>
      <c r="AH6" s="62" t="s">
        <v>49</v>
      </c>
      <c r="AI6" s="62" t="s">
        <v>176</v>
      </c>
      <c r="AJ6" s="62" t="s">
        <v>177</v>
      </c>
      <c r="AK6" s="62" t="s">
        <v>160</v>
      </c>
      <c r="AL6" s="63" t="s">
        <v>38</v>
      </c>
      <c r="AM6" s="63" t="s">
        <v>37</v>
      </c>
      <c r="AN6" s="63" t="s">
        <v>148</v>
      </c>
      <c r="AO6" s="63" t="s">
        <v>151</v>
      </c>
      <c r="AP6" s="63" t="s">
        <v>518</v>
      </c>
    </row>
    <row r="7" spans="1:42" ht="14.25" customHeight="1" x14ac:dyDescent="0.2">
      <c r="A7" s="492" t="s">
        <v>116</v>
      </c>
      <c r="B7" s="78" t="s">
        <v>35</v>
      </c>
      <c r="C7" s="6" t="s">
        <v>504</v>
      </c>
      <c r="D7" s="69" t="s">
        <v>337</v>
      </c>
      <c r="E7" s="69"/>
      <c r="F7" s="69"/>
      <c r="G7" s="69" t="s">
        <v>337</v>
      </c>
      <c r="H7" s="69" t="s">
        <v>337</v>
      </c>
      <c r="I7" s="69" t="s">
        <v>337</v>
      </c>
      <c r="J7" s="69"/>
      <c r="K7" s="69" t="s">
        <v>337</v>
      </c>
      <c r="L7" s="69"/>
      <c r="M7" s="69"/>
      <c r="N7" s="69"/>
      <c r="O7" s="69"/>
      <c r="P7" s="69"/>
      <c r="R7" s="9"/>
      <c r="S7" s="494" t="s">
        <v>111</v>
      </c>
      <c r="T7" s="79" t="s">
        <v>63</v>
      </c>
      <c r="U7" s="493" t="s">
        <v>506</v>
      </c>
      <c r="V7" s="493"/>
      <c r="W7" s="493"/>
      <c r="X7" s="493"/>
      <c r="Y7" s="493"/>
      <c r="Z7" s="493"/>
      <c r="AA7" s="493"/>
      <c r="AB7" s="493"/>
      <c r="AC7" s="493"/>
      <c r="AD7" s="69" t="s">
        <v>337</v>
      </c>
      <c r="AE7" s="69"/>
      <c r="AF7" s="69"/>
      <c r="AG7" s="69" t="s">
        <v>337</v>
      </c>
      <c r="AH7" s="69" t="s">
        <v>337</v>
      </c>
      <c r="AI7" s="69" t="s">
        <v>337</v>
      </c>
      <c r="AJ7" s="69"/>
      <c r="AK7" s="69" t="s">
        <v>337</v>
      </c>
      <c r="AL7" s="69"/>
      <c r="AM7" s="69"/>
      <c r="AN7" s="69"/>
      <c r="AO7" s="69"/>
      <c r="AP7" s="69"/>
    </row>
    <row r="8" spans="1:42" ht="14.25" customHeight="1" x14ac:dyDescent="0.2">
      <c r="A8" s="492"/>
      <c r="B8" s="78" t="s">
        <v>29</v>
      </c>
      <c r="C8" s="6" t="s">
        <v>505</v>
      </c>
      <c r="D8" s="69"/>
      <c r="E8" s="69" t="s">
        <v>337</v>
      </c>
      <c r="F8" s="69" t="s">
        <v>337</v>
      </c>
      <c r="G8" s="69"/>
      <c r="H8" s="69"/>
      <c r="I8" s="69"/>
      <c r="J8" s="69"/>
      <c r="K8" s="69" t="s">
        <v>337</v>
      </c>
      <c r="L8" s="69"/>
      <c r="M8" s="69"/>
      <c r="N8" s="69"/>
      <c r="O8" s="69"/>
      <c r="P8" s="69" t="s">
        <v>337</v>
      </c>
      <c r="R8" s="9"/>
      <c r="S8" s="494"/>
      <c r="T8" s="79" t="s">
        <v>64</v>
      </c>
      <c r="U8" s="493" t="s">
        <v>507</v>
      </c>
      <c r="V8" s="493"/>
      <c r="W8" s="493"/>
      <c r="X8" s="493"/>
      <c r="Y8" s="493"/>
      <c r="Z8" s="493"/>
      <c r="AA8" s="493"/>
      <c r="AB8" s="493"/>
      <c r="AC8" s="493"/>
      <c r="AD8" s="69"/>
      <c r="AE8" s="69" t="s">
        <v>337</v>
      </c>
      <c r="AF8" s="69" t="s">
        <v>337</v>
      </c>
      <c r="AG8" s="69"/>
      <c r="AH8" s="69"/>
      <c r="AI8" s="69"/>
      <c r="AJ8" s="69"/>
      <c r="AK8" s="69" t="s">
        <v>337</v>
      </c>
      <c r="AL8" s="69"/>
      <c r="AM8" s="69"/>
      <c r="AN8" s="69"/>
      <c r="AO8" s="69"/>
      <c r="AP8" s="69" t="s">
        <v>337</v>
      </c>
    </row>
    <row r="9" spans="1:42" ht="14.25" customHeight="1" x14ac:dyDescent="0.2">
      <c r="A9" s="492"/>
      <c r="B9" s="78" t="s">
        <v>28</v>
      </c>
      <c r="C9" s="6" t="s">
        <v>485</v>
      </c>
      <c r="D9" s="69"/>
      <c r="E9" s="69"/>
      <c r="F9" s="69"/>
      <c r="G9" s="69"/>
      <c r="H9" s="69"/>
      <c r="I9" s="69"/>
      <c r="J9" s="69" t="s">
        <v>337</v>
      </c>
      <c r="K9" s="69"/>
      <c r="L9" s="69"/>
      <c r="M9" s="69"/>
      <c r="N9" s="69"/>
      <c r="O9" s="69"/>
      <c r="P9" s="69"/>
      <c r="R9" s="9"/>
      <c r="S9" s="494"/>
      <c r="T9" s="79" t="s">
        <v>65</v>
      </c>
      <c r="U9" s="493" t="s">
        <v>508</v>
      </c>
      <c r="V9" s="493"/>
      <c r="W9" s="493"/>
      <c r="X9" s="493"/>
      <c r="Y9" s="493"/>
      <c r="Z9" s="493"/>
      <c r="AA9" s="493"/>
      <c r="AB9" s="493"/>
      <c r="AC9" s="493"/>
      <c r="AD9" s="69"/>
      <c r="AE9" s="69"/>
      <c r="AF9" s="69"/>
      <c r="AG9" s="69"/>
      <c r="AH9" s="69"/>
      <c r="AI9" s="69"/>
      <c r="AJ9" s="69" t="s">
        <v>337</v>
      </c>
      <c r="AK9" s="69"/>
      <c r="AL9" s="69"/>
      <c r="AM9" s="69"/>
      <c r="AN9" s="69"/>
      <c r="AO9" s="69"/>
      <c r="AP9" s="69"/>
    </row>
    <row r="10" spans="1:42" ht="14.25" customHeight="1" x14ac:dyDescent="0.2">
      <c r="A10" s="492"/>
      <c r="B10" s="78" t="s">
        <v>27</v>
      </c>
      <c r="C10" s="6" t="s">
        <v>167</v>
      </c>
      <c r="D10" s="69"/>
      <c r="E10" s="69"/>
      <c r="F10" s="69"/>
      <c r="G10" s="69"/>
      <c r="H10" s="69"/>
      <c r="I10" s="69"/>
      <c r="J10" s="69"/>
      <c r="K10" s="69"/>
      <c r="L10" s="69"/>
      <c r="M10" s="69" t="s">
        <v>337</v>
      </c>
      <c r="N10" s="69"/>
      <c r="O10" s="69"/>
      <c r="P10" s="69"/>
      <c r="R10" s="9"/>
      <c r="S10" s="494"/>
      <c r="T10" s="79" t="s">
        <v>66</v>
      </c>
      <c r="U10" s="493" t="s">
        <v>510</v>
      </c>
      <c r="V10" s="493"/>
      <c r="W10" s="493"/>
      <c r="X10" s="493"/>
      <c r="Y10" s="493"/>
      <c r="Z10" s="493"/>
      <c r="AA10" s="493"/>
      <c r="AB10" s="493"/>
      <c r="AC10" s="493"/>
      <c r="AD10" s="69"/>
      <c r="AE10" s="69"/>
      <c r="AF10" s="69"/>
      <c r="AG10" s="69"/>
      <c r="AH10" s="69"/>
      <c r="AI10" s="69"/>
      <c r="AJ10" s="69"/>
      <c r="AK10" s="69"/>
      <c r="AL10" s="69"/>
      <c r="AM10" s="69" t="s">
        <v>337</v>
      </c>
      <c r="AN10" s="69"/>
      <c r="AO10" s="69"/>
      <c r="AP10" s="69"/>
    </row>
    <row r="11" spans="1:42" ht="14.25" customHeight="1" x14ac:dyDescent="0.2">
      <c r="A11" s="492"/>
      <c r="B11" s="78" t="s">
        <v>26</v>
      </c>
      <c r="C11" s="6" t="s">
        <v>169</v>
      </c>
      <c r="D11" s="69"/>
      <c r="E11" s="69"/>
      <c r="F11" s="69"/>
      <c r="G11" s="69"/>
      <c r="H11" s="69"/>
      <c r="I11" s="69"/>
      <c r="J11" s="69"/>
      <c r="K11" s="69"/>
      <c r="L11" s="69"/>
      <c r="M11" s="69" t="s">
        <v>337</v>
      </c>
      <c r="N11" s="69" t="s">
        <v>337</v>
      </c>
      <c r="O11" s="69" t="s">
        <v>337</v>
      </c>
      <c r="P11" s="69"/>
      <c r="R11" s="9"/>
      <c r="S11" s="494"/>
      <c r="T11" s="79" t="s">
        <v>67</v>
      </c>
      <c r="U11" s="493" t="s">
        <v>509</v>
      </c>
      <c r="V11" s="493"/>
      <c r="W11" s="493"/>
      <c r="X11" s="493"/>
      <c r="Y11" s="493"/>
      <c r="Z11" s="493"/>
      <c r="AA11" s="493"/>
      <c r="AB11" s="493"/>
      <c r="AC11" s="493"/>
      <c r="AD11" s="69"/>
      <c r="AE11" s="69"/>
      <c r="AF11" s="69"/>
      <c r="AG11" s="69"/>
      <c r="AH11" s="69"/>
      <c r="AI11" s="69"/>
      <c r="AJ11" s="69"/>
      <c r="AK11" s="69"/>
      <c r="AL11" s="69"/>
      <c r="AM11" s="69" t="s">
        <v>337</v>
      </c>
      <c r="AN11" s="69" t="s">
        <v>337</v>
      </c>
      <c r="AO11" s="69" t="s">
        <v>337</v>
      </c>
      <c r="AP11" s="69"/>
    </row>
    <row r="12" spans="1:42" ht="14.25" customHeight="1" x14ac:dyDescent="0.2">
      <c r="A12" s="492"/>
      <c r="B12" s="78" t="s">
        <v>25</v>
      </c>
      <c r="C12" s="6" t="s">
        <v>170</v>
      </c>
      <c r="D12" s="69" t="s">
        <v>337</v>
      </c>
      <c r="E12" s="69" t="s">
        <v>337</v>
      </c>
      <c r="F12" s="69" t="s">
        <v>337</v>
      </c>
      <c r="G12" s="69" t="s">
        <v>337</v>
      </c>
      <c r="H12" s="69" t="s">
        <v>337</v>
      </c>
      <c r="I12" s="69" t="s">
        <v>337</v>
      </c>
      <c r="J12" s="69"/>
      <c r="K12" s="69"/>
      <c r="L12" s="69" t="s">
        <v>337</v>
      </c>
      <c r="M12" s="69"/>
      <c r="N12" s="69"/>
      <c r="O12" s="69"/>
      <c r="P12" s="69"/>
      <c r="R12" s="9"/>
      <c r="S12" s="494"/>
      <c r="T12" s="79" t="s">
        <v>68</v>
      </c>
      <c r="U12" s="493" t="s">
        <v>509</v>
      </c>
      <c r="V12" s="493"/>
      <c r="W12" s="493"/>
      <c r="X12" s="493"/>
      <c r="Y12" s="493"/>
      <c r="Z12" s="493"/>
      <c r="AA12" s="493"/>
      <c r="AB12" s="493"/>
      <c r="AC12" s="493"/>
      <c r="AD12" s="69" t="s">
        <v>337</v>
      </c>
      <c r="AE12" s="69" t="s">
        <v>337</v>
      </c>
      <c r="AF12" s="69" t="s">
        <v>337</v>
      </c>
      <c r="AG12" s="69" t="s">
        <v>337</v>
      </c>
      <c r="AH12" s="69" t="s">
        <v>337</v>
      </c>
      <c r="AI12" s="69" t="s">
        <v>337</v>
      </c>
      <c r="AJ12" s="69"/>
      <c r="AK12" s="69"/>
      <c r="AL12" s="69" t="s">
        <v>337</v>
      </c>
      <c r="AM12" s="69"/>
      <c r="AN12" s="69"/>
      <c r="AO12" s="69"/>
      <c r="AP12" s="69"/>
    </row>
    <row r="13" spans="1:42" ht="14.25" customHeight="1" x14ac:dyDescent="0.2">
      <c r="A13" s="492"/>
      <c r="B13" s="78" t="s">
        <v>24</v>
      </c>
      <c r="C13" s="6" t="s">
        <v>171</v>
      </c>
      <c r="D13" s="69"/>
      <c r="E13" s="69"/>
      <c r="F13" s="69"/>
      <c r="G13" s="69"/>
      <c r="H13" s="69"/>
      <c r="I13" s="69"/>
      <c r="J13" s="69"/>
      <c r="K13" s="69"/>
      <c r="L13" s="69"/>
      <c r="M13" s="69" t="s">
        <v>337</v>
      </c>
      <c r="N13" s="69"/>
      <c r="O13" s="69"/>
      <c r="P13" s="69"/>
      <c r="R13" s="9"/>
      <c r="S13" s="494"/>
      <c r="T13" s="79" t="s">
        <v>70</v>
      </c>
      <c r="U13" s="493" t="s">
        <v>509</v>
      </c>
      <c r="V13" s="493"/>
      <c r="W13" s="493"/>
      <c r="X13" s="493"/>
      <c r="Y13" s="493"/>
      <c r="Z13" s="493"/>
      <c r="AA13" s="493"/>
      <c r="AB13" s="493"/>
      <c r="AC13" s="493"/>
      <c r="AD13" s="69"/>
      <c r="AE13" s="69"/>
      <c r="AF13" s="69"/>
      <c r="AG13" s="69"/>
      <c r="AH13" s="69"/>
      <c r="AI13" s="69"/>
      <c r="AJ13" s="69"/>
      <c r="AK13" s="69"/>
      <c r="AL13" s="69"/>
      <c r="AM13" s="69" t="s">
        <v>337</v>
      </c>
      <c r="AN13" s="69"/>
      <c r="AO13" s="69"/>
      <c r="AP13" s="69"/>
    </row>
    <row r="14" spans="1:42" ht="14.25" customHeight="1" x14ac:dyDescent="0.2">
      <c r="A14" s="492"/>
      <c r="B14" s="78" t="s">
        <v>23</v>
      </c>
      <c r="C14" s="6" t="s">
        <v>172</v>
      </c>
      <c r="D14" s="69"/>
      <c r="E14" s="69"/>
      <c r="F14" s="69"/>
      <c r="G14" s="69"/>
      <c r="H14" s="69"/>
      <c r="I14" s="69"/>
      <c r="J14" s="69"/>
      <c r="K14" s="69"/>
      <c r="L14" s="69"/>
      <c r="M14" s="69" t="s">
        <v>337</v>
      </c>
      <c r="N14" s="69"/>
      <c r="O14" s="69" t="s">
        <v>337</v>
      </c>
      <c r="P14" s="69"/>
      <c r="R14" s="9"/>
      <c r="S14" s="494"/>
      <c r="T14" s="79" t="s">
        <v>69</v>
      </c>
      <c r="U14" s="493" t="s">
        <v>509</v>
      </c>
      <c r="V14" s="493"/>
      <c r="W14" s="493"/>
      <c r="X14" s="493"/>
      <c r="Y14" s="493"/>
      <c r="Z14" s="493"/>
      <c r="AA14" s="493"/>
      <c r="AB14" s="493"/>
      <c r="AC14" s="493"/>
      <c r="AD14" s="69"/>
      <c r="AE14" s="69"/>
      <c r="AF14" s="69"/>
      <c r="AG14" s="69"/>
      <c r="AH14" s="69"/>
      <c r="AI14" s="69"/>
      <c r="AJ14" s="69"/>
      <c r="AK14" s="69"/>
      <c r="AL14" s="69"/>
      <c r="AM14" s="69" t="s">
        <v>337</v>
      </c>
      <c r="AN14" s="69"/>
      <c r="AO14" s="69" t="s">
        <v>337</v>
      </c>
      <c r="AP14" s="69"/>
    </row>
    <row r="15" spans="1:42" ht="14.25" customHeight="1" x14ac:dyDescent="0.2">
      <c r="A15" s="492"/>
      <c r="B15" s="78" t="s">
        <v>22</v>
      </c>
      <c r="C15" s="6" t="s">
        <v>487</v>
      </c>
      <c r="D15" s="69"/>
      <c r="E15" s="69"/>
      <c r="F15" s="69"/>
      <c r="G15" s="69"/>
      <c r="H15" s="69"/>
      <c r="I15" s="69"/>
      <c r="J15" s="69"/>
      <c r="K15" s="69"/>
      <c r="L15" s="69"/>
      <c r="M15" s="69" t="s">
        <v>337</v>
      </c>
      <c r="N15" s="69"/>
      <c r="O15" s="69"/>
      <c r="P15" s="69"/>
      <c r="R15" s="9"/>
      <c r="S15" s="494"/>
      <c r="T15" s="79" t="s">
        <v>71</v>
      </c>
      <c r="U15" s="493" t="s">
        <v>510</v>
      </c>
      <c r="V15" s="493"/>
      <c r="W15" s="493"/>
      <c r="X15" s="493"/>
      <c r="Y15" s="493"/>
      <c r="Z15" s="493"/>
      <c r="AA15" s="493"/>
      <c r="AB15" s="493"/>
      <c r="AC15" s="493"/>
      <c r="AD15" s="69"/>
      <c r="AE15" s="69"/>
      <c r="AF15" s="69"/>
      <c r="AG15" s="69"/>
      <c r="AH15" s="69"/>
      <c r="AI15" s="69"/>
      <c r="AJ15" s="69"/>
      <c r="AK15" s="69"/>
      <c r="AL15" s="69"/>
      <c r="AM15" s="69" t="s">
        <v>337</v>
      </c>
      <c r="AN15" s="69"/>
      <c r="AO15" s="69"/>
      <c r="AP15" s="69"/>
    </row>
    <row r="16" spans="1:42" ht="14.25" customHeight="1" x14ac:dyDescent="0.2">
      <c r="A16" s="492"/>
      <c r="B16" s="78" t="s">
        <v>32</v>
      </c>
      <c r="C16" s="6" t="s">
        <v>104</v>
      </c>
      <c r="D16" s="69" t="s">
        <v>337</v>
      </c>
      <c r="E16" s="69" t="s">
        <v>337</v>
      </c>
      <c r="F16" s="69" t="s">
        <v>337</v>
      </c>
      <c r="G16" s="69" t="s">
        <v>337</v>
      </c>
      <c r="H16" s="69" t="s">
        <v>337</v>
      </c>
      <c r="I16" s="69" t="s">
        <v>337</v>
      </c>
      <c r="J16" s="69" t="s">
        <v>337</v>
      </c>
      <c r="K16" s="69" t="s">
        <v>337</v>
      </c>
      <c r="L16" s="69" t="s">
        <v>337</v>
      </c>
      <c r="M16" s="69" t="s">
        <v>337</v>
      </c>
      <c r="N16" s="69" t="s">
        <v>337</v>
      </c>
      <c r="O16" s="69" t="s">
        <v>337</v>
      </c>
      <c r="P16" s="69" t="s">
        <v>337</v>
      </c>
      <c r="Q16" s="72"/>
      <c r="R16" s="9"/>
      <c r="S16" s="494"/>
      <c r="T16" s="79" t="s">
        <v>57</v>
      </c>
      <c r="U16" s="493" t="s">
        <v>514</v>
      </c>
      <c r="V16" s="493"/>
      <c r="W16" s="493"/>
      <c r="X16" s="493"/>
      <c r="Y16" s="493"/>
      <c r="Z16" s="493"/>
      <c r="AA16" s="493"/>
      <c r="AB16" s="493"/>
      <c r="AC16" s="493"/>
      <c r="AD16" s="69" t="s">
        <v>337</v>
      </c>
      <c r="AE16" s="69" t="s">
        <v>337</v>
      </c>
      <c r="AF16" s="69" t="s">
        <v>337</v>
      </c>
      <c r="AG16" s="69" t="s">
        <v>337</v>
      </c>
      <c r="AH16" s="69" t="s">
        <v>337</v>
      </c>
      <c r="AI16" s="69" t="s">
        <v>337</v>
      </c>
      <c r="AJ16" s="69" t="s">
        <v>337</v>
      </c>
      <c r="AK16" s="69" t="s">
        <v>337</v>
      </c>
      <c r="AL16" s="69" t="s">
        <v>337</v>
      </c>
      <c r="AM16" s="69" t="s">
        <v>337</v>
      </c>
      <c r="AN16" s="69" t="s">
        <v>337</v>
      </c>
      <c r="AO16" s="69" t="s">
        <v>337</v>
      </c>
      <c r="AP16" s="69" t="s">
        <v>337</v>
      </c>
    </row>
    <row r="17" spans="1:42" ht="14.25" customHeight="1" x14ac:dyDescent="0.2">
      <c r="A17" s="492"/>
      <c r="B17" s="78" t="s">
        <v>30</v>
      </c>
      <c r="C17" s="6" t="s">
        <v>53</v>
      </c>
      <c r="D17" s="69" t="s">
        <v>337</v>
      </c>
      <c r="E17" s="69" t="s">
        <v>337</v>
      </c>
      <c r="F17" s="69" t="s">
        <v>337</v>
      </c>
      <c r="G17" s="69" t="s">
        <v>337</v>
      </c>
      <c r="H17" s="69" t="s">
        <v>337</v>
      </c>
      <c r="I17" s="69" t="s">
        <v>337</v>
      </c>
      <c r="J17" s="69" t="s">
        <v>337</v>
      </c>
      <c r="K17" s="69" t="s">
        <v>337</v>
      </c>
      <c r="L17" s="69" t="s">
        <v>337</v>
      </c>
      <c r="M17" s="69" t="s">
        <v>337</v>
      </c>
      <c r="N17" s="69" t="s">
        <v>337</v>
      </c>
      <c r="O17" s="69" t="s">
        <v>337</v>
      </c>
      <c r="P17" s="69" t="s">
        <v>337</v>
      </c>
      <c r="R17" s="9"/>
      <c r="S17" s="494"/>
      <c r="T17" s="79" t="s">
        <v>58</v>
      </c>
      <c r="U17" s="493" t="s">
        <v>511</v>
      </c>
      <c r="V17" s="493"/>
      <c r="W17" s="493"/>
      <c r="X17" s="493"/>
      <c r="Y17" s="493"/>
      <c r="Z17" s="493"/>
      <c r="AA17" s="493"/>
      <c r="AB17" s="493"/>
      <c r="AC17" s="493"/>
      <c r="AD17" s="69" t="s">
        <v>337</v>
      </c>
      <c r="AE17" s="69" t="s">
        <v>337</v>
      </c>
      <c r="AF17" s="69" t="s">
        <v>337</v>
      </c>
      <c r="AG17" s="69" t="s">
        <v>337</v>
      </c>
      <c r="AH17" s="69" t="s">
        <v>337</v>
      </c>
      <c r="AI17" s="69" t="s">
        <v>337</v>
      </c>
      <c r="AJ17" s="69" t="s">
        <v>337</v>
      </c>
      <c r="AK17" s="69" t="s">
        <v>337</v>
      </c>
      <c r="AL17" s="69" t="s">
        <v>337</v>
      </c>
      <c r="AM17" s="69" t="s">
        <v>337</v>
      </c>
      <c r="AN17" s="69" t="s">
        <v>337</v>
      </c>
      <c r="AO17" s="69" t="s">
        <v>337</v>
      </c>
      <c r="AP17" s="69" t="s">
        <v>337</v>
      </c>
    </row>
    <row r="18" spans="1:42" ht="14.25" customHeight="1" x14ac:dyDescent="0.2">
      <c r="A18" s="492"/>
      <c r="B18" s="78" t="s">
        <v>31</v>
      </c>
      <c r="C18" s="6" t="s">
        <v>105</v>
      </c>
      <c r="D18" s="69" t="s">
        <v>337</v>
      </c>
      <c r="E18" s="69" t="s">
        <v>337</v>
      </c>
      <c r="F18" s="69" t="s">
        <v>337</v>
      </c>
      <c r="G18" s="69" t="s">
        <v>337</v>
      </c>
      <c r="H18" s="69"/>
      <c r="I18" s="69"/>
      <c r="J18" s="69"/>
      <c r="K18" s="69" t="s">
        <v>337</v>
      </c>
      <c r="L18" s="69"/>
      <c r="M18" s="69"/>
      <c r="N18" s="69"/>
      <c r="O18" s="69"/>
      <c r="P18" s="69" t="s">
        <v>337</v>
      </c>
      <c r="R18" s="9"/>
      <c r="S18" s="494"/>
      <c r="T18" s="79" t="s">
        <v>56</v>
      </c>
      <c r="U18" s="493" t="s">
        <v>511</v>
      </c>
      <c r="V18" s="493"/>
      <c r="W18" s="493"/>
      <c r="X18" s="493"/>
      <c r="Y18" s="493"/>
      <c r="Z18" s="493"/>
      <c r="AA18" s="493"/>
      <c r="AB18" s="493"/>
      <c r="AC18" s="493"/>
      <c r="AD18" s="69" t="s">
        <v>337</v>
      </c>
      <c r="AE18" s="69" t="s">
        <v>337</v>
      </c>
      <c r="AF18" s="69" t="s">
        <v>337</v>
      </c>
      <c r="AG18" s="69" t="s">
        <v>337</v>
      </c>
      <c r="AH18" s="69"/>
      <c r="AI18" s="69"/>
      <c r="AJ18" s="69"/>
      <c r="AK18" s="69" t="s">
        <v>337</v>
      </c>
      <c r="AL18" s="69"/>
      <c r="AM18" s="69"/>
      <c r="AN18" s="69"/>
      <c r="AO18" s="69"/>
      <c r="AP18" s="69" t="s">
        <v>337</v>
      </c>
    </row>
    <row r="19" spans="1:42" ht="14.25" customHeight="1" x14ac:dyDescent="0.2">
      <c r="A19" s="492"/>
      <c r="B19" s="78" t="s">
        <v>11</v>
      </c>
      <c r="C19" s="6" t="s">
        <v>89</v>
      </c>
      <c r="D19" s="69" t="s">
        <v>337</v>
      </c>
      <c r="E19" s="69" t="s">
        <v>337</v>
      </c>
      <c r="F19" s="69" t="s">
        <v>337</v>
      </c>
      <c r="G19" s="69" t="s">
        <v>337</v>
      </c>
      <c r="H19" s="69" t="s">
        <v>337</v>
      </c>
      <c r="I19" s="69" t="s">
        <v>337</v>
      </c>
      <c r="J19" s="69"/>
      <c r="K19" s="69"/>
      <c r="L19" s="69" t="s">
        <v>337</v>
      </c>
      <c r="M19" s="69"/>
      <c r="N19" s="69"/>
      <c r="O19" s="69"/>
      <c r="P19" s="69"/>
      <c r="R19" s="9"/>
      <c r="S19" s="494"/>
      <c r="T19" s="79" t="s">
        <v>99</v>
      </c>
      <c r="U19" s="493" t="s">
        <v>512</v>
      </c>
      <c r="V19" s="493"/>
      <c r="W19" s="493"/>
      <c r="X19" s="493"/>
      <c r="Y19" s="493"/>
      <c r="Z19" s="493"/>
      <c r="AA19" s="493"/>
      <c r="AB19" s="493"/>
      <c r="AC19" s="493"/>
      <c r="AD19" s="69" t="s">
        <v>337</v>
      </c>
      <c r="AE19" s="69" t="s">
        <v>337</v>
      </c>
      <c r="AF19" s="69" t="s">
        <v>337</v>
      </c>
      <c r="AG19" s="69" t="s">
        <v>337</v>
      </c>
      <c r="AH19" s="69" t="s">
        <v>337</v>
      </c>
      <c r="AI19" s="69" t="s">
        <v>337</v>
      </c>
      <c r="AJ19" s="69"/>
      <c r="AK19" s="69"/>
      <c r="AL19" s="69" t="s">
        <v>337</v>
      </c>
      <c r="AM19" s="69"/>
      <c r="AN19" s="69"/>
      <c r="AO19" s="69"/>
      <c r="AP19" s="69"/>
    </row>
    <row r="20" spans="1:42" ht="14.25" customHeight="1" x14ac:dyDescent="0.2">
      <c r="A20" s="492"/>
      <c r="B20" s="78" t="s">
        <v>10</v>
      </c>
      <c r="C20" s="6" t="s">
        <v>488</v>
      </c>
      <c r="D20" s="69"/>
      <c r="E20" s="69"/>
      <c r="F20" s="69"/>
      <c r="G20" s="69"/>
      <c r="H20" s="69"/>
      <c r="I20" s="69"/>
      <c r="J20" s="69"/>
      <c r="K20" s="69" t="s">
        <v>337</v>
      </c>
      <c r="L20" s="69"/>
      <c r="M20" s="69"/>
      <c r="N20" s="69"/>
      <c r="O20" s="69"/>
      <c r="P20" s="69"/>
      <c r="R20" s="9"/>
      <c r="S20" s="494"/>
      <c r="T20" s="79" t="s">
        <v>100</v>
      </c>
      <c r="U20" s="493" t="s">
        <v>510</v>
      </c>
      <c r="V20" s="493"/>
      <c r="W20" s="493"/>
      <c r="X20" s="493"/>
      <c r="Y20" s="493"/>
      <c r="Z20" s="493"/>
      <c r="AA20" s="493"/>
      <c r="AB20" s="493"/>
      <c r="AC20" s="493"/>
      <c r="AD20" s="69"/>
      <c r="AE20" s="69"/>
      <c r="AF20" s="69"/>
      <c r="AG20" s="69"/>
      <c r="AH20" s="69"/>
      <c r="AI20" s="69"/>
      <c r="AJ20" s="69"/>
      <c r="AK20" s="69" t="s">
        <v>337</v>
      </c>
      <c r="AL20" s="69"/>
      <c r="AM20" s="69"/>
      <c r="AN20" s="69"/>
      <c r="AO20" s="69"/>
      <c r="AP20" s="69"/>
    </row>
    <row r="21" spans="1:42" ht="14.25" customHeight="1" x14ac:dyDescent="0.2">
      <c r="A21" s="492"/>
      <c r="B21" s="78" t="s">
        <v>13</v>
      </c>
      <c r="C21" s="6" t="s">
        <v>489</v>
      </c>
      <c r="D21" s="69"/>
      <c r="E21" s="69"/>
      <c r="F21" s="69"/>
      <c r="G21" s="69"/>
      <c r="H21" s="69"/>
      <c r="I21" s="69"/>
      <c r="J21" s="69"/>
      <c r="K21" s="69" t="s">
        <v>337</v>
      </c>
      <c r="L21" s="69"/>
      <c r="M21" s="69"/>
      <c r="N21" s="69"/>
      <c r="O21" s="69"/>
      <c r="P21" s="69"/>
      <c r="R21" s="9"/>
      <c r="S21" s="494"/>
      <c r="T21" s="79" t="s">
        <v>101</v>
      </c>
      <c r="U21" s="493" t="s">
        <v>510</v>
      </c>
      <c r="V21" s="493"/>
      <c r="W21" s="493"/>
      <c r="X21" s="493"/>
      <c r="Y21" s="493"/>
      <c r="Z21" s="493"/>
      <c r="AA21" s="493"/>
      <c r="AB21" s="493"/>
      <c r="AC21" s="493"/>
      <c r="AD21" s="69"/>
      <c r="AE21" s="69"/>
      <c r="AF21" s="69"/>
      <c r="AG21" s="69"/>
      <c r="AH21" s="69"/>
      <c r="AI21" s="69"/>
      <c r="AJ21" s="69"/>
      <c r="AK21" s="69" t="s">
        <v>337</v>
      </c>
      <c r="AL21" s="69"/>
      <c r="AM21" s="69"/>
      <c r="AN21" s="69"/>
      <c r="AO21" s="69"/>
      <c r="AP21" s="69"/>
    </row>
    <row r="22" spans="1:42" ht="14.25" customHeight="1" x14ac:dyDescent="0.2">
      <c r="A22" s="492"/>
      <c r="B22" s="78" t="s">
        <v>12</v>
      </c>
      <c r="C22" s="6" t="s">
        <v>490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 t="s">
        <v>337</v>
      </c>
      <c r="R22" s="9"/>
      <c r="S22" s="494"/>
      <c r="T22" s="79" t="s">
        <v>59</v>
      </c>
      <c r="U22" s="493" t="s">
        <v>510</v>
      </c>
      <c r="V22" s="493"/>
      <c r="W22" s="493"/>
      <c r="X22" s="493"/>
      <c r="Y22" s="493"/>
      <c r="Z22" s="493"/>
      <c r="AA22" s="493"/>
      <c r="AB22" s="493"/>
      <c r="AC22" s="493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 t="s">
        <v>337</v>
      </c>
    </row>
    <row r="23" spans="1:42" ht="14.25" customHeight="1" x14ac:dyDescent="0.2">
      <c r="A23" s="492"/>
      <c r="B23" s="78" t="s">
        <v>15</v>
      </c>
      <c r="C23" s="6" t="s">
        <v>491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 t="s">
        <v>337</v>
      </c>
      <c r="R23" s="9"/>
      <c r="S23" s="494"/>
      <c r="T23" s="79" t="s">
        <v>102</v>
      </c>
      <c r="U23" s="493" t="s">
        <v>510</v>
      </c>
      <c r="V23" s="493"/>
      <c r="W23" s="493"/>
      <c r="X23" s="493"/>
      <c r="Y23" s="493"/>
      <c r="Z23" s="493"/>
      <c r="AA23" s="493"/>
      <c r="AB23" s="493"/>
      <c r="AC23" s="493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 t="s">
        <v>337</v>
      </c>
    </row>
    <row r="24" spans="1:42" ht="14.25" customHeight="1" x14ac:dyDescent="0.2">
      <c r="A24" s="492"/>
      <c r="B24" s="78" t="s">
        <v>14</v>
      </c>
      <c r="C24" s="6" t="s">
        <v>493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 t="s">
        <v>337</v>
      </c>
      <c r="P24" s="69"/>
      <c r="R24" s="9"/>
      <c r="S24" s="494"/>
      <c r="T24" s="79" t="s">
        <v>62</v>
      </c>
      <c r="U24" s="493" t="s">
        <v>509</v>
      </c>
      <c r="V24" s="493"/>
      <c r="W24" s="493"/>
      <c r="X24" s="493"/>
      <c r="Y24" s="493"/>
      <c r="Z24" s="493"/>
      <c r="AA24" s="493"/>
      <c r="AB24" s="493"/>
      <c r="AC24" s="493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 t="s">
        <v>337</v>
      </c>
      <c r="AP24" s="69"/>
    </row>
    <row r="25" spans="1:42" ht="14.25" customHeight="1" x14ac:dyDescent="0.2">
      <c r="A25" s="492"/>
      <c r="B25" s="78" t="s">
        <v>17</v>
      </c>
      <c r="C25" s="6" t="s">
        <v>494</v>
      </c>
      <c r="D25" s="69"/>
      <c r="E25" s="69"/>
      <c r="F25" s="69"/>
      <c r="G25" s="69"/>
      <c r="H25" s="69"/>
      <c r="I25" s="69"/>
      <c r="J25" s="69"/>
      <c r="K25" s="69"/>
      <c r="L25" s="69"/>
      <c r="M25" s="69" t="s">
        <v>337</v>
      </c>
      <c r="N25" s="69"/>
      <c r="O25" s="69"/>
      <c r="P25" s="69"/>
      <c r="R25" s="9"/>
      <c r="S25" s="494"/>
      <c r="T25" s="79" t="s">
        <v>61</v>
      </c>
      <c r="U25" s="493" t="s">
        <v>509</v>
      </c>
      <c r="V25" s="493"/>
      <c r="W25" s="493"/>
      <c r="X25" s="493"/>
      <c r="Y25" s="493"/>
      <c r="Z25" s="493"/>
      <c r="AA25" s="493"/>
      <c r="AB25" s="493"/>
      <c r="AC25" s="493"/>
      <c r="AD25" s="69"/>
      <c r="AE25" s="69"/>
      <c r="AF25" s="69"/>
      <c r="AG25" s="69"/>
      <c r="AH25" s="69"/>
      <c r="AI25" s="69"/>
      <c r="AJ25" s="69"/>
      <c r="AK25" s="69"/>
      <c r="AL25" s="69"/>
      <c r="AM25" s="69" t="s">
        <v>337</v>
      </c>
      <c r="AN25" s="69"/>
      <c r="AO25" s="69"/>
      <c r="AP25" s="69"/>
    </row>
    <row r="26" spans="1:42" ht="14.25" customHeight="1" x14ac:dyDescent="0.2">
      <c r="A26" s="492"/>
      <c r="B26" s="78" t="s">
        <v>18</v>
      </c>
      <c r="C26" s="6" t="s">
        <v>495</v>
      </c>
      <c r="D26" s="69"/>
      <c r="E26" s="69"/>
      <c r="F26" s="69"/>
      <c r="G26" s="69"/>
      <c r="H26" s="69"/>
      <c r="I26" s="69"/>
      <c r="J26" s="69"/>
      <c r="K26" s="69"/>
      <c r="L26" s="69"/>
      <c r="M26" s="69" t="s">
        <v>337</v>
      </c>
      <c r="N26" s="69"/>
      <c r="O26" s="69"/>
      <c r="P26" s="69"/>
      <c r="R26" s="9"/>
      <c r="S26" s="494"/>
      <c r="T26" s="79" t="s">
        <v>77</v>
      </c>
      <c r="U26" s="493" t="s">
        <v>509</v>
      </c>
      <c r="V26" s="493"/>
      <c r="W26" s="493"/>
      <c r="X26" s="493"/>
      <c r="Y26" s="493"/>
      <c r="Z26" s="493"/>
      <c r="AA26" s="493"/>
      <c r="AB26" s="493"/>
      <c r="AC26" s="493"/>
      <c r="AD26" s="69"/>
      <c r="AE26" s="69"/>
      <c r="AF26" s="69"/>
      <c r="AG26" s="69"/>
      <c r="AH26" s="69"/>
      <c r="AI26" s="69"/>
      <c r="AJ26" s="69"/>
      <c r="AK26" s="69"/>
      <c r="AL26" s="69"/>
      <c r="AM26" s="69" t="s">
        <v>337</v>
      </c>
      <c r="AN26" s="69"/>
      <c r="AO26" s="69"/>
      <c r="AP26" s="69"/>
    </row>
    <row r="27" spans="1:42" ht="14.25" customHeight="1" x14ac:dyDescent="0.2">
      <c r="A27" s="492"/>
      <c r="B27" s="78" t="s">
        <v>19</v>
      </c>
      <c r="C27" s="6" t="s">
        <v>497</v>
      </c>
      <c r="D27" s="69"/>
      <c r="E27" s="69"/>
      <c r="F27" s="69" t="s">
        <v>337</v>
      </c>
      <c r="G27" s="69"/>
      <c r="H27" s="69"/>
      <c r="I27" s="69"/>
      <c r="J27" s="69"/>
      <c r="K27" s="69"/>
      <c r="L27" s="69"/>
      <c r="M27" s="69"/>
      <c r="N27" s="69"/>
      <c r="O27" s="69"/>
      <c r="P27" s="69"/>
      <c r="R27" s="9"/>
      <c r="S27" s="494"/>
      <c r="T27" s="79" t="s">
        <v>86</v>
      </c>
      <c r="U27" s="493" t="s">
        <v>510</v>
      </c>
      <c r="V27" s="493"/>
      <c r="W27" s="493"/>
      <c r="X27" s="493"/>
      <c r="Y27" s="493"/>
      <c r="Z27" s="493"/>
      <c r="AA27" s="493"/>
      <c r="AB27" s="493"/>
      <c r="AC27" s="493"/>
      <c r="AD27" s="69"/>
      <c r="AE27" s="69"/>
      <c r="AF27" s="69" t="s">
        <v>337</v>
      </c>
      <c r="AG27" s="69"/>
      <c r="AH27" s="69"/>
      <c r="AI27" s="69"/>
      <c r="AJ27" s="69"/>
      <c r="AK27" s="69"/>
      <c r="AL27" s="69"/>
      <c r="AM27" s="69"/>
      <c r="AN27" s="69"/>
      <c r="AO27" s="69"/>
      <c r="AP27" s="69"/>
    </row>
    <row r="28" spans="1:42" ht="14.25" customHeight="1" x14ac:dyDescent="0.2">
      <c r="A28" s="492"/>
      <c r="B28" s="78" t="s">
        <v>20</v>
      </c>
      <c r="C28" s="6" t="s">
        <v>498</v>
      </c>
      <c r="D28" s="69"/>
      <c r="E28" s="69"/>
      <c r="F28" s="69" t="s">
        <v>337</v>
      </c>
      <c r="G28" s="69"/>
      <c r="H28" s="69"/>
      <c r="I28" s="69"/>
      <c r="J28" s="69"/>
      <c r="K28" s="69"/>
      <c r="L28" s="69"/>
      <c r="M28" s="69"/>
      <c r="N28" s="69"/>
      <c r="O28" s="69"/>
      <c r="P28" s="69"/>
      <c r="R28" s="9"/>
      <c r="S28" s="494"/>
      <c r="T28" s="79" t="s">
        <v>88</v>
      </c>
      <c r="U28" s="493" t="s">
        <v>510</v>
      </c>
      <c r="V28" s="493"/>
      <c r="W28" s="493"/>
      <c r="X28" s="493"/>
      <c r="Y28" s="493"/>
      <c r="Z28" s="493"/>
      <c r="AA28" s="493"/>
      <c r="AB28" s="493"/>
      <c r="AC28" s="493"/>
      <c r="AD28" s="69"/>
      <c r="AE28" s="69"/>
      <c r="AF28" s="69" t="s">
        <v>337</v>
      </c>
      <c r="AG28" s="69"/>
      <c r="AH28" s="69"/>
      <c r="AI28" s="69"/>
      <c r="AJ28" s="69"/>
      <c r="AK28" s="69"/>
      <c r="AL28" s="69"/>
      <c r="AM28" s="69"/>
      <c r="AN28" s="69"/>
      <c r="AO28" s="69"/>
      <c r="AP28" s="69"/>
    </row>
    <row r="29" spans="1:42" ht="14.25" customHeight="1" x14ac:dyDescent="0.2">
      <c r="A29" s="492"/>
      <c r="B29" s="78" t="s">
        <v>21</v>
      </c>
      <c r="C29" s="6" t="s">
        <v>499</v>
      </c>
      <c r="D29" s="69"/>
      <c r="E29" s="69"/>
      <c r="F29" s="69" t="s">
        <v>337</v>
      </c>
      <c r="G29" s="69"/>
      <c r="H29" s="69"/>
      <c r="I29" s="69"/>
      <c r="J29" s="69"/>
      <c r="K29" s="69"/>
      <c r="L29" s="69"/>
      <c r="M29" s="69"/>
      <c r="N29" s="69"/>
      <c r="O29" s="69"/>
      <c r="P29" s="69"/>
      <c r="R29" s="9"/>
      <c r="S29" s="494"/>
      <c r="T29" s="79" t="s">
        <v>91</v>
      </c>
      <c r="U29" s="493" t="s">
        <v>510</v>
      </c>
      <c r="V29" s="493"/>
      <c r="W29" s="493"/>
      <c r="X29" s="493"/>
      <c r="Y29" s="493"/>
      <c r="Z29" s="493"/>
      <c r="AA29" s="493"/>
      <c r="AB29" s="493"/>
      <c r="AC29" s="493"/>
      <c r="AD29" s="69"/>
      <c r="AE29" s="69"/>
      <c r="AF29" s="69" t="s">
        <v>337</v>
      </c>
      <c r="AG29" s="69"/>
      <c r="AH29" s="69"/>
      <c r="AI29" s="69"/>
      <c r="AJ29" s="69"/>
      <c r="AK29" s="69"/>
      <c r="AL29" s="69"/>
      <c r="AM29" s="69"/>
      <c r="AN29" s="69"/>
      <c r="AO29" s="69"/>
      <c r="AP29" s="69"/>
    </row>
    <row r="30" spans="1:42" ht="14.25" customHeight="1" x14ac:dyDescent="0.2">
      <c r="A30" s="492"/>
      <c r="B30" s="78" t="s">
        <v>3</v>
      </c>
      <c r="C30" s="6" t="s">
        <v>501</v>
      </c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 t="s">
        <v>337</v>
      </c>
      <c r="O30" s="69"/>
      <c r="P30" s="69"/>
      <c r="R30" s="9"/>
      <c r="S30" s="494"/>
      <c r="T30" s="79" t="s">
        <v>93</v>
      </c>
      <c r="U30" s="493" t="s">
        <v>510</v>
      </c>
      <c r="V30" s="493"/>
      <c r="W30" s="493"/>
      <c r="X30" s="493"/>
      <c r="Y30" s="493"/>
      <c r="Z30" s="493"/>
      <c r="AA30" s="493"/>
      <c r="AB30" s="493"/>
      <c r="AC30" s="493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 t="s">
        <v>337</v>
      </c>
      <c r="AO30" s="69"/>
      <c r="AP30" s="69"/>
    </row>
    <row r="31" spans="1:42" ht="14.25" customHeight="1" x14ac:dyDescent="0.2">
      <c r="A31" s="492"/>
      <c r="B31" s="78" t="s">
        <v>2</v>
      </c>
      <c r="C31" s="6" t="s">
        <v>502</v>
      </c>
      <c r="D31" s="69" t="s">
        <v>337</v>
      </c>
      <c r="E31" s="69" t="s">
        <v>337</v>
      </c>
      <c r="F31" s="69" t="s">
        <v>337</v>
      </c>
      <c r="G31" s="69" t="s">
        <v>337</v>
      </c>
      <c r="H31" s="69" t="s">
        <v>337</v>
      </c>
      <c r="I31" s="69" t="s">
        <v>337</v>
      </c>
      <c r="J31" s="69" t="s">
        <v>337</v>
      </c>
      <c r="K31" s="69" t="s">
        <v>337</v>
      </c>
      <c r="L31" s="69" t="s">
        <v>337</v>
      </c>
      <c r="M31" s="69" t="s">
        <v>337</v>
      </c>
      <c r="N31" s="69" t="s">
        <v>337</v>
      </c>
      <c r="O31" s="69" t="s">
        <v>337</v>
      </c>
      <c r="P31" s="69" t="s">
        <v>337</v>
      </c>
      <c r="R31" s="9"/>
      <c r="S31" s="494"/>
      <c r="T31" s="79" t="s">
        <v>80</v>
      </c>
      <c r="U31" s="493" t="s">
        <v>513</v>
      </c>
      <c r="V31" s="493"/>
      <c r="W31" s="493"/>
      <c r="X31" s="493"/>
      <c r="Y31" s="493"/>
      <c r="Z31" s="493"/>
      <c r="AA31" s="493"/>
      <c r="AB31" s="493"/>
      <c r="AC31" s="493"/>
      <c r="AD31" s="69" t="s">
        <v>337</v>
      </c>
      <c r="AE31" s="69" t="s">
        <v>337</v>
      </c>
      <c r="AF31" s="69" t="s">
        <v>337</v>
      </c>
      <c r="AG31" s="69" t="s">
        <v>337</v>
      </c>
      <c r="AH31" s="69" t="s">
        <v>337</v>
      </c>
      <c r="AI31" s="69" t="s">
        <v>337</v>
      </c>
      <c r="AJ31" s="69" t="s">
        <v>337</v>
      </c>
      <c r="AK31" s="69" t="s">
        <v>337</v>
      </c>
      <c r="AL31" s="69" t="s">
        <v>337</v>
      </c>
      <c r="AM31" s="69" t="s">
        <v>337</v>
      </c>
      <c r="AN31" s="69" t="s">
        <v>337</v>
      </c>
      <c r="AO31" s="69" t="s">
        <v>337</v>
      </c>
      <c r="AP31" s="69" t="s">
        <v>337</v>
      </c>
    </row>
    <row r="32" spans="1:42" ht="14.25" customHeight="1" x14ac:dyDescent="0.2">
      <c r="A32" s="492"/>
      <c r="B32" s="78" t="s">
        <v>1</v>
      </c>
      <c r="C32" s="6" t="s">
        <v>106</v>
      </c>
      <c r="D32" s="69" t="s">
        <v>337</v>
      </c>
      <c r="E32" s="69" t="s">
        <v>337</v>
      </c>
      <c r="F32" s="69" t="s">
        <v>337</v>
      </c>
      <c r="G32" s="69" t="s">
        <v>337</v>
      </c>
      <c r="H32" s="69" t="s">
        <v>337</v>
      </c>
      <c r="I32" s="69" t="s">
        <v>337</v>
      </c>
      <c r="J32" s="69"/>
      <c r="K32" s="69"/>
      <c r="L32" s="69" t="s">
        <v>337</v>
      </c>
      <c r="M32" s="69"/>
      <c r="N32" s="69"/>
      <c r="O32" s="69"/>
      <c r="P32" s="69"/>
      <c r="R32" s="9"/>
      <c r="S32" s="494"/>
      <c r="T32" s="79" t="s">
        <v>81</v>
      </c>
      <c r="U32" s="493" t="s">
        <v>512</v>
      </c>
      <c r="V32" s="493"/>
      <c r="W32" s="493"/>
      <c r="X32" s="493"/>
      <c r="Y32" s="493"/>
      <c r="Z32" s="493"/>
      <c r="AA32" s="493"/>
      <c r="AB32" s="493"/>
      <c r="AC32" s="493"/>
      <c r="AD32" s="69" t="s">
        <v>337</v>
      </c>
      <c r="AE32" s="69" t="s">
        <v>337</v>
      </c>
      <c r="AF32" s="69" t="s">
        <v>337</v>
      </c>
      <c r="AG32" s="69" t="s">
        <v>337</v>
      </c>
      <c r="AH32" s="69" t="s">
        <v>337</v>
      </c>
      <c r="AI32" s="69" t="s">
        <v>337</v>
      </c>
      <c r="AJ32" s="69"/>
      <c r="AK32" s="69"/>
      <c r="AL32" s="69" t="s">
        <v>337</v>
      </c>
      <c r="AM32" s="69"/>
      <c r="AN32" s="69"/>
      <c r="AO32" s="69"/>
      <c r="AP32" s="69"/>
    </row>
    <row r="33" spans="1:42" ht="14.25" customHeight="1" x14ac:dyDescent="0.2">
      <c r="A33" s="492"/>
      <c r="B33" s="78" t="s">
        <v>0</v>
      </c>
      <c r="C33" s="6" t="s">
        <v>168</v>
      </c>
      <c r="D33" s="69"/>
      <c r="E33" s="69"/>
      <c r="F33" s="69"/>
      <c r="G33" s="69"/>
      <c r="H33" s="69"/>
      <c r="I33" s="69"/>
      <c r="J33" s="69"/>
      <c r="K33" s="69"/>
      <c r="L33" s="69"/>
      <c r="M33" s="69" t="s">
        <v>337</v>
      </c>
      <c r="N33" s="69"/>
      <c r="O33" s="69" t="s">
        <v>337</v>
      </c>
      <c r="P33" s="69"/>
      <c r="R33" s="9"/>
      <c r="S33" s="494"/>
      <c r="T33" s="79" t="s">
        <v>82</v>
      </c>
      <c r="U33" s="493" t="s">
        <v>510</v>
      </c>
      <c r="V33" s="493"/>
      <c r="W33" s="493"/>
      <c r="X33" s="493"/>
      <c r="Y33" s="493"/>
      <c r="Z33" s="493"/>
      <c r="AA33" s="493"/>
      <c r="AB33" s="493"/>
      <c r="AC33" s="493"/>
      <c r="AD33" s="69"/>
      <c r="AE33" s="69"/>
      <c r="AF33" s="69"/>
      <c r="AG33" s="69"/>
      <c r="AH33" s="69"/>
      <c r="AI33" s="69"/>
      <c r="AJ33" s="69"/>
      <c r="AK33" s="69"/>
      <c r="AL33" s="69"/>
      <c r="AM33" s="69" t="s">
        <v>337</v>
      </c>
      <c r="AN33" s="69"/>
      <c r="AO33" s="69" t="s">
        <v>337</v>
      </c>
      <c r="AP33" s="69"/>
    </row>
    <row r="34" spans="1:42" ht="14.25" customHeight="1" x14ac:dyDescent="0.2">
      <c r="A34" s="492"/>
      <c r="B34" s="78" t="s">
        <v>5</v>
      </c>
      <c r="C34" s="6" t="s">
        <v>173</v>
      </c>
      <c r="D34" s="69"/>
      <c r="E34" s="69"/>
      <c r="F34" s="69"/>
      <c r="G34" s="69"/>
      <c r="H34" s="69"/>
      <c r="I34" s="69"/>
      <c r="J34" s="69"/>
      <c r="K34" s="69"/>
      <c r="L34" s="69" t="s">
        <v>337</v>
      </c>
      <c r="M34" s="69"/>
      <c r="N34" s="69"/>
      <c r="O34" s="69"/>
      <c r="P34" s="69"/>
      <c r="R34" s="9"/>
      <c r="S34" s="494"/>
      <c r="T34" s="79" t="s">
        <v>83</v>
      </c>
      <c r="U34" s="493" t="s">
        <v>510</v>
      </c>
      <c r="V34" s="493"/>
      <c r="W34" s="493"/>
      <c r="X34" s="493"/>
      <c r="Y34" s="493"/>
      <c r="Z34" s="493"/>
      <c r="AA34" s="493"/>
      <c r="AB34" s="493"/>
      <c r="AC34" s="493"/>
      <c r="AD34" s="69"/>
      <c r="AE34" s="69"/>
      <c r="AF34" s="69"/>
      <c r="AG34" s="69"/>
      <c r="AH34" s="69"/>
      <c r="AI34" s="69"/>
      <c r="AJ34" s="69"/>
      <c r="AK34" s="69"/>
      <c r="AL34" s="69" t="s">
        <v>337</v>
      </c>
      <c r="AM34" s="69"/>
      <c r="AN34" s="69"/>
      <c r="AO34" s="69"/>
      <c r="AP34" s="69"/>
    </row>
    <row r="35" spans="1:42" ht="14.25" customHeight="1" x14ac:dyDescent="0.2">
      <c r="A35" s="492"/>
      <c r="B35" s="78" t="s">
        <v>4</v>
      </c>
      <c r="C35" s="6" t="s">
        <v>503</v>
      </c>
      <c r="D35" s="69"/>
      <c r="E35" s="69" t="s">
        <v>337</v>
      </c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 t="s">
        <v>337</v>
      </c>
      <c r="R35" s="9"/>
      <c r="S35" s="494"/>
      <c r="T35" s="79" t="s">
        <v>95</v>
      </c>
      <c r="U35" s="493" t="s">
        <v>510</v>
      </c>
      <c r="V35" s="493"/>
      <c r="W35" s="493"/>
      <c r="X35" s="493"/>
      <c r="Y35" s="493"/>
      <c r="Z35" s="493"/>
      <c r="AA35" s="493"/>
      <c r="AB35" s="493"/>
      <c r="AC35" s="493"/>
      <c r="AD35" s="69"/>
      <c r="AE35" s="69" t="s">
        <v>337</v>
      </c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 t="s">
        <v>337</v>
      </c>
    </row>
    <row r="36" spans="1:42" ht="14.25" customHeight="1" x14ac:dyDescent="0.2">
      <c r="B36" s="55"/>
      <c r="C36" s="3"/>
      <c r="R36" s="15"/>
      <c r="S36" s="15"/>
      <c r="T36" s="15"/>
      <c r="U36" s="15"/>
      <c r="V36" s="15"/>
      <c r="W36" s="15"/>
      <c r="X36" s="15"/>
      <c r="Y36" s="15"/>
      <c r="Z36" s="15"/>
    </row>
    <row r="37" spans="1:42" ht="14.25" customHeight="1" x14ac:dyDescent="0.2"/>
    <row r="38" spans="1:42" s="56" customFormat="1" ht="14.25" customHeight="1" x14ac:dyDescent="0.2">
      <c r="D38" s="79" t="s">
        <v>63</v>
      </c>
      <c r="E38" s="79" t="s">
        <v>64</v>
      </c>
      <c r="F38" s="79" t="s">
        <v>65</v>
      </c>
      <c r="G38" s="79" t="s">
        <v>66</v>
      </c>
      <c r="H38" s="79" t="s">
        <v>67</v>
      </c>
      <c r="I38" s="79" t="s">
        <v>68</v>
      </c>
      <c r="J38" s="79" t="s">
        <v>70</v>
      </c>
      <c r="K38" s="79" t="s">
        <v>69</v>
      </c>
      <c r="L38" s="79" t="s">
        <v>71</v>
      </c>
      <c r="M38" s="79" t="s">
        <v>57</v>
      </c>
      <c r="N38" s="79" t="s">
        <v>58</v>
      </c>
      <c r="O38" s="79" t="s">
        <v>56</v>
      </c>
      <c r="P38" s="79" t="s">
        <v>99</v>
      </c>
      <c r="Q38" s="79" t="s">
        <v>100</v>
      </c>
      <c r="R38" s="79" t="s">
        <v>101</v>
      </c>
      <c r="S38" s="79" t="s">
        <v>59</v>
      </c>
      <c r="T38" s="79" t="s">
        <v>102</v>
      </c>
      <c r="U38" s="79" t="s">
        <v>62</v>
      </c>
      <c r="V38" s="79" t="s">
        <v>61</v>
      </c>
      <c r="W38" s="79" t="s">
        <v>77</v>
      </c>
      <c r="X38" s="79" t="s">
        <v>86</v>
      </c>
      <c r="Y38" s="79" t="s">
        <v>88</v>
      </c>
      <c r="Z38" s="79" t="s">
        <v>91</v>
      </c>
      <c r="AA38" s="79" t="s">
        <v>93</v>
      </c>
      <c r="AB38" s="79" t="s">
        <v>80</v>
      </c>
      <c r="AC38" s="79" t="s">
        <v>81</v>
      </c>
      <c r="AD38" s="79" t="s">
        <v>82</v>
      </c>
      <c r="AE38" s="79" t="s">
        <v>83</v>
      </c>
      <c r="AF38" s="79" t="s">
        <v>95</v>
      </c>
    </row>
    <row r="39" spans="1:42" ht="14.25" customHeight="1" x14ac:dyDescent="0.2">
      <c r="A39" s="492" t="s">
        <v>116</v>
      </c>
      <c r="B39" s="78" t="s">
        <v>35</v>
      </c>
      <c r="C39" s="6" t="s">
        <v>483</v>
      </c>
      <c r="D39" s="68" t="s">
        <v>98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42" ht="14.25" customHeight="1" x14ac:dyDescent="0.2">
      <c r="A40" s="492"/>
      <c r="B40" s="78" t="s">
        <v>29</v>
      </c>
      <c r="C40" s="6" t="s">
        <v>484</v>
      </c>
      <c r="D40" s="24"/>
      <c r="E40" s="68" t="s">
        <v>98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383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42" ht="14.25" customHeight="1" x14ac:dyDescent="0.2">
      <c r="A41" s="492"/>
      <c r="B41" s="78" t="s">
        <v>28</v>
      </c>
      <c r="C41" s="6" t="s">
        <v>485</v>
      </c>
      <c r="D41" s="24"/>
      <c r="E41" s="24"/>
      <c r="F41" s="68" t="s">
        <v>98</v>
      </c>
      <c r="G41" s="24"/>
      <c r="H41" s="24"/>
      <c r="I41" s="24"/>
      <c r="J41" s="24"/>
      <c r="K41" s="24"/>
      <c r="L41" s="24"/>
      <c r="M41" s="24"/>
      <c r="N41" s="24"/>
      <c r="O41" s="379"/>
      <c r="P41" s="24"/>
      <c r="Q41" s="381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42" ht="14.25" customHeight="1" x14ac:dyDescent="0.2">
      <c r="A42" s="492"/>
      <c r="B42" s="78" t="s">
        <v>27</v>
      </c>
      <c r="C42" s="6" t="s">
        <v>167</v>
      </c>
      <c r="D42" s="24"/>
      <c r="E42" s="24"/>
      <c r="F42" s="24"/>
      <c r="G42" s="68" t="s">
        <v>98</v>
      </c>
      <c r="H42" s="24"/>
      <c r="I42" s="24"/>
      <c r="J42" s="24"/>
      <c r="K42" s="24"/>
      <c r="L42" s="24"/>
      <c r="M42" s="24"/>
      <c r="N42" s="24"/>
      <c r="O42" s="379"/>
      <c r="P42" s="24"/>
      <c r="Q42" s="381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42" ht="14.25" customHeight="1" x14ac:dyDescent="0.2">
      <c r="A43" s="492"/>
      <c r="B43" s="78" t="s">
        <v>26</v>
      </c>
      <c r="C43" s="6" t="s">
        <v>169</v>
      </c>
      <c r="D43" s="24"/>
      <c r="E43" s="24"/>
      <c r="F43" s="24"/>
      <c r="G43" s="24"/>
      <c r="H43" s="68" t="s">
        <v>98</v>
      </c>
      <c r="I43" s="24"/>
      <c r="J43" s="24"/>
      <c r="K43" s="24"/>
      <c r="L43" s="24"/>
      <c r="M43" s="24"/>
      <c r="N43" s="24"/>
      <c r="O43" s="379"/>
      <c r="P43" s="24"/>
      <c r="Q43" s="381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42" ht="14.25" customHeight="1" x14ac:dyDescent="0.2">
      <c r="A44" s="492"/>
      <c r="B44" s="78" t="s">
        <v>25</v>
      </c>
      <c r="C44" s="6" t="s">
        <v>170</v>
      </c>
      <c r="D44" s="24"/>
      <c r="E44" s="24"/>
      <c r="F44" s="24"/>
      <c r="G44" s="24"/>
      <c r="H44" s="24"/>
      <c r="I44" s="68" t="s">
        <v>98</v>
      </c>
      <c r="J44" s="24"/>
      <c r="K44" s="24"/>
      <c r="L44" s="24"/>
      <c r="M44" s="24"/>
      <c r="N44" s="24"/>
      <c r="O44" s="379"/>
      <c r="P44" s="24"/>
      <c r="Q44" s="381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42" ht="14.25" customHeight="1" x14ac:dyDescent="0.2">
      <c r="A45" s="492"/>
      <c r="B45" s="78" t="s">
        <v>24</v>
      </c>
      <c r="C45" s="6" t="s">
        <v>171</v>
      </c>
      <c r="D45" s="24"/>
      <c r="E45" s="24"/>
      <c r="F45" s="24"/>
      <c r="G45" s="24"/>
      <c r="H45" s="24"/>
      <c r="I45" s="24"/>
      <c r="J45" s="68" t="s">
        <v>98</v>
      </c>
      <c r="K45" s="24"/>
      <c r="L45" s="24"/>
      <c r="M45" s="24"/>
      <c r="N45" s="24"/>
      <c r="O45" s="379"/>
      <c r="P45" s="24"/>
      <c r="Q45" s="381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42" ht="14.25" customHeight="1" x14ac:dyDescent="0.2">
      <c r="A46" s="492"/>
      <c r="B46" s="78" t="s">
        <v>23</v>
      </c>
      <c r="C46" s="6" t="s">
        <v>172</v>
      </c>
      <c r="D46" s="24"/>
      <c r="E46" s="24"/>
      <c r="F46" s="24"/>
      <c r="G46" s="24"/>
      <c r="H46" s="24"/>
      <c r="I46" s="24"/>
      <c r="J46" s="24"/>
      <c r="K46" s="68" t="s">
        <v>98</v>
      </c>
      <c r="L46" s="24"/>
      <c r="M46" s="24"/>
      <c r="N46" s="24"/>
      <c r="O46" s="379"/>
      <c r="P46" s="24"/>
      <c r="Q46" s="381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42" ht="14.25" customHeight="1" x14ac:dyDescent="0.2">
      <c r="A47" s="492"/>
      <c r="B47" s="78" t="s">
        <v>22</v>
      </c>
      <c r="C47" s="6" t="s">
        <v>487</v>
      </c>
      <c r="D47" s="24"/>
      <c r="E47" s="24"/>
      <c r="F47" s="24"/>
      <c r="G47" s="24"/>
      <c r="H47" s="24"/>
      <c r="I47" s="24"/>
      <c r="J47" s="24"/>
      <c r="K47" s="24"/>
      <c r="L47" s="68" t="s">
        <v>98</v>
      </c>
      <c r="M47" s="24"/>
      <c r="N47" s="24"/>
      <c r="O47" s="379"/>
      <c r="P47" s="24"/>
      <c r="Q47" s="381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42" ht="14.25" customHeight="1" x14ac:dyDescent="0.2">
      <c r="A48" s="492"/>
      <c r="B48" s="78" t="s">
        <v>32</v>
      </c>
      <c r="C48" s="6" t="s">
        <v>104</v>
      </c>
      <c r="D48" s="24"/>
      <c r="E48" s="24"/>
      <c r="F48" s="24"/>
      <c r="G48" s="24"/>
      <c r="H48" s="24"/>
      <c r="I48" s="24"/>
      <c r="J48" s="24"/>
      <c r="K48" s="24"/>
      <c r="L48" s="24"/>
      <c r="M48" s="68" t="s">
        <v>98</v>
      </c>
      <c r="N48" s="24"/>
      <c r="O48" s="379"/>
      <c r="P48" s="24"/>
      <c r="Q48" s="381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5" ht="14.25" customHeight="1" x14ac:dyDescent="0.2">
      <c r="A49" s="492"/>
      <c r="B49" s="78" t="s">
        <v>30</v>
      </c>
      <c r="C49" s="6" t="s">
        <v>53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68" t="s">
        <v>98</v>
      </c>
      <c r="O49" s="379"/>
      <c r="P49" s="24"/>
      <c r="Q49" s="381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5" ht="14.25" customHeight="1" x14ac:dyDescent="0.2">
      <c r="A50" s="492"/>
      <c r="B50" s="78" t="s">
        <v>31</v>
      </c>
      <c r="C50" s="6" t="s">
        <v>105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380" t="s">
        <v>98</v>
      </c>
      <c r="P50" s="24"/>
      <c r="Q50" s="381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5" ht="14.25" customHeight="1" x14ac:dyDescent="0.2">
      <c r="A51" s="492"/>
      <c r="B51" s="78" t="s">
        <v>11</v>
      </c>
      <c r="C51" s="6" t="s">
        <v>89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379"/>
      <c r="P51" s="68" t="s">
        <v>98</v>
      </c>
      <c r="Q51" s="381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5" ht="14.25" customHeight="1" x14ac:dyDescent="0.2">
      <c r="A52" s="492"/>
      <c r="B52" s="78" t="s">
        <v>10</v>
      </c>
      <c r="C52" s="6" t="s">
        <v>488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379"/>
      <c r="P52" s="24"/>
      <c r="Q52" s="382" t="s">
        <v>98</v>
      </c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35" ht="14.25" customHeight="1" x14ac:dyDescent="0.2">
      <c r="A53" s="492"/>
      <c r="B53" s="78" t="s">
        <v>13</v>
      </c>
      <c r="C53" s="6" t="s">
        <v>489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379"/>
      <c r="P53" s="24"/>
      <c r="Q53" s="381"/>
      <c r="R53" s="68" t="s">
        <v>98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5" ht="14.25" customHeight="1" x14ac:dyDescent="0.2">
      <c r="A54" s="492"/>
      <c r="B54" s="78" t="s">
        <v>12</v>
      </c>
      <c r="C54" s="6" t="s">
        <v>490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379"/>
      <c r="P54" s="24"/>
      <c r="Q54" s="381"/>
      <c r="R54" s="24"/>
      <c r="S54" s="68" t="s">
        <v>98</v>
      </c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76"/>
      <c r="AH54" s="76"/>
      <c r="AI54" s="14"/>
    </row>
    <row r="55" spans="1:35" ht="14.25" customHeight="1" x14ac:dyDescent="0.2">
      <c r="A55" s="492"/>
      <c r="B55" s="78" t="s">
        <v>15</v>
      </c>
      <c r="C55" s="6" t="s">
        <v>491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379"/>
      <c r="P55" s="24"/>
      <c r="Q55" s="381"/>
      <c r="R55" s="24"/>
      <c r="S55" s="24"/>
      <c r="T55" s="68" t="s">
        <v>98</v>
      </c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77"/>
      <c r="AH55" s="77"/>
      <c r="AI55" s="29"/>
    </row>
    <row r="56" spans="1:35" ht="14.25" customHeight="1" x14ac:dyDescent="0.2">
      <c r="A56" s="492"/>
      <c r="B56" s="78" t="s">
        <v>14</v>
      </c>
      <c r="C56" s="6" t="s">
        <v>493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379"/>
      <c r="P56" s="24"/>
      <c r="Q56" s="381"/>
      <c r="R56" s="24"/>
      <c r="S56" s="24"/>
      <c r="T56" s="24"/>
      <c r="U56" s="68" t="s">
        <v>98</v>
      </c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77"/>
      <c r="AH56" s="77"/>
      <c r="AI56" s="29"/>
    </row>
    <row r="57" spans="1:35" ht="14.25" customHeight="1" x14ac:dyDescent="0.2">
      <c r="A57" s="492"/>
      <c r="B57" s="78" t="s">
        <v>17</v>
      </c>
      <c r="C57" s="6" t="s">
        <v>494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379"/>
      <c r="P57" s="24"/>
      <c r="Q57" s="381"/>
      <c r="R57" s="24"/>
      <c r="S57" s="24"/>
      <c r="T57" s="24"/>
      <c r="U57" s="24"/>
      <c r="V57" s="68" t="s">
        <v>98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77"/>
      <c r="AH57" s="77"/>
      <c r="AI57" s="29"/>
    </row>
    <row r="58" spans="1:35" ht="14.25" customHeight="1" x14ac:dyDescent="0.2">
      <c r="A58" s="492"/>
      <c r="B58" s="78" t="s">
        <v>18</v>
      </c>
      <c r="C58" s="6" t="s">
        <v>495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379"/>
      <c r="P58" s="24"/>
      <c r="Q58" s="381"/>
      <c r="R58" s="24"/>
      <c r="S58" s="24"/>
      <c r="T58" s="24"/>
      <c r="U58" s="24"/>
      <c r="V58" s="24"/>
      <c r="W58" s="68" t="s">
        <v>98</v>
      </c>
      <c r="X58" s="24"/>
      <c r="Y58" s="24"/>
      <c r="Z58" s="24"/>
      <c r="AA58" s="24"/>
      <c r="AB58" s="24"/>
      <c r="AC58" s="24"/>
      <c r="AD58" s="24"/>
      <c r="AE58" s="24"/>
      <c r="AF58" s="24"/>
      <c r="AG58" s="77"/>
      <c r="AH58" s="77"/>
      <c r="AI58" s="29"/>
    </row>
    <row r="59" spans="1:35" ht="14.25" customHeight="1" x14ac:dyDescent="0.2">
      <c r="A59" s="492"/>
      <c r="B59" s="78" t="s">
        <v>19</v>
      </c>
      <c r="C59" s="6" t="s">
        <v>497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379"/>
      <c r="P59" s="24"/>
      <c r="Q59" s="381"/>
      <c r="R59" s="24"/>
      <c r="S59" s="24"/>
      <c r="T59" s="24"/>
      <c r="U59" s="24"/>
      <c r="V59" s="24"/>
      <c r="W59" s="24"/>
      <c r="X59" s="68" t="s">
        <v>98</v>
      </c>
      <c r="Y59" s="24"/>
      <c r="Z59" s="24"/>
      <c r="AA59" s="24"/>
      <c r="AB59" s="24"/>
      <c r="AC59" s="24"/>
      <c r="AD59" s="24"/>
      <c r="AE59" s="24"/>
      <c r="AF59" s="24"/>
      <c r="AG59" s="77"/>
      <c r="AH59" s="77"/>
      <c r="AI59" s="29"/>
    </row>
    <row r="60" spans="1:35" ht="14.25" customHeight="1" x14ac:dyDescent="0.2">
      <c r="A60" s="492"/>
      <c r="B60" s="78" t="s">
        <v>20</v>
      </c>
      <c r="C60" s="6" t="s">
        <v>498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379"/>
      <c r="P60" s="24"/>
      <c r="Q60" s="381"/>
      <c r="R60" s="24"/>
      <c r="S60" s="24"/>
      <c r="T60" s="24"/>
      <c r="U60" s="24"/>
      <c r="V60" s="24"/>
      <c r="W60" s="24"/>
      <c r="X60" s="24"/>
      <c r="Y60" s="68" t="s">
        <v>98</v>
      </c>
      <c r="Z60" s="24"/>
      <c r="AA60" s="24"/>
      <c r="AB60" s="24"/>
      <c r="AC60" s="24"/>
      <c r="AD60" s="24"/>
      <c r="AE60" s="24"/>
      <c r="AF60" s="24"/>
      <c r="AG60" s="77"/>
      <c r="AH60" s="77"/>
      <c r="AI60" s="29"/>
    </row>
    <row r="61" spans="1:35" ht="14.25" customHeight="1" x14ac:dyDescent="0.2">
      <c r="A61" s="492"/>
      <c r="B61" s="78" t="s">
        <v>21</v>
      </c>
      <c r="C61" s="6" t="s">
        <v>499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379"/>
      <c r="P61" s="24"/>
      <c r="Q61" s="381"/>
      <c r="R61" s="24"/>
      <c r="S61" s="24"/>
      <c r="T61" s="24"/>
      <c r="U61" s="24"/>
      <c r="V61" s="24"/>
      <c r="W61" s="24"/>
      <c r="X61" s="24"/>
      <c r="Y61" s="24"/>
      <c r="Z61" s="68" t="s">
        <v>98</v>
      </c>
      <c r="AA61" s="24"/>
      <c r="AB61" s="24"/>
      <c r="AC61" s="24"/>
      <c r="AD61" s="24"/>
      <c r="AE61" s="24"/>
      <c r="AF61" s="24"/>
      <c r="AG61" s="77"/>
      <c r="AH61" s="77"/>
      <c r="AI61" s="29"/>
    </row>
    <row r="62" spans="1:35" ht="14.25" customHeight="1" x14ac:dyDescent="0.2">
      <c r="A62" s="492"/>
      <c r="B62" s="78" t="s">
        <v>3</v>
      </c>
      <c r="C62" s="6" t="s">
        <v>501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379"/>
      <c r="P62" s="24"/>
      <c r="Q62" s="381"/>
      <c r="R62" s="24"/>
      <c r="S62" s="24"/>
      <c r="T62" s="24"/>
      <c r="U62" s="24"/>
      <c r="V62" s="24"/>
      <c r="W62" s="24"/>
      <c r="X62" s="24"/>
      <c r="Y62" s="24"/>
      <c r="Z62" s="24"/>
      <c r="AA62" s="68" t="s">
        <v>98</v>
      </c>
      <c r="AB62" s="24"/>
      <c r="AC62" s="24"/>
      <c r="AD62" s="24"/>
      <c r="AE62" s="24"/>
      <c r="AF62" s="24"/>
      <c r="AG62" s="77"/>
      <c r="AH62" s="77"/>
      <c r="AI62" s="29"/>
    </row>
    <row r="63" spans="1:35" ht="14.25" customHeight="1" x14ac:dyDescent="0.2">
      <c r="A63" s="492"/>
      <c r="B63" s="78" t="s">
        <v>2</v>
      </c>
      <c r="C63" s="6" t="s">
        <v>502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379"/>
      <c r="P63" s="24"/>
      <c r="Q63" s="381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68" t="s">
        <v>98</v>
      </c>
      <c r="AC63" s="24"/>
      <c r="AD63" s="24"/>
      <c r="AE63" s="24"/>
      <c r="AF63" s="24"/>
      <c r="AG63" s="77"/>
      <c r="AH63" s="77"/>
      <c r="AI63" s="29"/>
    </row>
    <row r="64" spans="1:35" ht="14.25" customHeight="1" x14ac:dyDescent="0.2">
      <c r="A64" s="492"/>
      <c r="B64" s="78" t="s">
        <v>1</v>
      </c>
      <c r="C64" s="6" t="s">
        <v>106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379"/>
      <c r="P64" s="24"/>
      <c r="Q64" s="381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68" t="s">
        <v>98</v>
      </c>
      <c r="AD64" s="24"/>
      <c r="AE64" s="24"/>
      <c r="AF64" s="24"/>
      <c r="AG64" s="77"/>
      <c r="AH64" s="77"/>
      <c r="AI64" s="29"/>
    </row>
    <row r="65" spans="1:35" ht="14.25" customHeight="1" x14ac:dyDescent="0.2">
      <c r="A65" s="492"/>
      <c r="B65" s="78" t="s">
        <v>0</v>
      </c>
      <c r="C65" s="6" t="s">
        <v>168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379"/>
      <c r="P65" s="24"/>
      <c r="Q65" s="381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68" t="s">
        <v>98</v>
      </c>
      <c r="AE65" s="24"/>
      <c r="AF65" s="24"/>
      <c r="AG65" s="77"/>
      <c r="AH65" s="77"/>
      <c r="AI65" s="29"/>
    </row>
    <row r="66" spans="1:35" ht="14.25" customHeight="1" x14ac:dyDescent="0.2">
      <c r="A66" s="492"/>
      <c r="B66" s="78" t="s">
        <v>5</v>
      </c>
      <c r="C66" s="6" t="s">
        <v>173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379"/>
      <c r="P66" s="24"/>
      <c r="Q66" s="381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68" t="s">
        <v>98</v>
      </c>
      <c r="AF66" s="24"/>
      <c r="AG66" s="77"/>
      <c r="AH66" s="77"/>
      <c r="AI66" s="29"/>
    </row>
    <row r="67" spans="1:35" ht="14.25" customHeight="1" x14ac:dyDescent="0.2">
      <c r="A67" s="492"/>
      <c r="B67" s="78" t="s">
        <v>4</v>
      </c>
      <c r="C67" s="6" t="s">
        <v>503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379"/>
      <c r="P67" s="24"/>
      <c r="Q67" s="381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68" t="s">
        <v>98</v>
      </c>
      <c r="AG67" s="77"/>
      <c r="AH67" s="77"/>
      <c r="AI67" s="29"/>
    </row>
    <row r="68" spans="1:35" x14ac:dyDescent="0.2">
      <c r="P68" s="346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72"/>
      <c r="AI68" s="29"/>
    </row>
    <row r="69" spans="1:35" x14ac:dyDescent="0.2">
      <c r="P69" s="346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9"/>
      <c r="AI69" s="72"/>
    </row>
    <row r="70" spans="1:35" x14ac:dyDescent="0.2">
      <c r="P70" s="346"/>
      <c r="AH70" s="14"/>
      <c r="AI70" s="14"/>
    </row>
    <row r="71" spans="1:35" x14ac:dyDescent="0.2">
      <c r="AH71" s="14"/>
      <c r="AI71" s="14"/>
    </row>
  </sheetData>
  <mergeCells count="35">
    <mergeCell ref="D5:P5"/>
    <mergeCell ref="U20:AC20"/>
    <mergeCell ref="U21:AC21"/>
    <mergeCell ref="U22:AC22"/>
    <mergeCell ref="U7:AC7"/>
    <mergeCell ref="U8:AC8"/>
    <mergeCell ref="U9:AC9"/>
    <mergeCell ref="U10:AC10"/>
    <mergeCell ref="U11:AC11"/>
    <mergeCell ref="U12:AC12"/>
    <mergeCell ref="U13:AC13"/>
    <mergeCell ref="U14:AC14"/>
    <mergeCell ref="U15:AC15"/>
    <mergeCell ref="U16:AC16"/>
    <mergeCell ref="A39:A67"/>
    <mergeCell ref="S7:S35"/>
    <mergeCell ref="U17:AC17"/>
    <mergeCell ref="U18:AC18"/>
    <mergeCell ref="U19:AC19"/>
    <mergeCell ref="AD5:AP5"/>
    <mergeCell ref="A1:H1"/>
    <mergeCell ref="A7:A35"/>
    <mergeCell ref="U23:AC23"/>
    <mergeCell ref="U24:AC24"/>
    <mergeCell ref="U25:AC25"/>
    <mergeCell ref="U26:AC26"/>
    <mergeCell ref="U27:AC27"/>
    <mergeCell ref="U28:AC28"/>
    <mergeCell ref="U29:AC29"/>
    <mergeCell ref="U30:AC30"/>
    <mergeCell ref="U31:AC31"/>
    <mergeCell ref="U32:AC32"/>
    <mergeCell ref="U33:AC33"/>
    <mergeCell ref="U34:AC34"/>
    <mergeCell ref="U35:AC3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6600"/>
  </sheetPr>
  <dimension ref="A1:W74"/>
  <sheetViews>
    <sheetView topLeftCell="A32" workbookViewId="0">
      <selection activeCell="C41" sqref="C41:F69"/>
    </sheetView>
  </sheetViews>
  <sheetFormatPr baseColWidth="10" defaultRowHeight="15" customHeight="1" x14ac:dyDescent="0.2"/>
  <cols>
    <col min="1" max="1" width="5.42578125" style="7" bestFit="1" customWidth="1"/>
    <col min="2" max="2" width="48.85546875" style="7" bestFit="1" customWidth="1"/>
    <col min="3" max="3" width="11.5703125" style="7" bestFit="1" customWidth="1"/>
    <col min="4" max="4" width="7.7109375" style="7" bestFit="1" customWidth="1"/>
    <col min="5" max="5" width="11.5703125" style="7" bestFit="1" customWidth="1"/>
    <col min="6" max="8" width="7.7109375" style="7" bestFit="1" customWidth="1"/>
    <col min="9" max="9" width="11.5703125" style="7" bestFit="1" customWidth="1"/>
    <col min="10" max="10" width="9.28515625" style="7" bestFit="1" customWidth="1"/>
    <col min="11" max="14" width="7.7109375" style="7" bestFit="1" customWidth="1"/>
    <col min="15" max="15" width="11.5703125" style="7" bestFit="1" customWidth="1"/>
    <col min="16" max="16" width="10.42578125" style="7" customWidth="1"/>
    <col min="17" max="23" width="11.42578125" style="7" customWidth="1"/>
    <col min="24" max="16384" width="11.42578125" style="7"/>
  </cols>
  <sheetData>
    <row r="1" spans="1:23" s="95" customFormat="1" ht="43.5" customHeight="1" thickBot="1" x14ac:dyDescent="0.25">
      <c r="A1" s="503" t="s">
        <v>113</v>
      </c>
      <c r="B1" s="503"/>
      <c r="C1" s="503"/>
      <c r="D1" s="503"/>
      <c r="E1" s="503"/>
      <c r="F1" s="503"/>
      <c r="G1" s="503"/>
      <c r="H1" s="503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3" ht="15" customHeight="1" thickTop="1" x14ac:dyDescent="0.2"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" customHeight="1" x14ac:dyDescent="0.2">
      <c r="P3" s="2"/>
      <c r="Q3" s="2"/>
      <c r="R3" s="2"/>
      <c r="S3" s="2"/>
      <c r="T3" s="2"/>
      <c r="U3" s="2"/>
      <c r="V3" s="2"/>
      <c r="W3" s="2"/>
    </row>
    <row r="4" spans="1:23" s="45" customFormat="1" ht="15" customHeight="1" x14ac:dyDescent="0.2">
      <c r="A4" s="64"/>
      <c r="B4" s="65"/>
      <c r="C4" s="504" t="s">
        <v>85</v>
      </c>
      <c r="D4" s="504"/>
      <c r="E4" s="504"/>
      <c r="F4" s="504"/>
      <c r="G4" s="500" t="s">
        <v>50</v>
      </c>
      <c r="H4" s="501"/>
      <c r="I4" s="501"/>
      <c r="J4" s="502"/>
      <c r="K4" s="497" t="s">
        <v>16</v>
      </c>
      <c r="L4" s="498"/>
      <c r="M4" s="498"/>
      <c r="N4" s="498"/>
      <c r="O4" s="499"/>
      <c r="P4" s="64"/>
      <c r="Q4" s="64"/>
      <c r="R4" s="64"/>
      <c r="S4" s="64"/>
      <c r="T4" s="64"/>
      <c r="U4" s="64"/>
      <c r="V4" s="64"/>
      <c r="W4" s="64"/>
    </row>
    <row r="5" spans="1:23" s="45" customFormat="1" ht="15" customHeight="1" x14ac:dyDescent="0.2">
      <c r="A5" s="506" t="s">
        <v>55</v>
      </c>
      <c r="B5" s="506"/>
      <c r="C5" s="61" t="s">
        <v>108</v>
      </c>
      <c r="D5" s="61" t="s">
        <v>174</v>
      </c>
      <c r="E5" s="61" t="s">
        <v>175</v>
      </c>
      <c r="F5" s="61" t="s">
        <v>210</v>
      </c>
      <c r="G5" s="62" t="s">
        <v>49</v>
      </c>
      <c r="H5" s="62" t="s">
        <v>176</v>
      </c>
      <c r="I5" s="62" t="s">
        <v>177</v>
      </c>
      <c r="J5" s="62" t="s">
        <v>160</v>
      </c>
      <c r="K5" s="63" t="s">
        <v>38</v>
      </c>
      <c r="L5" s="63" t="s">
        <v>37</v>
      </c>
      <c r="M5" s="63" t="s">
        <v>148</v>
      </c>
      <c r="N5" s="63" t="s">
        <v>151</v>
      </c>
      <c r="O5" s="63" t="s">
        <v>518</v>
      </c>
      <c r="P5" s="70" t="s">
        <v>96</v>
      </c>
      <c r="Q5" s="64"/>
      <c r="R5" s="64"/>
      <c r="S5" s="64"/>
      <c r="T5" s="64"/>
      <c r="U5" s="64"/>
      <c r="V5" s="64"/>
      <c r="W5" s="64"/>
    </row>
    <row r="6" spans="1:23" ht="15" customHeight="1" x14ac:dyDescent="0.2">
      <c r="A6" s="79" t="s">
        <v>63</v>
      </c>
      <c r="B6" s="6" t="str">
        <f>LOOKUP(A6,'Auxiliar 1'!$T$7:$T$35,'Auxiliar 1'!$U$7:$U$35)</f>
        <v>Horas diarias dedicadas por Groover a cada C.A.</v>
      </c>
      <c r="C6" s="69">
        <v>2</v>
      </c>
      <c r="D6" s="69"/>
      <c r="E6" s="69"/>
      <c r="F6" s="69">
        <v>1</v>
      </c>
      <c r="G6" s="69">
        <v>1</v>
      </c>
      <c r="H6" s="69">
        <v>1</v>
      </c>
      <c r="I6" s="69"/>
      <c r="J6" s="69">
        <v>1</v>
      </c>
      <c r="K6" s="69"/>
      <c r="L6" s="69"/>
      <c r="M6" s="69"/>
      <c r="N6" s="69"/>
      <c r="O6" s="69"/>
      <c r="P6" s="2">
        <f>SUM(C6:O6)</f>
        <v>6</v>
      </c>
      <c r="Q6" s="2"/>
      <c r="R6" s="2"/>
      <c r="S6" s="2"/>
      <c r="T6" s="2"/>
      <c r="U6" s="2"/>
      <c r="V6" s="2"/>
      <c r="W6" s="2"/>
    </row>
    <row r="7" spans="1:23" ht="15" customHeight="1" x14ac:dyDescent="0.2">
      <c r="A7" s="79" t="s">
        <v>64</v>
      </c>
      <c r="B7" s="6" t="str">
        <f>LOOKUP(A7,'Auxiliar 1'!$T$7:$T$35,'Auxiliar 1'!$U$7:$U$35)</f>
        <v>Horas diarias dedicadas por Pavel a cada C.A.</v>
      </c>
      <c r="C7" s="69"/>
      <c r="D7" s="69">
        <v>1</v>
      </c>
      <c r="E7" s="69">
        <v>2</v>
      </c>
      <c r="F7" s="69"/>
      <c r="G7" s="69"/>
      <c r="H7" s="69"/>
      <c r="I7" s="69"/>
      <c r="J7" s="69">
        <v>2</v>
      </c>
      <c r="K7" s="69"/>
      <c r="L7" s="69"/>
      <c r="M7" s="69"/>
      <c r="N7" s="69"/>
      <c r="O7" s="69">
        <v>4</v>
      </c>
      <c r="P7" s="2">
        <f t="shared" ref="P7:P34" si="0">SUM(C7:O7)</f>
        <v>9</v>
      </c>
      <c r="Q7" s="2"/>
      <c r="R7" s="2"/>
      <c r="S7" s="2"/>
      <c r="T7" s="2"/>
      <c r="U7" s="2"/>
      <c r="V7" s="2"/>
      <c r="W7" s="2"/>
    </row>
    <row r="8" spans="1:23" ht="15" customHeight="1" x14ac:dyDescent="0.2">
      <c r="A8" s="79" t="s">
        <v>65</v>
      </c>
      <c r="B8" s="6" t="str">
        <f>LOOKUP(A8,'Auxiliar 1'!$T$7:$T$35,'Auxiliar 1'!$U$7:$U$35)</f>
        <v>Horas diarias dedicadas por Yessica a cada C.A.</v>
      </c>
      <c r="C8" s="69"/>
      <c r="D8" s="69"/>
      <c r="E8" s="69"/>
      <c r="F8" s="69"/>
      <c r="G8" s="69"/>
      <c r="H8" s="69"/>
      <c r="I8" s="69">
        <v>8</v>
      </c>
      <c r="J8" s="69"/>
      <c r="K8" s="69"/>
      <c r="L8" s="69"/>
      <c r="M8" s="69"/>
      <c r="N8" s="69"/>
      <c r="O8" s="69"/>
      <c r="P8" s="2">
        <f t="shared" si="0"/>
        <v>8</v>
      </c>
      <c r="Q8" s="2"/>
      <c r="R8" s="2"/>
      <c r="S8" s="2"/>
      <c r="T8" s="2"/>
      <c r="U8" s="2"/>
      <c r="V8" s="2"/>
      <c r="W8" s="2"/>
    </row>
    <row r="9" spans="1:23" ht="15" customHeight="1" x14ac:dyDescent="0.2">
      <c r="A9" s="79" t="s">
        <v>66</v>
      </c>
      <c r="B9" s="6" t="str">
        <f>LOOKUP(A9,'Auxiliar 1'!$T$7:$T$35,'Auxiliar 1'!$U$7:$U$35)</f>
        <v>% Asignación</v>
      </c>
      <c r="C9" s="319"/>
      <c r="D9" s="319"/>
      <c r="E9" s="319"/>
      <c r="F9" s="319"/>
      <c r="G9" s="319"/>
      <c r="H9" s="319"/>
      <c r="I9" s="319"/>
      <c r="J9" s="319"/>
      <c r="K9" s="319"/>
      <c r="L9" s="319">
        <v>1</v>
      </c>
      <c r="M9" s="319"/>
      <c r="N9" s="319"/>
      <c r="O9" s="319"/>
      <c r="P9" s="320">
        <f t="shared" si="0"/>
        <v>1</v>
      </c>
      <c r="Q9" s="2"/>
      <c r="R9" s="2"/>
      <c r="S9" s="2"/>
      <c r="T9" s="2"/>
      <c r="U9" s="2"/>
      <c r="V9" s="2"/>
      <c r="W9" s="2"/>
    </row>
    <row r="10" spans="1:23" ht="15" customHeight="1" x14ac:dyDescent="0.2">
      <c r="A10" s="79" t="s">
        <v>67</v>
      </c>
      <c r="B10" s="6" t="str">
        <f>LOOKUP(A10,'Auxiliar 1'!$T$7:$T$35,'Auxiliar 1'!$U$7:$U$35)</f>
        <v>% de uso</v>
      </c>
      <c r="C10" s="319"/>
      <c r="D10" s="319"/>
      <c r="E10" s="319"/>
      <c r="F10" s="319"/>
      <c r="G10" s="319"/>
      <c r="H10" s="319"/>
      <c r="I10" s="319"/>
      <c r="J10" s="319"/>
      <c r="K10" s="319"/>
      <c r="L10" s="319">
        <v>0.25</v>
      </c>
      <c r="M10" s="321">
        <v>0.625</v>
      </c>
      <c r="N10" s="321">
        <v>0.125</v>
      </c>
      <c r="O10" s="319"/>
      <c r="P10" s="320">
        <f t="shared" si="0"/>
        <v>1</v>
      </c>
      <c r="Q10" s="2"/>
      <c r="R10" s="2"/>
      <c r="S10" s="2"/>
      <c r="T10" s="2"/>
      <c r="U10" s="2"/>
      <c r="V10" s="2"/>
      <c r="W10" s="2"/>
    </row>
    <row r="11" spans="1:23" ht="15" customHeight="1" x14ac:dyDescent="0.2">
      <c r="A11" s="79" t="s">
        <v>68</v>
      </c>
      <c r="B11" s="6" t="str">
        <f>LOOKUP(A11,'Auxiliar 1'!$T$7:$T$35,'Auxiliar 1'!$U$7:$U$35)</f>
        <v>% de uso</v>
      </c>
      <c r="C11" s="319">
        <v>0.1</v>
      </c>
      <c r="D11" s="319">
        <v>0.1</v>
      </c>
      <c r="E11" s="319">
        <v>0.2</v>
      </c>
      <c r="F11" s="319">
        <v>0.1</v>
      </c>
      <c r="G11" s="319">
        <v>0.1</v>
      </c>
      <c r="H11" s="319">
        <v>0.1</v>
      </c>
      <c r="I11" s="319"/>
      <c r="J11" s="319"/>
      <c r="K11" s="319">
        <v>0.3</v>
      </c>
      <c r="L11" s="319"/>
      <c r="M11" s="319"/>
      <c r="N11" s="319"/>
      <c r="O11" s="319"/>
      <c r="P11" s="320">
        <f t="shared" si="0"/>
        <v>1</v>
      </c>
      <c r="Q11" s="2"/>
      <c r="R11" s="2"/>
      <c r="S11" s="2"/>
      <c r="T11" s="2"/>
      <c r="U11" s="2"/>
      <c r="V11" s="2"/>
      <c r="W11" s="2"/>
    </row>
    <row r="12" spans="1:23" ht="15" customHeight="1" x14ac:dyDescent="0.2">
      <c r="A12" s="79" t="s">
        <v>70</v>
      </c>
      <c r="B12" s="6" t="str">
        <f>LOOKUP(A12,'Auxiliar 1'!$T$7:$T$35,'Auxiliar 1'!$U$7:$U$35)</f>
        <v>% de uso</v>
      </c>
      <c r="C12" s="69"/>
      <c r="D12" s="69"/>
      <c r="E12" s="69"/>
      <c r="F12" s="69"/>
      <c r="G12" s="69"/>
      <c r="H12" s="69"/>
      <c r="I12" s="69"/>
      <c r="J12" s="69"/>
      <c r="K12" s="69"/>
      <c r="L12" s="319">
        <v>1</v>
      </c>
      <c r="M12" s="69"/>
      <c r="N12" s="69"/>
      <c r="O12" s="69"/>
      <c r="P12" s="320">
        <f t="shared" si="0"/>
        <v>1</v>
      </c>
      <c r="Q12" s="2"/>
      <c r="R12" s="2"/>
      <c r="S12" s="2"/>
      <c r="T12" s="2"/>
      <c r="U12" s="2"/>
      <c r="V12" s="2"/>
      <c r="W12" s="2"/>
    </row>
    <row r="13" spans="1:23" ht="15" customHeight="1" x14ac:dyDescent="0.2">
      <c r="A13" s="79" t="s">
        <v>69</v>
      </c>
      <c r="B13" s="6" t="str">
        <f>LOOKUP(A13,'Auxiliar 1'!$T$7:$T$35,'Auxiliar 1'!$U$7:$U$35)</f>
        <v>% de uso</v>
      </c>
      <c r="C13" s="69"/>
      <c r="D13" s="69"/>
      <c r="E13" s="69"/>
      <c r="F13" s="69"/>
      <c r="G13" s="69"/>
      <c r="H13" s="69"/>
      <c r="I13" s="69"/>
      <c r="J13" s="69"/>
      <c r="K13" s="69"/>
      <c r="L13" s="319">
        <v>0.8</v>
      </c>
      <c r="M13" s="69"/>
      <c r="N13" s="319">
        <v>0.2</v>
      </c>
      <c r="O13" s="69"/>
      <c r="P13" s="320">
        <f t="shared" si="0"/>
        <v>1</v>
      </c>
      <c r="Q13" s="2"/>
      <c r="R13" s="2"/>
      <c r="S13" s="2"/>
      <c r="T13" s="2"/>
      <c r="U13" s="2"/>
      <c r="V13" s="2"/>
      <c r="W13" s="2"/>
    </row>
    <row r="14" spans="1:23" ht="15" customHeight="1" x14ac:dyDescent="0.2">
      <c r="A14" s="79" t="s">
        <v>71</v>
      </c>
      <c r="B14" s="6" t="str">
        <f>LOOKUP(A14,'Auxiliar 1'!$T$7:$T$35,'Auxiliar 1'!$U$7:$U$35)</f>
        <v>% Asignación</v>
      </c>
      <c r="C14" s="69"/>
      <c r="D14" s="69"/>
      <c r="E14" s="69"/>
      <c r="F14" s="69"/>
      <c r="G14" s="69"/>
      <c r="H14" s="69"/>
      <c r="I14" s="69"/>
      <c r="J14" s="69"/>
      <c r="K14" s="69"/>
      <c r="L14" s="319">
        <v>1</v>
      </c>
      <c r="M14" s="69"/>
      <c r="N14" s="69"/>
      <c r="O14" s="69"/>
      <c r="P14" s="2">
        <f t="shared" si="0"/>
        <v>1</v>
      </c>
      <c r="Q14" s="2"/>
      <c r="R14" s="2"/>
      <c r="S14" s="2"/>
      <c r="T14" s="2"/>
      <c r="U14" s="2"/>
      <c r="V14" s="2"/>
      <c r="W14" s="2"/>
    </row>
    <row r="15" spans="1:23" ht="15" customHeight="1" x14ac:dyDescent="0.2">
      <c r="A15" s="79" t="s">
        <v>57</v>
      </c>
      <c r="B15" s="6" t="str">
        <f>LOOKUP(A15,'Auxiliar 1'!$T$7:$T$35,'Auxiliar 1'!$U$7:$U$35)</f>
        <v>Proporción de Consumo de Kwh</v>
      </c>
      <c r="C15" s="69">
        <v>5</v>
      </c>
      <c r="D15" s="69">
        <v>5</v>
      </c>
      <c r="E15" s="69">
        <v>10</v>
      </c>
      <c r="F15" s="69">
        <v>10</v>
      </c>
      <c r="G15" s="69">
        <v>10</v>
      </c>
      <c r="H15" s="69">
        <v>10</v>
      </c>
      <c r="I15" s="69">
        <v>5</v>
      </c>
      <c r="J15" s="69">
        <v>10</v>
      </c>
      <c r="K15" s="69">
        <v>20</v>
      </c>
      <c r="L15" s="69">
        <v>50</v>
      </c>
      <c r="M15" s="69">
        <v>10</v>
      </c>
      <c r="N15" s="69">
        <v>10</v>
      </c>
      <c r="O15" s="69">
        <v>10</v>
      </c>
      <c r="P15" s="2">
        <f t="shared" si="0"/>
        <v>165</v>
      </c>
      <c r="Q15" s="2"/>
      <c r="R15" s="2"/>
      <c r="S15" s="2"/>
      <c r="T15" s="2"/>
      <c r="U15" s="2"/>
      <c r="V15" s="2"/>
      <c r="W15" s="2"/>
    </row>
    <row r="16" spans="1:23" ht="15" customHeight="1" x14ac:dyDescent="0.2">
      <c r="A16" s="79" t="s">
        <v>58</v>
      </c>
      <c r="B16" s="6" t="str">
        <f>LOOKUP(A16,'Auxiliar 1'!$T$7:$T$35,'Auxiliar 1'!$U$7:$U$35)</f>
        <v>N° de personas en el C.A.</v>
      </c>
      <c r="C16" s="69">
        <v>1</v>
      </c>
      <c r="D16" s="69">
        <v>1</v>
      </c>
      <c r="E16" s="69">
        <v>1</v>
      </c>
      <c r="F16" s="69">
        <v>1</v>
      </c>
      <c r="G16" s="69">
        <v>1</v>
      </c>
      <c r="H16" s="69">
        <v>1</v>
      </c>
      <c r="I16" s="69">
        <v>1</v>
      </c>
      <c r="J16" s="69">
        <v>2</v>
      </c>
      <c r="K16" s="69">
        <v>1</v>
      </c>
      <c r="L16" s="69">
        <v>1</v>
      </c>
      <c r="M16" s="69">
        <v>1</v>
      </c>
      <c r="N16" s="69">
        <v>1</v>
      </c>
      <c r="O16" s="69">
        <v>1</v>
      </c>
      <c r="P16" s="2">
        <f t="shared" si="0"/>
        <v>14</v>
      </c>
      <c r="Q16" s="2"/>
      <c r="R16" s="2"/>
      <c r="S16" s="2"/>
      <c r="T16" s="2"/>
      <c r="U16" s="2"/>
      <c r="V16" s="2"/>
      <c r="W16" s="2"/>
    </row>
    <row r="17" spans="1:23" ht="15" customHeight="1" x14ac:dyDescent="0.2">
      <c r="A17" s="79" t="s">
        <v>56</v>
      </c>
      <c r="B17" s="6" t="str">
        <f>LOOKUP(A17,'Auxiliar 1'!$T$7:$T$35,'Auxiliar 1'!$U$7:$U$35)</f>
        <v>N° de personas en el C.A.</v>
      </c>
      <c r="C17" s="69">
        <v>1</v>
      </c>
      <c r="D17" s="69">
        <v>1</v>
      </c>
      <c r="E17" s="69">
        <v>1</v>
      </c>
      <c r="F17" s="69">
        <v>1</v>
      </c>
      <c r="G17" s="69"/>
      <c r="H17" s="69"/>
      <c r="I17" s="69"/>
      <c r="J17" s="69">
        <v>2</v>
      </c>
      <c r="K17" s="69"/>
      <c r="L17" s="69"/>
      <c r="M17" s="69"/>
      <c r="N17" s="69"/>
      <c r="O17" s="69">
        <v>1</v>
      </c>
      <c r="P17" s="2">
        <f t="shared" si="0"/>
        <v>7</v>
      </c>
      <c r="Q17" s="2"/>
      <c r="R17" s="2"/>
      <c r="S17" s="2"/>
      <c r="T17" s="2"/>
      <c r="U17" s="2"/>
      <c r="V17" s="2"/>
      <c r="W17" s="2"/>
    </row>
    <row r="18" spans="1:23" ht="15" customHeight="1" x14ac:dyDescent="0.2">
      <c r="A18" s="79" t="s">
        <v>99</v>
      </c>
      <c r="B18" s="6" t="str">
        <f>LOOKUP(A18,'Auxiliar 1'!$T$7:$T$35,'Auxiliar 1'!$U$7:$U$35)</f>
        <v>Flat Parcial</v>
      </c>
      <c r="C18" s="69">
        <v>1</v>
      </c>
      <c r="D18" s="69">
        <v>1</v>
      </c>
      <c r="E18" s="69">
        <v>1</v>
      </c>
      <c r="F18" s="69">
        <v>1</v>
      </c>
      <c r="G18" s="69">
        <v>1</v>
      </c>
      <c r="H18" s="69">
        <v>1</v>
      </c>
      <c r="I18" s="69"/>
      <c r="J18" s="69"/>
      <c r="K18" s="69">
        <v>1</v>
      </c>
      <c r="L18" s="69"/>
      <c r="M18" s="69"/>
      <c r="N18" s="69"/>
      <c r="O18" s="69"/>
      <c r="P18" s="2">
        <f t="shared" si="0"/>
        <v>7</v>
      </c>
      <c r="Q18" s="2"/>
      <c r="R18" s="2"/>
      <c r="S18" s="2"/>
      <c r="T18" s="2"/>
      <c r="U18" s="2"/>
      <c r="V18" s="2"/>
      <c r="W18" s="2"/>
    </row>
    <row r="19" spans="1:23" ht="15" customHeight="1" x14ac:dyDescent="0.2">
      <c r="A19" s="79" t="s">
        <v>100</v>
      </c>
      <c r="B19" s="6" t="str">
        <f>LOOKUP(A19,'Auxiliar 1'!$T$7:$T$35,'Auxiliar 1'!$U$7:$U$35)</f>
        <v>% Asignación</v>
      </c>
      <c r="C19" s="69"/>
      <c r="D19" s="69"/>
      <c r="E19" s="69"/>
      <c r="F19" s="69"/>
      <c r="G19" s="69"/>
      <c r="H19" s="69"/>
      <c r="I19" s="69"/>
      <c r="J19" s="69">
        <v>1</v>
      </c>
      <c r="K19" s="69"/>
      <c r="L19" s="69"/>
      <c r="M19" s="69"/>
      <c r="N19" s="69"/>
      <c r="O19" s="69"/>
      <c r="P19" s="2">
        <f t="shared" si="0"/>
        <v>1</v>
      </c>
      <c r="Q19" s="2"/>
      <c r="R19" s="2"/>
      <c r="S19" s="2"/>
      <c r="T19" s="2"/>
      <c r="U19" s="2"/>
      <c r="V19" s="2"/>
      <c r="W19" s="2"/>
    </row>
    <row r="20" spans="1:23" ht="15" customHeight="1" x14ac:dyDescent="0.2">
      <c r="A20" s="79" t="s">
        <v>101</v>
      </c>
      <c r="B20" s="6" t="str">
        <f>LOOKUP(A20,'Auxiliar 1'!$T$7:$T$35,'Auxiliar 1'!$U$7:$U$35)</f>
        <v>% Asignación</v>
      </c>
      <c r="C20" s="69"/>
      <c r="D20" s="69"/>
      <c r="E20" s="69"/>
      <c r="F20" s="69"/>
      <c r="G20" s="69"/>
      <c r="H20" s="69"/>
      <c r="I20" s="69"/>
      <c r="J20" s="69">
        <v>1</v>
      </c>
      <c r="K20" s="69"/>
      <c r="L20" s="69"/>
      <c r="M20" s="69"/>
      <c r="N20" s="69"/>
      <c r="O20" s="69"/>
      <c r="P20" s="2">
        <f t="shared" si="0"/>
        <v>1</v>
      </c>
      <c r="Q20" s="2"/>
      <c r="R20" s="2"/>
      <c r="S20" s="2"/>
      <c r="T20" s="2"/>
      <c r="U20" s="2"/>
      <c r="V20" s="2"/>
      <c r="W20" s="2"/>
    </row>
    <row r="21" spans="1:23" ht="15" customHeight="1" x14ac:dyDescent="0.2">
      <c r="A21" s="79" t="s">
        <v>59</v>
      </c>
      <c r="B21" s="6" t="str">
        <f>LOOKUP(A21,'Auxiliar 1'!$T$7:$T$35,'Auxiliar 1'!$U$7:$U$35)</f>
        <v>% Asignación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319">
        <v>1</v>
      </c>
      <c r="P21" s="2">
        <f t="shared" si="0"/>
        <v>1</v>
      </c>
      <c r="Q21" s="2"/>
      <c r="R21" s="2"/>
      <c r="S21" s="2"/>
      <c r="T21" s="2"/>
      <c r="U21" s="2"/>
      <c r="V21" s="2"/>
      <c r="W21" s="2"/>
    </row>
    <row r="22" spans="1:23" ht="15" customHeight="1" x14ac:dyDescent="0.2">
      <c r="A22" s="79" t="s">
        <v>102</v>
      </c>
      <c r="B22" s="6" t="str">
        <f>LOOKUP(A22,'Auxiliar 1'!$T$7:$T$35,'Auxiliar 1'!$U$7:$U$35)</f>
        <v>% Asignación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319">
        <v>1</v>
      </c>
      <c r="P22" s="2">
        <f t="shared" si="0"/>
        <v>1</v>
      </c>
      <c r="Q22" s="2"/>
      <c r="R22" s="2"/>
      <c r="S22" s="2"/>
      <c r="T22" s="2"/>
      <c r="U22" s="2"/>
      <c r="V22" s="2"/>
      <c r="W22" s="2"/>
    </row>
    <row r="23" spans="1:23" ht="15" customHeight="1" x14ac:dyDescent="0.2">
      <c r="A23" s="79" t="s">
        <v>62</v>
      </c>
      <c r="B23" s="6" t="str">
        <f>LOOKUP(A23,'Auxiliar 1'!$T$7:$T$35,'Auxiliar 1'!$U$7:$U$35)</f>
        <v>% de uso</v>
      </c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319">
        <v>1</v>
      </c>
      <c r="O23" s="69"/>
      <c r="P23" s="2">
        <f t="shared" si="0"/>
        <v>1</v>
      </c>
      <c r="Q23" s="2"/>
      <c r="R23" s="2"/>
      <c r="S23" s="2"/>
      <c r="T23" s="2"/>
      <c r="U23" s="2"/>
      <c r="V23" s="2"/>
      <c r="W23" s="2"/>
    </row>
    <row r="24" spans="1:23" ht="15" customHeight="1" x14ac:dyDescent="0.2">
      <c r="A24" s="79" t="s">
        <v>61</v>
      </c>
      <c r="B24" s="6" t="str">
        <f>LOOKUP(A24,'Auxiliar 1'!$T$7:$T$35,'Auxiliar 1'!$U$7:$U$35)</f>
        <v>% de uso</v>
      </c>
      <c r="C24" s="69"/>
      <c r="D24" s="69"/>
      <c r="E24" s="69"/>
      <c r="F24" s="69"/>
      <c r="G24" s="69"/>
      <c r="H24" s="69"/>
      <c r="I24" s="69"/>
      <c r="J24" s="69"/>
      <c r="K24" s="69"/>
      <c r="L24" s="69">
        <v>1</v>
      </c>
      <c r="M24" s="69"/>
      <c r="N24" s="69"/>
      <c r="O24" s="69"/>
      <c r="P24" s="2">
        <f t="shared" si="0"/>
        <v>1</v>
      </c>
      <c r="Q24" s="2"/>
      <c r="R24" s="2"/>
      <c r="S24" s="2"/>
      <c r="T24" s="2"/>
      <c r="U24" s="2"/>
      <c r="V24" s="2"/>
      <c r="W24" s="2"/>
    </row>
    <row r="25" spans="1:23" ht="15" customHeight="1" x14ac:dyDescent="0.2">
      <c r="A25" s="79" t="s">
        <v>77</v>
      </c>
      <c r="B25" s="6" t="str">
        <f>LOOKUP(A25,'Auxiliar 1'!$T$7:$T$35,'Auxiliar 1'!$U$7:$U$35)</f>
        <v>% de uso</v>
      </c>
      <c r="C25" s="69"/>
      <c r="D25" s="69"/>
      <c r="E25" s="69"/>
      <c r="F25" s="69"/>
      <c r="G25" s="69"/>
      <c r="H25" s="69"/>
      <c r="I25" s="69"/>
      <c r="J25" s="69"/>
      <c r="K25" s="69"/>
      <c r="L25" s="69">
        <v>1</v>
      </c>
      <c r="M25" s="69"/>
      <c r="N25" s="69"/>
      <c r="O25" s="69"/>
      <c r="P25" s="2">
        <f t="shared" si="0"/>
        <v>1</v>
      </c>
      <c r="Q25" s="2"/>
      <c r="R25" s="2"/>
      <c r="S25" s="2"/>
      <c r="T25" s="2"/>
      <c r="U25" s="2"/>
      <c r="V25" s="2"/>
      <c r="W25" s="2"/>
    </row>
    <row r="26" spans="1:23" ht="15" customHeight="1" x14ac:dyDescent="0.2">
      <c r="A26" s="79" t="s">
        <v>86</v>
      </c>
      <c r="B26" s="6" t="str">
        <f>LOOKUP(A26,'Auxiliar 1'!$T$7:$T$35,'Auxiliar 1'!$U$7:$U$35)</f>
        <v>% Asignación</v>
      </c>
      <c r="C26" s="69"/>
      <c r="D26" s="69"/>
      <c r="E26" s="319">
        <v>1</v>
      </c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2">
        <f t="shared" si="0"/>
        <v>1</v>
      </c>
      <c r="Q26" s="2"/>
      <c r="R26" s="2"/>
      <c r="S26" s="2"/>
      <c r="T26" s="2"/>
      <c r="U26" s="2"/>
      <c r="V26" s="2"/>
      <c r="W26" s="2"/>
    </row>
    <row r="27" spans="1:23" ht="15" customHeight="1" x14ac:dyDescent="0.2">
      <c r="A27" s="79" t="s">
        <v>88</v>
      </c>
      <c r="B27" s="6" t="str">
        <f>LOOKUP(A27,'Auxiliar 1'!$T$7:$T$35,'Auxiliar 1'!$U$7:$U$35)</f>
        <v>% Asignación</v>
      </c>
      <c r="C27" s="69"/>
      <c r="D27" s="69"/>
      <c r="E27" s="319">
        <v>1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2">
        <f t="shared" si="0"/>
        <v>1</v>
      </c>
      <c r="Q27" s="2"/>
      <c r="R27" s="2"/>
      <c r="S27" s="2"/>
      <c r="T27" s="2"/>
      <c r="U27" s="2"/>
      <c r="V27" s="2"/>
      <c r="W27" s="2"/>
    </row>
    <row r="28" spans="1:23" ht="15" customHeight="1" x14ac:dyDescent="0.2">
      <c r="A28" s="79" t="s">
        <v>91</v>
      </c>
      <c r="B28" s="6" t="str">
        <f>LOOKUP(A28,'Auxiliar 1'!$T$7:$T$35,'Auxiliar 1'!$U$7:$U$35)</f>
        <v>% Asignación</v>
      </c>
      <c r="C28" s="69"/>
      <c r="D28" s="69"/>
      <c r="E28" s="319">
        <v>1</v>
      </c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2">
        <f t="shared" si="0"/>
        <v>1</v>
      </c>
      <c r="Q28" s="2"/>
      <c r="R28" s="2"/>
      <c r="S28" s="2"/>
      <c r="T28" s="2"/>
      <c r="U28" s="2"/>
      <c r="V28" s="2"/>
      <c r="W28" s="2"/>
    </row>
    <row r="29" spans="1:23" ht="15" customHeight="1" x14ac:dyDescent="0.2">
      <c r="A29" s="79" t="s">
        <v>93</v>
      </c>
      <c r="B29" s="6" t="str">
        <f>LOOKUP(A29,'Auxiliar 1'!$T$7:$T$35,'Auxiliar 1'!$U$7:$U$35)</f>
        <v>% Asignación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319">
        <v>1</v>
      </c>
      <c r="N29" s="69"/>
      <c r="O29" s="69"/>
      <c r="P29" s="2">
        <f t="shared" si="0"/>
        <v>1</v>
      </c>
      <c r="Q29" s="2"/>
      <c r="R29" s="2"/>
      <c r="S29" s="2"/>
      <c r="T29" s="2"/>
      <c r="U29" s="2"/>
      <c r="V29" s="2"/>
      <c r="W29" s="2"/>
    </row>
    <row r="30" spans="1:23" ht="15" customHeight="1" x14ac:dyDescent="0.2">
      <c r="A30" s="79" t="s">
        <v>80</v>
      </c>
      <c r="B30" s="6" t="str">
        <f>LOOKUP(A30,'Auxiliar 1'!$T$7:$T$35,'Auxiliar 1'!$U$7:$U$35)</f>
        <v>% de Importancia</v>
      </c>
      <c r="C30" s="319">
        <v>0.05</v>
      </c>
      <c r="D30" s="319">
        <v>0.05</v>
      </c>
      <c r="E30" s="319">
        <v>0.05</v>
      </c>
      <c r="F30" s="319">
        <v>0.05</v>
      </c>
      <c r="G30" s="319">
        <v>0.05</v>
      </c>
      <c r="H30" s="319">
        <v>0.05</v>
      </c>
      <c r="I30" s="319">
        <v>0.1</v>
      </c>
      <c r="J30" s="319">
        <v>0.05</v>
      </c>
      <c r="K30" s="319">
        <v>0.11</v>
      </c>
      <c r="L30" s="319">
        <v>0.11</v>
      </c>
      <c r="M30" s="319">
        <v>0.11</v>
      </c>
      <c r="N30" s="319">
        <v>0.11</v>
      </c>
      <c r="O30" s="319">
        <v>0.11</v>
      </c>
      <c r="P30" s="320">
        <f t="shared" si="0"/>
        <v>1</v>
      </c>
      <c r="Q30" s="2"/>
      <c r="R30" s="2"/>
      <c r="S30" s="2"/>
      <c r="T30" s="2"/>
      <c r="U30" s="2"/>
      <c r="V30" s="2"/>
      <c r="W30" s="2"/>
    </row>
    <row r="31" spans="1:23" ht="15" customHeight="1" x14ac:dyDescent="0.2">
      <c r="A31" s="79" t="s">
        <v>81</v>
      </c>
      <c r="B31" s="6" t="str">
        <f>LOOKUP(A31,'Auxiliar 1'!$T$7:$T$35,'Auxiliar 1'!$U$7:$U$35)</f>
        <v>Flat Parcial</v>
      </c>
      <c r="C31" s="69">
        <v>1</v>
      </c>
      <c r="D31" s="69">
        <v>1</v>
      </c>
      <c r="E31" s="69">
        <v>1</v>
      </c>
      <c r="F31" s="69">
        <v>1</v>
      </c>
      <c r="G31" s="69">
        <v>1</v>
      </c>
      <c r="H31" s="69">
        <v>1</v>
      </c>
      <c r="I31" s="69"/>
      <c r="J31" s="69"/>
      <c r="K31" s="69">
        <v>1</v>
      </c>
      <c r="L31" s="69"/>
      <c r="M31" s="69"/>
      <c r="N31" s="69"/>
      <c r="O31" s="69"/>
      <c r="P31" s="2">
        <f t="shared" si="0"/>
        <v>7</v>
      </c>
      <c r="Q31" s="2"/>
      <c r="R31" s="2"/>
      <c r="S31" s="2"/>
      <c r="T31" s="2"/>
      <c r="U31" s="2"/>
      <c r="V31" s="2"/>
      <c r="W31" s="2"/>
    </row>
    <row r="32" spans="1:23" ht="15" customHeight="1" x14ac:dyDescent="0.2">
      <c r="A32" s="79" t="s">
        <v>82</v>
      </c>
      <c r="B32" s="6" t="str">
        <f>LOOKUP(A32,'Auxiliar 1'!$T$7:$T$35,'Auxiliar 1'!$U$7:$U$35)</f>
        <v>% Asignación</v>
      </c>
      <c r="C32" s="69"/>
      <c r="D32" s="69"/>
      <c r="E32" s="69"/>
      <c r="F32" s="69"/>
      <c r="G32" s="69"/>
      <c r="H32" s="69"/>
      <c r="I32" s="69"/>
      <c r="J32" s="69"/>
      <c r="K32" s="69"/>
      <c r="L32" s="319">
        <v>0.45</v>
      </c>
      <c r="M32" s="69"/>
      <c r="N32" s="319">
        <v>0.55000000000000004</v>
      </c>
      <c r="O32" s="69"/>
      <c r="P32" s="320">
        <f t="shared" si="0"/>
        <v>1</v>
      </c>
      <c r="Q32" s="2"/>
      <c r="R32" s="2"/>
      <c r="S32" s="2"/>
      <c r="T32" s="2"/>
      <c r="U32" s="2"/>
      <c r="V32" s="2"/>
      <c r="W32" s="2"/>
    </row>
    <row r="33" spans="1:23" ht="15" customHeight="1" x14ac:dyDescent="0.2">
      <c r="A33" s="79" t="s">
        <v>83</v>
      </c>
      <c r="B33" s="6" t="str">
        <f>LOOKUP(A33,'Auxiliar 1'!$T$7:$T$35,'Auxiliar 1'!$U$7:$U$35)</f>
        <v>% Asignación</v>
      </c>
      <c r="C33" s="69"/>
      <c r="D33" s="69"/>
      <c r="E33" s="69"/>
      <c r="F33" s="69"/>
      <c r="G33" s="69"/>
      <c r="H33" s="69"/>
      <c r="I33" s="69"/>
      <c r="J33" s="69"/>
      <c r="K33" s="69">
        <v>1</v>
      </c>
      <c r="L33" s="69"/>
      <c r="M33" s="69"/>
      <c r="N33" s="69"/>
      <c r="O33" s="69"/>
      <c r="P33" s="2">
        <f t="shared" si="0"/>
        <v>1</v>
      </c>
      <c r="Q33" s="2"/>
      <c r="R33" s="2"/>
      <c r="S33" s="2"/>
      <c r="T33" s="2"/>
      <c r="U33" s="2"/>
      <c r="V33" s="2"/>
      <c r="W33" s="2"/>
    </row>
    <row r="34" spans="1:23" ht="15" customHeight="1" x14ac:dyDescent="0.2">
      <c r="A34" s="79" t="s">
        <v>95</v>
      </c>
      <c r="B34" s="6" t="str">
        <f>LOOKUP(A34,'Auxiliar 1'!$T$7:$T$35,'Auxiliar 1'!$U$7:$U$35)</f>
        <v>% Asignación</v>
      </c>
      <c r="C34" s="69"/>
      <c r="D34" s="319">
        <v>0.5</v>
      </c>
      <c r="E34" s="69"/>
      <c r="F34" s="142"/>
      <c r="G34" s="69"/>
      <c r="H34" s="69"/>
      <c r="I34" s="69"/>
      <c r="J34" s="69"/>
      <c r="K34" s="69"/>
      <c r="L34" s="69"/>
      <c r="M34" s="69"/>
      <c r="N34" s="69"/>
      <c r="O34" s="319">
        <v>0.5</v>
      </c>
      <c r="P34" s="320">
        <f t="shared" si="0"/>
        <v>1</v>
      </c>
      <c r="Q34" s="2"/>
      <c r="R34" s="2"/>
      <c r="S34" s="2"/>
      <c r="T34" s="2"/>
      <c r="U34" s="2"/>
      <c r="V34" s="2"/>
      <c r="W34" s="2"/>
    </row>
    <row r="35" spans="1:23" s="85" customFormat="1" ht="15" customHeight="1" x14ac:dyDescent="0.2">
      <c r="A35" s="80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</row>
    <row r="36" spans="1:23" ht="15" customHeight="1" x14ac:dyDescent="0.2">
      <c r="A36" s="9"/>
      <c r="B36" s="8"/>
      <c r="C36" s="8"/>
      <c r="D36" s="8"/>
      <c r="E36" s="8"/>
      <c r="F36" s="8"/>
      <c r="G36" s="66"/>
      <c r="H36" s="66"/>
      <c r="I36" s="66"/>
      <c r="J36" s="66"/>
      <c r="K36" s="66"/>
      <c r="L36" s="6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" customHeight="1" x14ac:dyDescent="0.2">
      <c r="A37" s="9"/>
      <c r="B37" s="8"/>
      <c r="C37" s="8"/>
      <c r="D37" s="8"/>
      <c r="E37" s="8"/>
      <c r="F37" s="8"/>
      <c r="G37" s="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" customHeight="1" x14ac:dyDescent="0.2">
      <c r="A38" s="9"/>
      <c r="B38" s="8"/>
      <c r="C38" s="13"/>
      <c r="D38" s="13"/>
      <c r="E38" s="13"/>
      <c r="F38" s="13"/>
      <c r="G38" s="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" customHeight="1" x14ac:dyDescent="0.2">
      <c r="A39" s="2"/>
      <c r="B39" s="4"/>
      <c r="C39" s="504" t="s">
        <v>85</v>
      </c>
      <c r="D39" s="504"/>
      <c r="E39" s="504"/>
      <c r="F39" s="504"/>
      <c r="G39" s="500" t="s">
        <v>50</v>
      </c>
      <c r="H39" s="501"/>
      <c r="I39" s="501"/>
      <c r="J39" s="502"/>
      <c r="K39" s="497" t="s">
        <v>16</v>
      </c>
      <c r="L39" s="498"/>
      <c r="M39" s="498"/>
      <c r="N39" s="498"/>
      <c r="O39" s="499"/>
      <c r="P39" s="505" t="s">
        <v>515</v>
      </c>
      <c r="Q39" s="2"/>
      <c r="R39" s="2"/>
      <c r="S39" s="2"/>
      <c r="T39" s="2"/>
      <c r="U39" s="2"/>
      <c r="V39" s="2"/>
      <c r="W39" s="2"/>
    </row>
    <row r="40" spans="1:23" s="45" customFormat="1" ht="15" customHeight="1" x14ac:dyDescent="0.2">
      <c r="A40" s="506" t="s">
        <v>55</v>
      </c>
      <c r="B40" s="506"/>
      <c r="C40" s="61" t="s">
        <v>108</v>
      </c>
      <c r="D40" s="61" t="s">
        <v>174</v>
      </c>
      <c r="E40" s="61" t="s">
        <v>175</v>
      </c>
      <c r="F40" s="61" t="s">
        <v>210</v>
      </c>
      <c r="G40" s="62" t="s">
        <v>49</v>
      </c>
      <c r="H40" s="62" t="s">
        <v>176</v>
      </c>
      <c r="I40" s="62" t="s">
        <v>177</v>
      </c>
      <c r="J40" s="62" t="s">
        <v>160</v>
      </c>
      <c r="K40" s="63" t="s">
        <v>38</v>
      </c>
      <c r="L40" s="63" t="s">
        <v>37</v>
      </c>
      <c r="M40" s="63" t="s">
        <v>148</v>
      </c>
      <c r="N40" s="63" t="s">
        <v>151</v>
      </c>
      <c r="O40" s="63" t="s">
        <v>518</v>
      </c>
      <c r="P40" s="505"/>
      <c r="Q40" s="64"/>
      <c r="R40" s="64"/>
      <c r="S40" s="64"/>
      <c r="T40" s="64"/>
      <c r="U40" s="64"/>
      <c r="V40" s="64"/>
      <c r="W40" s="64"/>
    </row>
    <row r="41" spans="1:23" ht="15" customHeight="1" x14ac:dyDescent="0.2">
      <c r="A41" s="78" t="s">
        <v>35</v>
      </c>
      <c r="B41" s="6" t="s">
        <v>504</v>
      </c>
      <c r="C41" s="302">
        <f>C6/$P6*$P41</f>
        <v>1500</v>
      </c>
      <c r="D41" s="302">
        <f t="shared" ref="D41:O41" si="1">D6/$P6*$P41</f>
        <v>0</v>
      </c>
      <c r="E41" s="302">
        <f t="shared" si="1"/>
        <v>0</v>
      </c>
      <c r="F41" s="302">
        <f t="shared" si="1"/>
        <v>750</v>
      </c>
      <c r="G41" s="302">
        <f t="shared" si="1"/>
        <v>750</v>
      </c>
      <c r="H41" s="302">
        <f t="shared" si="1"/>
        <v>750</v>
      </c>
      <c r="I41" s="302">
        <f t="shared" si="1"/>
        <v>0</v>
      </c>
      <c r="J41" s="302">
        <f t="shared" si="1"/>
        <v>750</v>
      </c>
      <c r="K41" s="302">
        <f t="shared" si="1"/>
        <v>0</v>
      </c>
      <c r="L41" s="302">
        <f t="shared" si="1"/>
        <v>0</v>
      </c>
      <c r="M41" s="302">
        <f t="shared" si="1"/>
        <v>0</v>
      </c>
      <c r="N41" s="302">
        <f t="shared" si="1"/>
        <v>0</v>
      </c>
      <c r="O41" s="378">
        <f t="shared" si="1"/>
        <v>0</v>
      </c>
      <c r="P41" s="141">
        <v>4500</v>
      </c>
      <c r="Q41" s="2"/>
      <c r="R41" s="2"/>
      <c r="S41" s="2"/>
      <c r="T41" s="2"/>
      <c r="U41" s="2"/>
      <c r="V41" s="2"/>
      <c r="W41" s="2"/>
    </row>
    <row r="42" spans="1:23" ht="15" customHeight="1" x14ac:dyDescent="0.2">
      <c r="A42" s="78" t="s">
        <v>29</v>
      </c>
      <c r="B42" s="6" t="s">
        <v>505</v>
      </c>
      <c r="C42" s="302">
        <f t="shared" ref="C42:O42" si="2">C7/$P7*$P42</f>
        <v>0</v>
      </c>
      <c r="D42" s="302">
        <f t="shared" si="2"/>
        <v>450</v>
      </c>
      <c r="E42" s="302">
        <f t="shared" si="2"/>
        <v>900</v>
      </c>
      <c r="F42" s="302">
        <f t="shared" si="2"/>
        <v>0</v>
      </c>
      <c r="G42" s="302">
        <f t="shared" si="2"/>
        <v>0</v>
      </c>
      <c r="H42" s="302">
        <f t="shared" si="2"/>
        <v>0</v>
      </c>
      <c r="I42" s="302">
        <f t="shared" si="2"/>
        <v>0</v>
      </c>
      <c r="J42" s="302">
        <f t="shared" si="2"/>
        <v>900</v>
      </c>
      <c r="K42" s="302">
        <f t="shared" si="2"/>
        <v>0</v>
      </c>
      <c r="L42" s="302">
        <f t="shared" si="2"/>
        <v>0</v>
      </c>
      <c r="M42" s="302">
        <f t="shared" si="2"/>
        <v>0</v>
      </c>
      <c r="N42" s="302">
        <f t="shared" si="2"/>
        <v>0</v>
      </c>
      <c r="O42" s="378">
        <f t="shared" si="2"/>
        <v>1800</v>
      </c>
      <c r="P42" s="141">
        <v>4050</v>
      </c>
      <c r="Q42" s="2"/>
      <c r="R42" s="2"/>
      <c r="S42" s="2"/>
      <c r="T42" s="2"/>
      <c r="U42" s="2"/>
      <c r="V42" s="2"/>
      <c r="W42" s="2"/>
    </row>
    <row r="43" spans="1:23" ht="15" customHeight="1" x14ac:dyDescent="0.2">
      <c r="A43" s="78" t="s">
        <v>28</v>
      </c>
      <c r="B43" s="6" t="s">
        <v>485</v>
      </c>
      <c r="C43" s="302">
        <f t="shared" ref="C43:O43" si="3">C8/$P8*$P43</f>
        <v>0</v>
      </c>
      <c r="D43" s="302">
        <f t="shared" si="3"/>
        <v>0</v>
      </c>
      <c r="E43" s="302">
        <f t="shared" si="3"/>
        <v>0</v>
      </c>
      <c r="F43" s="302">
        <f t="shared" si="3"/>
        <v>0</v>
      </c>
      <c r="G43" s="302">
        <f t="shared" si="3"/>
        <v>0</v>
      </c>
      <c r="H43" s="302">
        <f t="shared" si="3"/>
        <v>0</v>
      </c>
      <c r="I43" s="302">
        <f t="shared" si="3"/>
        <v>3300</v>
      </c>
      <c r="J43" s="302">
        <f t="shared" si="3"/>
        <v>0</v>
      </c>
      <c r="K43" s="302">
        <f t="shared" si="3"/>
        <v>0</v>
      </c>
      <c r="L43" s="302">
        <f t="shared" si="3"/>
        <v>0</v>
      </c>
      <c r="M43" s="302">
        <f t="shared" si="3"/>
        <v>0</v>
      </c>
      <c r="N43" s="302">
        <f t="shared" si="3"/>
        <v>0</v>
      </c>
      <c r="O43" s="378">
        <f t="shared" si="3"/>
        <v>0</v>
      </c>
      <c r="P43" s="141">
        <v>3300</v>
      </c>
      <c r="Q43" s="2"/>
      <c r="R43" s="2"/>
      <c r="S43" s="2"/>
      <c r="T43" s="2"/>
      <c r="U43" s="2"/>
      <c r="V43" s="2"/>
      <c r="W43" s="2"/>
    </row>
    <row r="44" spans="1:23" ht="15" customHeight="1" x14ac:dyDescent="0.2">
      <c r="A44" s="78" t="s">
        <v>27</v>
      </c>
      <c r="B44" s="6" t="s">
        <v>167</v>
      </c>
      <c r="C44" s="302">
        <f t="shared" ref="C44:O44" si="4">C9/$P9*$P44</f>
        <v>0</v>
      </c>
      <c r="D44" s="302">
        <f t="shared" si="4"/>
        <v>0</v>
      </c>
      <c r="E44" s="302">
        <f t="shared" si="4"/>
        <v>0</v>
      </c>
      <c r="F44" s="302">
        <f t="shared" si="4"/>
        <v>0</v>
      </c>
      <c r="G44" s="302">
        <f t="shared" si="4"/>
        <v>0</v>
      </c>
      <c r="H44" s="302">
        <f t="shared" si="4"/>
        <v>0</v>
      </c>
      <c r="I44" s="302">
        <f t="shared" si="4"/>
        <v>0</v>
      </c>
      <c r="J44" s="302">
        <f t="shared" si="4"/>
        <v>0</v>
      </c>
      <c r="K44" s="302">
        <f t="shared" si="4"/>
        <v>0</v>
      </c>
      <c r="L44" s="302">
        <f t="shared" si="4"/>
        <v>6</v>
      </c>
      <c r="M44" s="302">
        <f t="shared" si="4"/>
        <v>0</v>
      </c>
      <c r="N44" s="302">
        <f t="shared" si="4"/>
        <v>0</v>
      </c>
      <c r="O44" s="378">
        <f t="shared" si="4"/>
        <v>0</v>
      </c>
      <c r="P44" s="141">
        <v>6</v>
      </c>
      <c r="Q44" s="2"/>
      <c r="R44" s="2"/>
      <c r="S44" s="2"/>
      <c r="T44" s="2"/>
      <c r="U44" s="2"/>
      <c r="V44" s="2"/>
      <c r="W44" s="2"/>
    </row>
    <row r="45" spans="1:23" ht="15" customHeight="1" x14ac:dyDescent="0.2">
      <c r="A45" s="78" t="s">
        <v>26</v>
      </c>
      <c r="B45" s="6" t="s">
        <v>169</v>
      </c>
      <c r="C45" s="302">
        <f t="shared" ref="C45:O45" si="5">C10/$P10*$P45</f>
        <v>0</v>
      </c>
      <c r="D45" s="302">
        <f t="shared" si="5"/>
        <v>0</v>
      </c>
      <c r="E45" s="302">
        <f t="shared" si="5"/>
        <v>0</v>
      </c>
      <c r="F45" s="302">
        <f t="shared" si="5"/>
        <v>0</v>
      </c>
      <c r="G45" s="302">
        <f t="shared" si="5"/>
        <v>0</v>
      </c>
      <c r="H45" s="302">
        <f t="shared" si="5"/>
        <v>0</v>
      </c>
      <c r="I45" s="302">
        <f t="shared" si="5"/>
        <v>0</v>
      </c>
      <c r="J45" s="302">
        <f t="shared" si="5"/>
        <v>0</v>
      </c>
      <c r="K45" s="302">
        <f t="shared" si="5"/>
        <v>0</v>
      </c>
      <c r="L45" s="302">
        <f t="shared" si="5"/>
        <v>8.4375</v>
      </c>
      <c r="M45" s="302">
        <f t="shared" si="5"/>
        <v>21.09375</v>
      </c>
      <c r="N45" s="302">
        <f t="shared" si="5"/>
        <v>4.21875</v>
      </c>
      <c r="O45" s="378">
        <f t="shared" si="5"/>
        <v>0</v>
      </c>
      <c r="P45" s="141">
        <v>33.75</v>
      </c>
      <c r="Q45" s="2"/>
      <c r="R45" s="2"/>
      <c r="S45" s="2"/>
      <c r="T45" s="2"/>
      <c r="U45" s="2"/>
      <c r="V45" s="2"/>
      <c r="W45" s="2"/>
    </row>
    <row r="46" spans="1:23" ht="15" customHeight="1" x14ac:dyDescent="0.2">
      <c r="A46" s="78" t="s">
        <v>25</v>
      </c>
      <c r="B46" s="6" t="s">
        <v>170</v>
      </c>
      <c r="C46" s="302">
        <f t="shared" ref="C46:O46" si="6">C11/$P11*$P46</f>
        <v>28.125</v>
      </c>
      <c r="D46" s="302">
        <f t="shared" si="6"/>
        <v>28.125</v>
      </c>
      <c r="E46" s="302">
        <f t="shared" si="6"/>
        <v>56.25</v>
      </c>
      <c r="F46" s="302">
        <f t="shared" si="6"/>
        <v>28.125</v>
      </c>
      <c r="G46" s="302">
        <f t="shared" si="6"/>
        <v>28.125</v>
      </c>
      <c r="H46" s="302">
        <f t="shared" si="6"/>
        <v>28.125</v>
      </c>
      <c r="I46" s="302">
        <f t="shared" si="6"/>
        <v>0</v>
      </c>
      <c r="J46" s="302">
        <f t="shared" si="6"/>
        <v>0</v>
      </c>
      <c r="K46" s="302">
        <f t="shared" si="6"/>
        <v>84.375</v>
      </c>
      <c r="L46" s="302">
        <f t="shared" si="6"/>
        <v>0</v>
      </c>
      <c r="M46" s="302">
        <f t="shared" si="6"/>
        <v>0</v>
      </c>
      <c r="N46" s="302">
        <f t="shared" si="6"/>
        <v>0</v>
      </c>
      <c r="O46" s="378">
        <f t="shared" si="6"/>
        <v>0</v>
      </c>
      <c r="P46" s="141">
        <v>281.25</v>
      </c>
      <c r="Q46" s="2"/>
      <c r="R46" s="2"/>
      <c r="S46" s="2"/>
      <c r="T46" s="2"/>
      <c r="U46" s="2"/>
      <c r="V46" s="2"/>
      <c r="W46" s="2"/>
    </row>
    <row r="47" spans="1:23" ht="15" customHeight="1" x14ac:dyDescent="0.2">
      <c r="A47" s="78" t="s">
        <v>24</v>
      </c>
      <c r="B47" s="6" t="s">
        <v>171</v>
      </c>
      <c r="C47" s="302">
        <f t="shared" ref="C47:O47" si="7">C12/$P12*$P47</f>
        <v>0</v>
      </c>
      <c r="D47" s="302">
        <f t="shared" si="7"/>
        <v>0</v>
      </c>
      <c r="E47" s="302">
        <f t="shared" si="7"/>
        <v>0</v>
      </c>
      <c r="F47" s="302">
        <f t="shared" si="7"/>
        <v>0</v>
      </c>
      <c r="G47" s="302">
        <f t="shared" si="7"/>
        <v>0</v>
      </c>
      <c r="H47" s="302">
        <f t="shared" si="7"/>
        <v>0</v>
      </c>
      <c r="I47" s="302">
        <f t="shared" si="7"/>
        <v>0</v>
      </c>
      <c r="J47" s="302">
        <f t="shared" si="7"/>
        <v>0</v>
      </c>
      <c r="K47" s="302">
        <f t="shared" si="7"/>
        <v>0</v>
      </c>
      <c r="L47" s="302">
        <f t="shared" si="7"/>
        <v>150.03000000000003</v>
      </c>
      <c r="M47" s="302">
        <f t="shared" si="7"/>
        <v>0</v>
      </c>
      <c r="N47" s="302">
        <f t="shared" si="7"/>
        <v>0</v>
      </c>
      <c r="O47" s="378">
        <f t="shared" si="7"/>
        <v>0</v>
      </c>
      <c r="P47" s="141">
        <v>150.03000000000003</v>
      </c>
      <c r="Q47" s="2"/>
      <c r="R47" s="2"/>
      <c r="S47" s="2"/>
      <c r="T47" s="2"/>
      <c r="U47" s="2"/>
      <c r="V47" s="2"/>
      <c r="W47" s="2"/>
    </row>
    <row r="48" spans="1:23" ht="15" customHeight="1" x14ac:dyDescent="0.2">
      <c r="A48" s="78" t="s">
        <v>23</v>
      </c>
      <c r="B48" s="6" t="s">
        <v>172</v>
      </c>
      <c r="C48" s="302">
        <f t="shared" ref="C48:O48" si="8">C13/$P13*$P48</f>
        <v>0</v>
      </c>
      <c r="D48" s="302">
        <f t="shared" si="8"/>
        <v>0</v>
      </c>
      <c r="E48" s="302">
        <f t="shared" si="8"/>
        <v>0</v>
      </c>
      <c r="F48" s="302">
        <f t="shared" si="8"/>
        <v>0</v>
      </c>
      <c r="G48" s="302">
        <f t="shared" si="8"/>
        <v>0</v>
      </c>
      <c r="H48" s="302">
        <f t="shared" si="8"/>
        <v>0</v>
      </c>
      <c r="I48" s="302">
        <f t="shared" si="8"/>
        <v>0</v>
      </c>
      <c r="J48" s="302">
        <f t="shared" si="8"/>
        <v>0</v>
      </c>
      <c r="K48" s="302">
        <f t="shared" si="8"/>
        <v>0</v>
      </c>
      <c r="L48" s="302">
        <f t="shared" si="8"/>
        <v>23.975999999999999</v>
      </c>
      <c r="M48" s="302">
        <f t="shared" si="8"/>
        <v>0</v>
      </c>
      <c r="N48" s="302">
        <f t="shared" si="8"/>
        <v>5.9939999999999998</v>
      </c>
      <c r="O48" s="378">
        <f t="shared" si="8"/>
        <v>0</v>
      </c>
      <c r="P48" s="141">
        <v>29.97</v>
      </c>
      <c r="Q48" s="2"/>
      <c r="R48" s="2"/>
      <c r="S48" s="2"/>
      <c r="T48" s="2"/>
      <c r="U48" s="2"/>
      <c r="V48" s="2"/>
      <c r="W48" s="2"/>
    </row>
    <row r="49" spans="1:23" ht="15" customHeight="1" x14ac:dyDescent="0.2">
      <c r="A49" s="78" t="s">
        <v>22</v>
      </c>
      <c r="B49" s="6" t="s">
        <v>487</v>
      </c>
      <c r="C49" s="302">
        <f t="shared" ref="C49:O49" si="9">C14/$P14*$P49</f>
        <v>0</v>
      </c>
      <c r="D49" s="302">
        <f t="shared" si="9"/>
        <v>0</v>
      </c>
      <c r="E49" s="302">
        <f t="shared" si="9"/>
        <v>0</v>
      </c>
      <c r="F49" s="302">
        <f t="shared" si="9"/>
        <v>0</v>
      </c>
      <c r="G49" s="302">
        <f t="shared" si="9"/>
        <v>0</v>
      </c>
      <c r="H49" s="302">
        <f t="shared" si="9"/>
        <v>0</v>
      </c>
      <c r="I49" s="302">
        <f t="shared" si="9"/>
        <v>0</v>
      </c>
      <c r="J49" s="302">
        <f t="shared" si="9"/>
        <v>0</v>
      </c>
      <c r="K49" s="302">
        <f t="shared" si="9"/>
        <v>0</v>
      </c>
      <c r="L49" s="302">
        <f t="shared" si="9"/>
        <v>150</v>
      </c>
      <c r="M49" s="302">
        <f t="shared" si="9"/>
        <v>0</v>
      </c>
      <c r="N49" s="302">
        <f t="shared" si="9"/>
        <v>0</v>
      </c>
      <c r="O49" s="378">
        <f t="shared" si="9"/>
        <v>0</v>
      </c>
      <c r="P49" s="141">
        <v>150</v>
      </c>
      <c r="Q49" s="2"/>
      <c r="R49" s="2"/>
      <c r="S49" s="2"/>
      <c r="T49" s="2"/>
      <c r="U49" s="2"/>
      <c r="V49" s="2"/>
      <c r="W49" s="2"/>
    </row>
    <row r="50" spans="1:23" ht="15" customHeight="1" x14ac:dyDescent="0.2">
      <c r="A50" s="78" t="s">
        <v>32</v>
      </c>
      <c r="B50" s="6" t="s">
        <v>104</v>
      </c>
      <c r="C50" s="302">
        <f t="shared" ref="C50:O50" si="10">C15/$P15*$P50</f>
        <v>21.81818181818182</v>
      </c>
      <c r="D50" s="302">
        <f t="shared" si="10"/>
        <v>21.81818181818182</v>
      </c>
      <c r="E50" s="302">
        <f t="shared" si="10"/>
        <v>43.63636363636364</v>
      </c>
      <c r="F50" s="302">
        <f t="shared" si="10"/>
        <v>43.63636363636364</v>
      </c>
      <c r="G50" s="302">
        <f t="shared" si="10"/>
        <v>43.63636363636364</v>
      </c>
      <c r="H50" s="302">
        <f t="shared" si="10"/>
        <v>43.63636363636364</v>
      </c>
      <c r="I50" s="302">
        <f t="shared" si="10"/>
        <v>21.81818181818182</v>
      </c>
      <c r="J50" s="302">
        <f t="shared" si="10"/>
        <v>43.63636363636364</v>
      </c>
      <c r="K50" s="302">
        <f t="shared" si="10"/>
        <v>87.27272727272728</v>
      </c>
      <c r="L50" s="302">
        <f t="shared" si="10"/>
        <v>218.18181818181819</v>
      </c>
      <c r="M50" s="302">
        <f t="shared" si="10"/>
        <v>43.63636363636364</v>
      </c>
      <c r="N50" s="302">
        <f t="shared" si="10"/>
        <v>43.63636363636364</v>
      </c>
      <c r="O50" s="378">
        <f t="shared" si="10"/>
        <v>43.63636363636364</v>
      </c>
      <c r="P50" s="141">
        <v>720</v>
      </c>
      <c r="Q50" s="2"/>
      <c r="R50" s="2"/>
      <c r="S50" s="2"/>
      <c r="T50" s="2"/>
      <c r="U50" s="2"/>
      <c r="V50" s="2"/>
      <c r="W50" s="2"/>
    </row>
    <row r="51" spans="1:23" ht="15" customHeight="1" x14ac:dyDescent="0.2">
      <c r="A51" s="78" t="s">
        <v>30</v>
      </c>
      <c r="B51" s="6" t="s">
        <v>53</v>
      </c>
      <c r="C51" s="302">
        <f t="shared" ref="C51:O51" si="11">C16/$P16*$P51</f>
        <v>32.142857142857139</v>
      </c>
      <c r="D51" s="302">
        <f t="shared" si="11"/>
        <v>32.142857142857139</v>
      </c>
      <c r="E51" s="302">
        <f t="shared" si="11"/>
        <v>32.142857142857139</v>
      </c>
      <c r="F51" s="302">
        <f t="shared" si="11"/>
        <v>32.142857142857139</v>
      </c>
      <c r="G51" s="302">
        <f t="shared" si="11"/>
        <v>32.142857142857139</v>
      </c>
      <c r="H51" s="302">
        <f t="shared" si="11"/>
        <v>32.142857142857139</v>
      </c>
      <c r="I51" s="302">
        <f t="shared" si="11"/>
        <v>32.142857142857139</v>
      </c>
      <c r="J51" s="302">
        <f t="shared" si="11"/>
        <v>64.285714285714278</v>
      </c>
      <c r="K51" s="302">
        <f t="shared" si="11"/>
        <v>32.142857142857139</v>
      </c>
      <c r="L51" s="302">
        <f t="shared" si="11"/>
        <v>32.142857142857139</v>
      </c>
      <c r="M51" s="302">
        <f t="shared" si="11"/>
        <v>32.142857142857139</v>
      </c>
      <c r="N51" s="302">
        <f t="shared" si="11"/>
        <v>32.142857142857139</v>
      </c>
      <c r="O51" s="378">
        <f t="shared" si="11"/>
        <v>32.142857142857139</v>
      </c>
      <c r="P51" s="141">
        <v>450</v>
      </c>
      <c r="Q51" s="2"/>
      <c r="R51" s="2"/>
      <c r="S51" s="2"/>
      <c r="T51" s="2"/>
      <c r="U51" s="2"/>
      <c r="V51" s="2"/>
      <c r="W51" s="2"/>
    </row>
    <row r="52" spans="1:23" ht="15" customHeight="1" x14ac:dyDescent="0.2">
      <c r="A52" s="78" t="s">
        <v>31</v>
      </c>
      <c r="B52" s="6" t="s">
        <v>105</v>
      </c>
      <c r="C52" s="302">
        <f t="shared" ref="C52:O52" si="12">C17/$P17*$P52</f>
        <v>85.714285714285708</v>
      </c>
      <c r="D52" s="302">
        <f t="shared" si="12"/>
        <v>85.714285714285708</v>
      </c>
      <c r="E52" s="302">
        <f t="shared" si="12"/>
        <v>85.714285714285708</v>
      </c>
      <c r="F52" s="302">
        <f t="shared" si="12"/>
        <v>85.714285714285708</v>
      </c>
      <c r="G52" s="302">
        <f t="shared" si="12"/>
        <v>0</v>
      </c>
      <c r="H52" s="302">
        <f t="shared" si="12"/>
        <v>0</v>
      </c>
      <c r="I52" s="302">
        <f t="shared" si="12"/>
        <v>0</v>
      </c>
      <c r="J52" s="302">
        <f t="shared" si="12"/>
        <v>171.42857142857142</v>
      </c>
      <c r="K52" s="302">
        <f t="shared" si="12"/>
        <v>0</v>
      </c>
      <c r="L52" s="302">
        <f t="shared" si="12"/>
        <v>0</v>
      </c>
      <c r="M52" s="302">
        <f t="shared" si="12"/>
        <v>0</v>
      </c>
      <c r="N52" s="302">
        <f t="shared" si="12"/>
        <v>0</v>
      </c>
      <c r="O52" s="378">
        <f t="shared" si="12"/>
        <v>85.714285714285708</v>
      </c>
      <c r="P52" s="141">
        <v>600</v>
      </c>
      <c r="Q52" s="2"/>
      <c r="R52" s="2"/>
      <c r="S52" s="2"/>
      <c r="T52" s="2"/>
      <c r="U52" s="2"/>
      <c r="V52" s="2"/>
      <c r="W52" s="2"/>
    </row>
    <row r="53" spans="1:23" ht="15" customHeight="1" x14ac:dyDescent="0.2">
      <c r="A53" s="78" t="s">
        <v>11</v>
      </c>
      <c r="B53" s="6" t="s">
        <v>89</v>
      </c>
      <c r="C53" s="302">
        <f t="shared" ref="C53:O53" si="13">C18/$P18*$P53</f>
        <v>64.285714285714278</v>
      </c>
      <c r="D53" s="302">
        <f t="shared" si="13"/>
        <v>64.285714285714278</v>
      </c>
      <c r="E53" s="302">
        <f t="shared" si="13"/>
        <v>64.285714285714278</v>
      </c>
      <c r="F53" s="302">
        <f t="shared" si="13"/>
        <v>64.285714285714278</v>
      </c>
      <c r="G53" s="302">
        <f t="shared" si="13"/>
        <v>64.285714285714278</v>
      </c>
      <c r="H53" s="302">
        <f t="shared" si="13"/>
        <v>64.285714285714278</v>
      </c>
      <c r="I53" s="302">
        <f t="shared" si="13"/>
        <v>0</v>
      </c>
      <c r="J53" s="302">
        <f t="shared" si="13"/>
        <v>0</v>
      </c>
      <c r="K53" s="302">
        <f t="shared" si="13"/>
        <v>64.285714285714278</v>
      </c>
      <c r="L53" s="302">
        <f t="shared" si="13"/>
        <v>0</v>
      </c>
      <c r="M53" s="302">
        <f t="shared" si="13"/>
        <v>0</v>
      </c>
      <c r="N53" s="302">
        <f t="shared" si="13"/>
        <v>0</v>
      </c>
      <c r="O53" s="378">
        <f t="shared" si="13"/>
        <v>0</v>
      </c>
      <c r="P53" s="141">
        <v>450</v>
      </c>
      <c r="Q53" s="2"/>
      <c r="R53" s="2"/>
      <c r="S53" s="2"/>
      <c r="T53" s="2"/>
      <c r="U53" s="2"/>
      <c r="V53" s="2"/>
      <c r="W53" s="2"/>
    </row>
    <row r="54" spans="1:23" ht="15" customHeight="1" x14ac:dyDescent="0.2">
      <c r="A54" s="78" t="s">
        <v>10</v>
      </c>
      <c r="B54" s="6" t="s">
        <v>488</v>
      </c>
      <c r="C54" s="302">
        <f t="shared" ref="C54:O54" si="14">C19/$P19*$P54</f>
        <v>0</v>
      </c>
      <c r="D54" s="302">
        <f t="shared" si="14"/>
        <v>0</v>
      </c>
      <c r="E54" s="302">
        <f t="shared" si="14"/>
        <v>0</v>
      </c>
      <c r="F54" s="302">
        <f t="shared" si="14"/>
        <v>0</v>
      </c>
      <c r="G54" s="302">
        <f t="shared" si="14"/>
        <v>0</v>
      </c>
      <c r="H54" s="302">
        <f t="shared" si="14"/>
        <v>0</v>
      </c>
      <c r="I54" s="302">
        <f t="shared" si="14"/>
        <v>0</v>
      </c>
      <c r="J54" s="302">
        <f t="shared" si="14"/>
        <v>320</v>
      </c>
      <c r="K54" s="302">
        <f t="shared" si="14"/>
        <v>0</v>
      </c>
      <c r="L54" s="302">
        <f t="shared" si="14"/>
        <v>0</v>
      </c>
      <c r="M54" s="302">
        <f t="shared" si="14"/>
        <v>0</v>
      </c>
      <c r="N54" s="302">
        <f t="shared" si="14"/>
        <v>0</v>
      </c>
      <c r="O54" s="378">
        <f t="shared" si="14"/>
        <v>0</v>
      </c>
      <c r="P54" s="141">
        <v>320</v>
      </c>
      <c r="Q54" s="2"/>
      <c r="R54" s="2"/>
      <c r="S54" s="2"/>
      <c r="T54" s="2"/>
      <c r="U54" s="2"/>
      <c r="V54" s="2"/>
      <c r="W54" s="2"/>
    </row>
    <row r="55" spans="1:23" ht="15" customHeight="1" x14ac:dyDescent="0.2">
      <c r="A55" s="78" t="s">
        <v>13</v>
      </c>
      <c r="B55" s="6" t="s">
        <v>489</v>
      </c>
      <c r="C55" s="302">
        <f t="shared" ref="C55:O55" si="15">C20/$P20*$P55</f>
        <v>0</v>
      </c>
      <c r="D55" s="302">
        <f t="shared" si="15"/>
        <v>0</v>
      </c>
      <c r="E55" s="302">
        <f t="shared" si="15"/>
        <v>0</v>
      </c>
      <c r="F55" s="302">
        <f t="shared" si="15"/>
        <v>0</v>
      </c>
      <c r="G55" s="302">
        <f t="shared" si="15"/>
        <v>0</v>
      </c>
      <c r="H55" s="302">
        <f t="shared" si="15"/>
        <v>0</v>
      </c>
      <c r="I55" s="302">
        <f t="shared" si="15"/>
        <v>0</v>
      </c>
      <c r="J55" s="302">
        <f t="shared" si="15"/>
        <v>480</v>
      </c>
      <c r="K55" s="302">
        <f t="shared" si="15"/>
        <v>0</v>
      </c>
      <c r="L55" s="302">
        <f t="shared" si="15"/>
        <v>0</v>
      </c>
      <c r="M55" s="302">
        <f t="shared" si="15"/>
        <v>0</v>
      </c>
      <c r="N55" s="302">
        <f t="shared" si="15"/>
        <v>0</v>
      </c>
      <c r="O55" s="378">
        <f t="shared" si="15"/>
        <v>0</v>
      </c>
      <c r="P55" s="141">
        <v>480</v>
      </c>
      <c r="Q55" s="2"/>
      <c r="R55" s="2"/>
      <c r="S55" s="2"/>
      <c r="T55" s="2"/>
      <c r="U55" s="2"/>
      <c r="V55" s="2"/>
      <c r="W55" s="2"/>
    </row>
    <row r="56" spans="1:23" ht="15" customHeight="1" x14ac:dyDescent="0.2">
      <c r="A56" s="78" t="s">
        <v>12</v>
      </c>
      <c r="B56" s="6" t="s">
        <v>490</v>
      </c>
      <c r="C56" s="302">
        <f t="shared" ref="C56:O56" si="16">C21/$P21*$P56</f>
        <v>0</v>
      </c>
      <c r="D56" s="302">
        <f t="shared" si="16"/>
        <v>0</v>
      </c>
      <c r="E56" s="302">
        <f t="shared" si="16"/>
        <v>0</v>
      </c>
      <c r="F56" s="302">
        <f t="shared" si="16"/>
        <v>0</v>
      </c>
      <c r="G56" s="302">
        <f t="shared" si="16"/>
        <v>0</v>
      </c>
      <c r="H56" s="302">
        <f t="shared" si="16"/>
        <v>0</v>
      </c>
      <c r="I56" s="302">
        <f t="shared" si="16"/>
        <v>0</v>
      </c>
      <c r="J56" s="302">
        <f t="shared" si="16"/>
        <v>0</v>
      </c>
      <c r="K56" s="302">
        <f t="shared" si="16"/>
        <v>0</v>
      </c>
      <c r="L56" s="302">
        <f t="shared" si="16"/>
        <v>0</v>
      </c>
      <c r="M56" s="302">
        <f t="shared" si="16"/>
        <v>0</v>
      </c>
      <c r="N56" s="302">
        <f t="shared" si="16"/>
        <v>0</v>
      </c>
      <c r="O56" s="378">
        <f t="shared" si="16"/>
        <v>160</v>
      </c>
      <c r="P56" s="141">
        <v>160</v>
      </c>
      <c r="Q56" s="2"/>
      <c r="R56" s="2"/>
      <c r="S56" s="2"/>
      <c r="T56" s="2"/>
      <c r="U56" s="2"/>
      <c r="V56" s="2"/>
      <c r="W56" s="2"/>
    </row>
    <row r="57" spans="1:23" ht="15" customHeight="1" x14ac:dyDescent="0.2">
      <c r="A57" s="78" t="s">
        <v>15</v>
      </c>
      <c r="B57" s="6" t="s">
        <v>491</v>
      </c>
      <c r="C57" s="302">
        <f t="shared" ref="C57:O57" si="17">C22/$P22*$P57</f>
        <v>0</v>
      </c>
      <c r="D57" s="302">
        <f t="shared" si="17"/>
        <v>0</v>
      </c>
      <c r="E57" s="302">
        <f t="shared" si="17"/>
        <v>0</v>
      </c>
      <c r="F57" s="302">
        <f t="shared" si="17"/>
        <v>0</v>
      </c>
      <c r="G57" s="302">
        <f t="shared" si="17"/>
        <v>0</v>
      </c>
      <c r="H57" s="302">
        <f t="shared" si="17"/>
        <v>0</v>
      </c>
      <c r="I57" s="302">
        <f t="shared" si="17"/>
        <v>0</v>
      </c>
      <c r="J57" s="302">
        <f t="shared" si="17"/>
        <v>0</v>
      </c>
      <c r="K57" s="302">
        <f t="shared" si="17"/>
        <v>0</v>
      </c>
      <c r="L57" s="302">
        <f t="shared" si="17"/>
        <v>0</v>
      </c>
      <c r="M57" s="302">
        <f t="shared" si="17"/>
        <v>0</v>
      </c>
      <c r="N57" s="302">
        <f t="shared" si="17"/>
        <v>0</v>
      </c>
      <c r="O57" s="378">
        <f t="shared" si="17"/>
        <v>160</v>
      </c>
      <c r="P57" s="141">
        <v>160</v>
      </c>
      <c r="Q57" s="2"/>
      <c r="R57" s="2"/>
      <c r="S57" s="2"/>
      <c r="T57" s="2"/>
      <c r="U57" s="2"/>
      <c r="V57" s="2"/>
      <c r="W57" s="2"/>
    </row>
    <row r="58" spans="1:23" ht="15" customHeight="1" x14ac:dyDescent="0.2">
      <c r="A58" s="78" t="s">
        <v>14</v>
      </c>
      <c r="B58" s="6" t="s">
        <v>493</v>
      </c>
      <c r="C58" s="302">
        <f t="shared" ref="C58:O58" si="18">C23/$P23*$P58</f>
        <v>0</v>
      </c>
      <c r="D58" s="302">
        <f t="shared" si="18"/>
        <v>0</v>
      </c>
      <c r="E58" s="302">
        <f t="shared" si="18"/>
        <v>0</v>
      </c>
      <c r="F58" s="302">
        <f t="shared" si="18"/>
        <v>0</v>
      </c>
      <c r="G58" s="302">
        <f t="shared" si="18"/>
        <v>0</v>
      </c>
      <c r="H58" s="302">
        <f t="shared" si="18"/>
        <v>0</v>
      </c>
      <c r="I58" s="302">
        <f t="shared" si="18"/>
        <v>0</v>
      </c>
      <c r="J58" s="302">
        <f t="shared" si="18"/>
        <v>0</v>
      </c>
      <c r="K58" s="302">
        <f t="shared" si="18"/>
        <v>0</v>
      </c>
      <c r="L58" s="302">
        <f t="shared" si="18"/>
        <v>0</v>
      </c>
      <c r="M58" s="302">
        <f t="shared" si="18"/>
        <v>0</v>
      </c>
      <c r="N58" s="302">
        <f t="shared" si="18"/>
        <v>40</v>
      </c>
      <c r="O58" s="378">
        <f t="shared" si="18"/>
        <v>0</v>
      </c>
      <c r="P58" s="141">
        <v>40</v>
      </c>
      <c r="Q58" s="2"/>
      <c r="R58" s="2"/>
      <c r="S58" s="2"/>
      <c r="T58" s="2"/>
      <c r="U58" s="2"/>
      <c r="V58" s="2"/>
      <c r="W58" s="2"/>
    </row>
    <row r="59" spans="1:23" ht="15" customHeight="1" x14ac:dyDescent="0.2">
      <c r="A59" s="78" t="s">
        <v>17</v>
      </c>
      <c r="B59" s="6" t="s">
        <v>494</v>
      </c>
      <c r="C59" s="302">
        <f t="shared" ref="C59:O59" si="19">C24/$P24*$P59</f>
        <v>0</v>
      </c>
      <c r="D59" s="302">
        <f t="shared" si="19"/>
        <v>0</v>
      </c>
      <c r="E59" s="302">
        <f t="shared" si="19"/>
        <v>0</v>
      </c>
      <c r="F59" s="302">
        <f t="shared" si="19"/>
        <v>0</v>
      </c>
      <c r="G59" s="302">
        <f t="shared" si="19"/>
        <v>0</v>
      </c>
      <c r="H59" s="302">
        <f t="shared" si="19"/>
        <v>0</v>
      </c>
      <c r="I59" s="302">
        <f t="shared" si="19"/>
        <v>0</v>
      </c>
      <c r="J59" s="302">
        <f t="shared" si="19"/>
        <v>0</v>
      </c>
      <c r="K59" s="302">
        <f t="shared" si="19"/>
        <v>0</v>
      </c>
      <c r="L59" s="302">
        <f t="shared" si="19"/>
        <v>40</v>
      </c>
      <c r="M59" s="302">
        <f t="shared" si="19"/>
        <v>0</v>
      </c>
      <c r="N59" s="302">
        <f t="shared" si="19"/>
        <v>0</v>
      </c>
      <c r="O59" s="378">
        <f t="shared" si="19"/>
        <v>0</v>
      </c>
      <c r="P59" s="141">
        <v>40</v>
      </c>
      <c r="Q59" s="2"/>
      <c r="R59" s="2"/>
      <c r="S59" s="2"/>
      <c r="T59" s="2"/>
      <c r="U59" s="2"/>
      <c r="V59" s="2"/>
      <c r="W59" s="2"/>
    </row>
    <row r="60" spans="1:23" ht="15" customHeight="1" x14ac:dyDescent="0.2">
      <c r="A60" s="78" t="s">
        <v>18</v>
      </c>
      <c r="B60" s="6" t="s">
        <v>495</v>
      </c>
      <c r="C60" s="302">
        <f t="shared" ref="C60:O60" si="20">C25/$P25*$P60</f>
        <v>0</v>
      </c>
      <c r="D60" s="302">
        <f t="shared" si="20"/>
        <v>0</v>
      </c>
      <c r="E60" s="302">
        <f t="shared" si="20"/>
        <v>0</v>
      </c>
      <c r="F60" s="302">
        <f t="shared" si="20"/>
        <v>0</v>
      </c>
      <c r="G60" s="302">
        <f t="shared" si="20"/>
        <v>0</v>
      </c>
      <c r="H60" s="302">
        <f t="shared" si="20"/>
        <v>0</v>
      </c>
      <c r="I60" s="302">
        <f t="shared" si="20"/>
        <v>0</v>
      </c>
      <c r="J60" s="302">
        <f t="shared" si="20"/>
        <v>0</v>
      </c>
      <c r="K60" s="302">
        <f t="shared" si="20"/>
        <v>0</v>
      </c>
      <c r="L60" s="302">
        <f t="shared" si="20"/>
        <v>40</v>
      </c>
      <c r="M60" s="302">
        <f t="shared" si="20"/>
        <v>0</v>
      </c>
      <c r="N60" s="302">
        <f t="shared" si="20"/>
        <v>0</v>
      </c>
      <c r="O60" s="378">
        <f t="shared" si="20"/>
        <v>0</v>
      </c>
      <c r="P60" s="141">
        <v>40</v>
      </c>
      <c r="Q60" s="2"/>
      <c r="R60" s="2"/>
      <c r="S60" s="2"/>
      <c r="T60" s="2"/>
      <c r="U60" s="2"/>
      <c r="V60" s="2"/>
      <c r="W60" s="2"/>
    </row>
    <row r="61" spans="1:23" ht="15" customHeight="1" x14ac:dyDescent="0.2">
      <c r="A61" s="78" t="s">
        <v>19</v>
      </c>
      <c r="B61" s="6" t="s">
        <v>497</v>
      </c>
      <c r="C61" s="302">
        <f t="shared" ref="C61:O61" si="21">C26/$P26*$P61</f>
        <v>0</v>
      </c>
      <c r="D61" s="302">
        <f t="shared" si="21"/>
        <v>0</v>
      </c>
      <c r="E61" s="302">
        <f t="shared" si="21"/>
        <v>60</v>
      </c>
      <c r="F61" s="302">
        <f t="shared" si="21"/>
        <v>0</v>
      </c>
      <c r="G61" s="302">
        <f t="shared" si="21"/>
        <v>0</v>
      </c>
      <c r="H61" s="302">
        <f t="shared" si="21"/>
        <v>0</v>
      </c>
      <c r="I61" s="302">
        <f t="shared" si="21"/>
        <v>0</v>
      </c>
      <c r="J61" s="302">
        <f t="shared" si="21"/>
        <v>0</v>
      </c>
      <c r="K61" s="302">
        <f t="shared" si="21"/>
        <v>0</v>
      </c>
      <c r="L61" s="302">
        <f t="shared" si="21"/>
        <v>0</v>
      </c>
      <c r="M61" s="302">
        <f t="shared" si="21"/>
        <v>0</v>
      </c>
      <c r="N61" s="302">
        <f t="shared" si="21"/>
        <v>0</v>
      </c>
      <c r="O61" s="378">
        <f t="shared" si="21"/>
        <v>0</v>
      </c>
      <c r="P61" s="141">
        <v>60</v>
      </c>
      <c r="Q61" s="2"/>
      <c r="R61" s="2"/>
      <c r="S61" s="2"/>
      <c r="T61" s="2"/>
      <c r="U61" s="2"/>
      <c r="V61" s="2"/>
      <c r="W61" s="2"/>
    </row>
    <row r="62" spans="1:23" ht="15" customHeight="1" x14ac:dyDescent="0.2">
      <c r="A62" s="78" t="s">
        <v>20</v>
      </c>
      <c r="B62" s="6" t="s">
        <v>498</v>
      </c>
      <c r="C62" s="302">
        <f t="shared" ref="C62:O62" si="22">C27/$P27*$P62</f>
        <v>0</v>
      </c>
      <c r="D62" s="302">
        <f t="shared" si="22"/>
        <v>0</v>
      </c>
      <c r="E62" s="302">
        <f t="shared" si="22"/>
        <v>280</v>
      </c>
      <c r="F62" s="302">
        <f t="shared" si="22"/>
        <v>0</v>
      </c>
      <c r="G62" s="302">
        <f t="shared" si="22"/>
        <v>0</v>
      </c>
      <c r="H62" s="302">
        <f t="shared" si="22"/>
        <v>0</v>
      </c>
      <c r="I62" s="302">
        <f t="shared" si="22"/>
        <v>0</v>
      </c>
      <c r="J62" s="302">
        <f t="shared" si="22"/>
        <v>0</v>
      </c>
      <c r="K62" s="302">
        <f t="shared" si="22"/>
        <v>0</v>
      </c>
      <c r="L62" s="302">
        <f t="shared" si="22"/>
        <v>0</v>
      </c>
      <c r="M62" s="302">
        <f t="shared" si="22"/>
        <v>0</v>
      </c>
      <c r="N62" s="302">
        <f t="shared" si="22"/>
        <v>0</v>
      </c>
      <c r="O62" s="378">
        <f t="shared" si="22"/>
        <v>0</v>
      </c>
      <c r="P62" s="141">
        <v>280</v>
      </c>
      <c r="Q62" s="2"/>
      <c r="R62" s="2"/>
      <c r="S62" s="2"/>
      <c r="T62" s="2"/>
      <c r="U62" s="2"/>
      <c r="V62" s="2"/>
      <c r="W62" s="2"/>
    </row>
    <row r="63" spans="1:23" ht="15" customHeight="1" x14ac:dyDescent="0.2">
      <c r="A63" s="78" t="s">
        <v>21</v>
      </c>
      <c r="B63" s="6" t="s">
        <v>499</v>
      </c>
      <c r="C63" s="302">
        <f t="shared" ref="C63:O63" si="23">C28/$P28*$P63</f>
        <v>0</v>
      </c>
      <c r="D63" s="302">
        <f t="shared" si="23"/>
        <v>0</v>
      </c>
      <c r="E63" s="302">
        <f t="shared" si="23"/>
        <v>300</v>
      </c>
      <c r="F63" s="302">
        <f t="shared" si="23"/>
        <v>0</v>
      </c>
      <c r="G63" s="302">
        <f t="shared" si="23"/>
        <v>0</v>
      </c>
      <c r="H63" s="302">
        <f t="shared" si="23"/>
        <v>0</v>
      </c>
      <c r="I63" s="302">
        <f t="shared" si="23"/>
        <v>0</v>
      </c>
      <c r="J63" s="302">
        <f t="shared" si="23"/>
        <v>0</v>
      </c>
      <c r="K63" s="302">
        <f t="shared" si="23"/>
        <v>0</v>
      </c>
      <c r="L63" s="302">
        <f t="shared" si="23"/>
        <v>0</v>
      </c>
      <c r="M63" s="302">
        <f t="shared" si="23"/>
        <v>0</v>
      </c>
      <c r="N63" s="302">
        <f t="shared" si="23"/>
        <v>0</v>
      </c>
      <c r="O63" s="378">
        <f t="shared" si="23"/>
        <v>0</v>
      </c>
      <c r="P63" s="141">
        <v>300</v>
      </c>
      <c r="Q63" s="2"/>
      <c r="R63" s="2"/>
      <c r="S63" s="2"/>
      <c r="T63" s="2"/>
      <c r="U63" s="2"/>
      <c r="V63" s="2"/>
      <c r="W63" s="2"/>
    </row>
    <row r="64" spans="1:23" ht="15" customHeight="1" x14ac:dyDescent="0.2">
      <c r="A64" s="78" t="s">
        <v>3</v>
      </c>
      <c r="B64" s="6" t="s">
        <v>501</v>
      </c>
      <c r="C64" s="302">
        <f t="shared" ref="C64:O64" si="24">C29/$P29*$P64</f>
        <v>0</v>
      </c>
      <c r="D64" s="302">
        <f t="shared" si="24"/>
        <v>0</v>
      </c>
      <c r="E64" s="302">
        <f t="shared" si="24"/>
        <v>0</v>
      </c>
      <c r="F64" s="302">
        <f t="shared" si="24"/>
        <v>0</v>
      </c>
      <c r="G64" s="302">
        <f t="shared" si="24"/>
        <v>0</v>
      </c>
      <c r="H64" s="302">
        <f t="shared" si="24"/>
        <v>0</v>
      </c>
      <c r="I64" s="302">
        <f t="shared" si="24"/>
        <v>0</v>
      </c>
      <c r="J64" s="302">
        <f t="shared" si="24"/>
        <v>0</v>
      </c>
      <c r="K64" s="302">
        <f t="shared" si="24"/>
        <v>0</v>
      </c>
      <c r="L64" s="302">
        <f t="shared" si="24"/>
        <v>0</v>
      </c>
      <c r="M64" s="302">
        <f t="shared" si="24"/>
        <v>8</v>
      </c>
      <c r="N64" s="302">
        <f t="shared" si="24"/>
        <v>0</v>
      </c>
      <c r="O64" s="378">
        <f t="shared" si="24"/>
        <v>0</v>
      </c>
      <c r="P64" s="141">
        <v>8</v>
      </c>
      <c r="Q64" s="2"/>
      <c r="R64" s="2"/>
      <c r="S64" s="2"/>
      <c r="T64" s="2"/>
      <c r="U64" s="2"/>
      <c r="V64" s="2"/>
      <c r="W64" s="2"/>
    </row>
    <row r="65" spans="1:23" ht="15" customHeight="1" x14ac:dyDescent="0.2">
      <c r="A65" s="78" t="s">
        <v>2</v>
      </c>
      <c r="B65" s="6" t="s">
        <v>502</v>
      </c>
      <c r="C65" s="302">
        <f t="shared" ref="C65:O65" si="25">C30/$P30*$P65</f>
        <v>82.5</v>
      </c>
      <c r="D65" s="302">
        <f t="shared" si="25"/>
        <v>82.5</v>
      </c>
      <c r="E65" s="302">
        <f t="shared" si="25"/>
        <v>82.5</v>
      </c>
      <c r="F65" s="302">
        <f t="shared" si="25"/>
        <v>82.5</v>
      </c>
      <c r="G65" s="302">
        <f t="shared" si="25"/>
        <v>82.5</v>
      </c>
      <c r="H65" s="302">
        <f t="shared" si="25"/>
        <v>82.5</v>
      </c>
      <c r="I65" s="302">
        <f t="shared" si="25"/>
        <v>165</v>
      </c>
      <c r="J65" s="302">
        <f t="shared" si="25"/>
        <v>82.5</v>
      </c>
      <c r="K65" s="302">
        <f t="shared" si="25"/>
        <v>181.5</v>
      </c>
      <c r="L65" s="302">
        <f t="shared" si="25"/>
        <v>181.5</v>
      </c>
      <c r="M65" s="302">
        <f t="shared" si="25"/>
        <v>181.5</v>
      </c>
      <c r="N65" s="302">
        <f t="shared" si="25"/>
        <v>181.5</v>
      </c>
      <c r="O65" s="378">
        <f t="shared" si="25"/>
        <v>181.5</v>
      </c>
      <c r="P65" s="141">
        <v>1650</v>
      </c>
      <c r="Q65" s="2"/>
      <c r="R65" s="2"/>
      <c r="S65" s="2"/>
      <c r="T65" s="2"/>
      <c r="U65" s="2"/>
      <c r="V65" s="2"/>
      <c r="W65" s="2"/>
    </row>
    <row r="66" spans="1:23" ht="15" customHeight="1" x14ac:dyDescent="0.2">
      <c r="A66" s="78" t="s">
        <v>1</v>
      </c>
      <c r="B66" s="6" t="s">
        <v>106</v>
      </c>
      <c r="C66" s="302">
        <f t="shared" ref="C66:O66" si="26">C31/$P31*$P66</f>
        <v>4.2857142857142856</v>
      </c>
      <c r="D66" s="302">
        <f t="shared" si="26"/>
        <v>4.2857142857142856</v>
      </c>
      <c r="E66" s="302">
        <f t="shared" si="26"/>
        <v>4.2857142857142856</v>
      </c>
      <c r="F66" s="302">
        <f t="shared" si="26"/>
        <v>4.2857142857142856</v>
      </c>
      <c r="G66" s="302">
        <f t="shared" si="26"/>
        <v>4.2857142857142856</v>
      </c>
      <c r="H66" s="302">
        <f t="shared" si="26"/>
        <v>4.2857142857142856</v>
      </c>
      <c r="I66" s="302">
        <f t="shared" si="26"/>
        <v>0</v>
      </c>
      <c r="J66" s="302">
        <f t="shared" si="26"/>
        <v>0</v>
      </c>
      <c r="K66" s="302">
        <f t="shared" si="26"/>
        <v>4.2857142857142856</v>
      </c>
      <c r="L66" s="302">
        <f t="shared" si="26"/>
        <v>0</v>
      </c>
      <c r="M66" s="302">
        <f t="shared" si="26"/>
        <v>0</v>
      </c>
      <c r="N66" s="302">
        <f t="shared" si="26"/>
        <v>0</v>
      </c>
      <c r="O66" s="378">
        <f t="shared" si="26"/>
        <v>0</v>
      </c>
      <c r="P66" s="141">
        <v>30</v>
      </c>
      <c r="Q66" s="2"/>
      <c r="R66" s="2"/>
      <c r="S66" s="2"/>
      <c r="T66" s="2"/>
      <c r="U66" s="2"/>
      <c r="V66" s="2"/>
      <c r="W66" s="2"/>
    </row>
    <row r="67" spans="1:23" ht="15" customHeight="1" x14ac:dyDescent="0.2">
      <c r="A67" s="78" t="s">
        <v>0</v>
      </c>
      <c r="B67" s="6" t="s">
        <v>168</v>
      </c>
      <c r="C67" s="302">
        <f t="shared" ref="C67:O67" si="27">C32/$P32*$P67</f>
        <v>0</v>
      </c>
      <c r="D67" s="302">
        <f t="shared" si="27"/>
        <v>0</v>
      </c>
      <c r="E67" s="302">
        <f t="shared" si="27"/>
        <v>0</v>
      </c>
      <c r="F67" s="302">
        <f t="shared" si="27"/>
        <v>0</v>
      </c>
      <c r="G67" s="302">
        <f t="shared" si="27"/>
        <v>0</v>
      </c>
      <c r="H67" s="302">
        <f t="shared" si="27"/>
        <v>0</v>
      </c>
      <c r="I67" s="302">
        <f t="shared" si="27"/>
        <v>0</v>
      </c>
      <c r="J67" s="302">
        <f t="shared" si="27"/>
        <v>0</v>
      </c>
      <c r="K67" s="302">
        <f t="shared" si="27"/>
        <v>0</v>
      </c>
      <c r="L67" s="302">
        <f t="shared" si="27"/>
        <v>135</v>
      </c>
      <c r="M67" s="302">
        <f t="shared" si="27"/>
        <v>0</v>
      </c>
      <c r="N67" s="302">
        <f t="shared" si="27"/>
        <v>165</v>
      </c>
      <c r="O67" s="378">
        <f t="shared" si="27"/>
        <v>0</v>
      </c>
      <c r="P67" s="141">
        <v>300</v>
      </c>
      <c r="Q67" s="2"/>
      <c r="R67" s="2"/>
      <c r="S67" s="2"/>
      <c r="T67" s="2"/>
      <c r="U67" s="2"/>
      <c r="V67" s="2"/>
      <c r="W67" s="2"/>
    </row>
    <row r="68" spans="1:23" ht="15" customHeight="1" x14ac:dyDescent="0.2">
      <c r="A68" s="78" t="s">
        <v>5</v>
      </c>
      <c r="B68" s="6" t="s">
        <v>173</v>
      </c>
      <c r="C68" s="302">
        <f t="shared" ref="C68:O68" si="28">C33/$P33*$P68</f>
        <v>0</v>
      </c>
      <c r="D68" s="302">
        <f t="shared" si="28"/>
        <v>0</v>
      </c>
      <c r="E68" s="302">
        <f t="shared" si="28"/>
        <v>0</v>
      </c>
      <c r="F68" s="302">
        <f t="shared" si="28"/>
        <v>0</v>
      </c>
      <c r="G68" s="302">
        <f t="shared" si="28"/>
        <v>0</v>
      </c>
      <c r="H68" s="302">
        <f t="shared" si="28"/>
        <v>0</v>
      </c>
      <c r="I68" s="302">
        <f t="shared" si="28"/>
        <v>0</v>
      </c>
      <c r="J68" s="302">
        <f t="shared" si="28"/>
        <v>0</v>
      </c>
      <c r="K68" s="302">
        <f t="shared" si="28"/>
        <v>80</v>
      </c>
      <c r="L68" s="302">
        <f t="shared" si="28"/>
        <v>0</v>
      </c>
      <c r="M68" s="302">
        <f t="shared" si="28"/>
        <v>0</v>
      </c>
      <c r="N68" s="302">
        <f t="shared" si="28"/>
        <v>0</v>
      </c>
      <c r="O68" s="378">
        <f t="shared" si="28"/>
        <v>0</v>
      </c>
      <c r="P68" s="141">
        <v>80</v>
      </c>
      <c r="Q68" s="2"/>
      <c r="R68" s="2"/>
      <c r="S68" s="2"/>
      <c r="T68" s="2"/>
      <c r="U68" s="2"/>
      <c r="V68" s="2"/>
      <c r="W68" s="2"/>
    </row>
    <row r="69" spans="1:23" ht="15" customHeight="1" x14ac:dyDescent="0.2">
      <c r="A69" s="78" t="s">
        <v>4</v>
      </c>
      <c r="B69" s="6" t="s">
        <v>503</v>
      </c>
      <c r="C69" s="302">
        <f t="shared" ref="C69:O69" si="29">C34/$P34*$P69</f>
        <v>0</v>
      </c>
      <c r="D69" s="302">
        <f t="shared" si="29"/>
        <v>13.2</v>
      </c>
      <c r="E69" s="302">
        <f t="shared" si="29"/>
        <v>0</v>
      </c>
      <c r="F69" s="302">
        <f t="shared" si="29"/>
        <v>0</v>
      </c>
      <c r="G69" s="302">
        <f t="shared" si="29"/>
        <v>0</v>
      </c>
      <c r="H69" s="302">
        <f t="shared" si="29"/>
        <v>0</v>
      </c>
      <c r="I69" s="302">
        <f t="shared" si="29"/>
        <v>0</v>
      </c>
      <c r="J69" s="302">
        <f t="shared" si="29"/>
        <v>0</v>
      </c>
      <c r="K69" s="302">
        <f t="shared" si="29"/>
        <v>0</v>
      </c>
      <c r="L69" s="302">
        <f t="shared" si="29"/>
        <v>0</v>
      </c>
      <c r="M69" s="302">
        <f t="shared" si="29"/>
        <v>0</v>
      </c>
      <c r="N69" s="302">
        <f t="shared" si="29"/>
        <v>0</v>
      </c>
      <c r="O69" s="378">
        <f t="shared" si="29"/>
        <v>13.2</v>
      </c>
      <c r="P69" s="141">
        <v>26.4</v>
      </c>
      <c r="Q69" s="2"/>
      <c r="R69" s="2"/>
      <c r="S69" s="2"/>
      <c r="T69" s="2"/>
      <c r="U69" s="2"/>
      <c r="V69" s="2"/>
      <c r="W69" s="2"/>
    </row>
    <row r="70" spans="1:23" ht="15" customHeight="1" x14ac:dyDescent="0.2">
      <c r="A70" s="2"/>
      <c r="B70" s="297" t="s">
        <v>96</v>
      </c>
      <c r="C70" s="303">
        <f>SUM(C41:C69)</f>
        <v>1818.8717532467531</v>
      </c>
      <c r="D70" s="303">
        <f t="shared" ref="D70:O70" si="30">SUM(D41:D69)</f>
        <v>782.07175324675325</v>
      </c>
      <c r="E70" s="303">
        <f t="shared" si="30"/>
        <v>1908.8149350649351</v>
      </c>
      <c r="F70" s="303">
        <f t="shared" si="30"/>
        <v>1090.6899350649348</v>
      </c>
      <c r="G70" s="303">
        <f t="shared" si="30"/>
        <v>1004.9756493506494</v>
      </c>
      <c r="H70" s="303">
        <f t="shared" si="30"/>
        <v>1004.9756493506494</v>
      </c>
      <c r="I70" s="303">
        <f t="shared" si="30"/>
        <v>3518.9610389610393</v>
      </c>
      <c r="J70" s="303">
        <f t="shared" si="30"/>
        <v>2811.8506493506493</v>
      </c>
      <c r="K70" s="303">
        <f t="shared" si="30"/>
        <v>533.86201298701303</v>
      </c>
      <c r="L70" s="303">
        <f t="shared" si="30"/>
        <v>985.26817532467533</v>
      </c>
      <c r="M70" s="303">
        <f t="shared" si="30"/>
        <v>286.37297077922079</v>
      </c>
      <c r="N70" s="303">
        <f t="shared" si="30"/>
        <v>472.49197077922076</v>
      </c>
      <c r="O70" s="303">
        <f t="shared" si="30"/>
        <v>2476.1935064935064</v>
      </c>
      <c r="P70" s="141">
        <f>SUM(C70:O70)</f>
        <v>18695.400000000001</v>
      </c>
      <c r="Q70" s="2"/>
      <c r="R70" s="2"/>
      <c r="S70" s="2"/>
      <c r="T70" s="2"/>
      <c r="U70" s="2"/>
      <c r="V70" s="2"/>
      <c r="W70" s="2"/>
    </row>
    <row r="71" spans="1:23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23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</sheetData>
  <mergeCells count="10">
    <mergeCell ref="K4:O4"/>
    <mergeCell ref="G4:J4"/>
    <mergeCell ref="A1:H1"/>
    <mergeCell ref="C4:F4"/>
    <mergeCell ref="P39:P40"/>
    <mergeCell ref="C39:F39"/>
    <mergeCell ref="A40:B40"/>
    <mergeCell ref="A5:B5"/>
    <mergeCell ref="G39:J39"/>
    <mergeCell ref="K39:O39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/>
  </sheetPr>
  <dimension ref="A1:CQ80"/>
  <sheetViews>
    <sheetView topLeftCell="A4" zoomScale="82" zoomScaleNormal="82" workbookViewId="0">
      <selection activeCell="I30" sqref="I30"/>
    </sheetView>
  </sheetViews>
  <sheetFormatPr baseColWidth="10" defaultRowHeight="12.75" x14ac:dyDescent="0.2"/>
  <cols>
    <col min="1" max="1" width="4.85546875" customWidth="1"/>
    <col min="2" max="2" width="7.140625" customWidth="1"/>
    <col min="3" max="3" width="53.85546875" customWidth="1"/>
    <col min="4" max="33" width="5.140625" style="26" customWidth="1"/>
    <col min="34" max="34" width="5.7109375" style="26" bestFit="1" customWidth="1"/>
    <col min="35" max="36" width="5.140625" style="26" customWidth="1"/>
    <col min="37" max="37" width="5.7109375" style="26" bestFit="1" customWidth="1"/>
    <col min="38" max="134" width="5.140625" customWidth="1"/>
  </cols>
  <sheetData>
    <row r="1" spans="1:95" s="94" customFormat="1" ht="41.25" customHeight="1" thickBot="1" x14ac:dyDescent="0.25">
      <c r="A1" s="520" t="s">
        <v>122</v>
      </c>
      <c r="B1" s="520"/>
      <c r="C1" s="520"/>
      <c r="D1" s="520"/>
      <c r="E1" s="520"/>
      <c r="F1" s="520"/>
      <c r="G1" s="93"/>
    </row>
    <row r="2" spans="1:95" ht="13.5" thickTop="1" x14ac:dyDescent="0.2"/>
    <row r="5" spans="1:95" x14ac:dyDescent="0.2">
      <c r="AG5"/>
      <c r="BO5" s="45"/>
      <c r="BP5" s="45"/>
      <c r="BQ5" s="45"/>
      <c r="BR5" s="45"/>
      <c r="BS5" s="45"/>
      <c r="BT5" s="45"/>
      <c r="BU5" s="45"/>
      <c r="BV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</row>
    <row r="6" spans="1:95" s="45" customFormat="1" ht="12.75" customHeight="1" x14ac:dyDescent="0.2">
      <c r="D6" s="507" t="s">
        <v>108</v>
      </c>
      <c r="E6" s="522"/>
      <c r="F6" s="508"/>
      <c r="G6" s="301" t="s">
        <v>174</v>
      </c>
      <c r="H6" s="507" t="s">
        <v>175</v>
      </c>
      <c r="I6" s="508"/>
      <c r="J6" s="507" t="s">
        <v>210</v>
      </c>
      <c r="K6" s="508"/>
      <c r="L6" s="509" t="s">
        <v>49</v>
      </c>
      <c r="M6" s="510"/>
      <c r="N6" s="511" t="s">
        <v>176</v>
      </c>
      <c r="O6" s="512"/>
      <c r="P6" s="513"/>
      <c r="Q6" s="511" t="s">
        <v>177</v>
      </c>
      <c r="R6" s="512"/>
      <c r="S6" s="512"/>
      <c r="T6" s="513"/>
      <c r="U6" s="509" t="s">
        <v>160</v>
      </c>
      <c r="V6" s="514"/>
      <c r="W6" s="510"/>
      <c r="X6" s="515" t="s">
        <v>38</v>
      </c>
      <c r="Y6" s="516"/>
      <c r="Z6" s="517"/>
      <c r="AA6" s="515" t="s">
        <v>37</v>
      </c>
      <c r="AB6" s="516"/>
      <c r="AC6" s="516"/>
      <c r="AD6" s="516"/>
      <c r="AE6" s="517"/>
      <c r="AF6" s="312" t="s">
        <v>519</v>
      </c>
      <c r="AG6" s="515" t="s">
        <v>151</v>
      </c>
      <c r="AH6" s="516"/>
      <c r="AI6" s="516"/>
      <c r="AJ6" s="517"/>
      <c r="AK6" s="518" t="s">
        <v>518</v>
      </c>
      <c r="AL6" s="519"/>
      <c r="AO6" s="306" t="s">
        <v>108</v>
      </c>
      <c r="AP6" s="307"/>
      <c r="AQ6" s="308"/>
      <c r="AR6"/>
      <c r="AS6"/>
      <c r="AT6" s="301" t="s">
        <v>174</v>
      </c>
      <c r="AW6" s="306" t="s">
        <v>175</v>
      </c>
      <c r="AX6" s="308"/>
      <c r="BA6" s="306" t="s">
        <v>210</v>
      </c>
      <c r="BB6" s="308"/>
    </row>
    <row r="7" spans="1:95" s="45" customFormat="1" x14ac:dyDescent="0.2">
      <c r="B7" s="506" t="s">
        <v>55</v>
      </c>
      <c r="C7" s="506"/>
      <c r="D7" s="91" t="s">
        <v>45</v>
      </c>
      <c r="E7" s="91" t="s">
        <v>43</v>
      </c>
      <c r="F7" s="299" t="s">
        <v>44</v>
      </c>
      <c r="G7" s="299" t="s">
        <v>42</v>
      </c>
      <c r="H7" s="299" t="s">
        <v>193</v>
      </c>
      <c r="I7" s="299" t="s">
        <v>195</v>
      </c>
      <c r="J7" s="299" t="s">
        <v>212</v>
      </c>
      <c r="K7" s="299" t="s">
        <v>213</v>
      </c>
      <c r="L7" s="318" t="s">
        <v>9</v>
      </c>
      <c r="M7" s="318" t="s">
        <v>7</v>
      </c>
      <c r="N7" s="318" t="s">
        <v>8</v>
      </c>
      <c r="O7" s="318" t="s">
        <v>166</v>
      </c>
      <c r="P7" s="318" t="s">
        <v>186</v>
      </c>
      <c r="Q7" s="318" t="s">
        <v>187</v>
      </c>
      <c r="R7" s="318" t="s">
        <v>200</v>
      </c>
      <c r="S7" s="318" t="s">
        <v>201</v>
      </c>
      <c r="T7" s="318" t="s">
        <v>202</v>
      </c>
      <c r="U7" s="318" t="s">
        <v>203</v>
      </c>
      <c r="V7" s="318" t="s">
        <v>204</v>
      </c>
      <c r="W7" s="298" t="s">
        <v>207</v>
      </c>
      <c r="X7" s="317" t="s">
        <v>84</v>
      </c>
      <c r="Y7" s="317" t="s">
        <v>87</v>
      </c>
      <c r="Z7" s="317" t="s">
        <v>90</v>
      </c>
      <c r="AA7" s="317" t="s">
        <v>92</v>
      </c>
      <c r="AB7" s="317" t="s">
        <v>94</v>
      </c>
      <c r="AC7" s="317" t="s">
        <v>73</v>
      </c>
      <c r="AD7" s="317" t="s">
        <v>75</v>
      </c>
      <c r="AE7" s="317" t="s">
        <v>76</v>
      </c>
      <c r="AF7" s="317" t="s">
        <v>78</v>
      </c>
      <c r="AG7" s="317" t="s">
        <v>79</v>
      </c>
      <c r="AH7" s="317" t="s">
        <v>74</v>
      </c>
      <c r="AI7" s="317" t="s">
        <v>158</v>
      </c>
      <c r="AJ7" s="317" t="s">
        <v>159</v>
      </c>
      <c r="AK7" s="317" t="s">
        <v>516</v>
      </c>
      <c r="AL7" s="317" t="s">
        <v>517</v>
      </c>
      <c r="AO7" s="304" t="s">
        <v>45</v>
      </c>
      <c r="AP7" s="304" t="s">
        <v>43</v>
      </c>
      <c r="AQ7" s="304" t="s">
        <v>44</v>
      </c>
      <c r="AR7"/>
      <c r="AS7"/>
      <c r="AT7" s="304" t="s">
        <v>42</v>
      </c>
      <c r="AW7" s="304" t="s">
        <v>193</v>
      </c>
      <c r="AX7" s="304" t="s">
        <v>195</v>
      </c>
      <c r="BA7" s="304" t="s">
        <v>212</v>
      </c>
      <c r="BB7" s="304" t="s">
        <v>213</v>
      </c>
    </row>
    <row r="8" spans="1:95" ht="12.75" customHeight="1" x14ac:dyDescent="0.2">
      <c r="A8" s="521" t="s">
        <v>109</v>
      </c>
      <c r="B8" s="78" t="s">
        <v>35</v>
      </c>
      <c r="C8" s="6" t="s">
        <v>504</v>
      </c>
      <c r="D8" s="27" t="s">
        <v>98</v>
      </c>
      <c r="E8" s="27" t="s">
        <v>98</v>
      </c>
      <c r="F8" s="27" t="s">
        <v>98</v>
      </c>
      <c r="G8" s="27"/>
      <c r="H8" s="27"/>
      <c r="I8" s="27"/>
      <c r="J8" s="27" t="s">
        <v>98</v>
      </c>
      <c r="K8" s="27" t="s">
        <v>98</v>
      </c>
      <c r="L8" s="27" t="s">
        <v>98</v>
      </c>
      <c r="M8" s="27" t="s">
        <v>98</v>
      </c>
      <c r="N8" s="27" t="s">
        <v>337</v>
      </c>
      <c r="O8" s="27" t="s">
        <v>337</v>
      </c>
      <c r="P8" s="27" t="s">
        <v>337</v>
      </c>
      <c r="Q8" s="27"/>
      <c r="R8" s="27"/>
      <c r="S8" s="27"/>
      <c r="T8" s="27"/>
      <c r="U8" s="27" t="s">
        <v>98</v>
      </c>
      <c r="V8" s="27" t="s">
        <v>98</v>
      </c>
      <c r="W8" s="27" t="s">
        <v>98</v>
      </c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N8" s="79" t="s">
        <v>63</v>
      </c>
      <c r="AO8" s="27" t="s">
        <v>98</v>
      </c>
      <c r="AP8" s="27" t="s">
        <v>98</v>
      </c>
      <c r="AQ8" s="27" t="s">
        <v>98</v>
      </c>
      <c r="AS8" s="79" t="s">
        <v>64</v>
      </c>
      <c r="AT8" s="27" t="s">
        <v>98</v>
      </c>
      <c r="AV8" s="79" t="s">
        <v>64</v>
      </c>
      <c r="AW8" s="27" t="s">
        <v>98</v>
      </c>
      <c r="AX8" s="27" t="s">
        <v>98</v>
      </c>
      <c r="AZ8" s="79" t="s">
        <v>63</v>
      </c>
      <c r="BA8" s="27" t="s">
        <v>98</v>
      </c>
      <c r="BB8" s="27" t="s">
        <v>98</v>
      </c>
      <c r="BW8" s="45"/>
    </row>
    <row r="9" spans="1:95" x14ac:dyDescent="0.2">
      <c r="A9" s="521"/>
      <c r="B9" s="78" t="s">
        <v>29</v>
      </c>
      <c r="C9" s="6" t="s">
        <v>505</v>
      </c>
      <c r="D9" s="27"/>
      <c r="E9" s="27"/>
      <c r="F9" s="27"/>
      <c r="G9" s="27" t="s">
        <v>98</v>
      </c>
      <c r="H9" s="27" t="s">
        <v>98</v>
      </c>
      <c r="I9" s="27" t="s">
        <v>98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 t="s">
        <v>98</v>
      </c>
      <c r="V9" s="27" t="s">
        <v>98</v>
      </c>
      <c r="W9" s="27" t="s">
        <v>98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 t="s">
        <v>98</v>
      </c>
      <c r="AL9" s="27" t="s">
        <v>98</v>
      </c>
      <c r="AN9" s="79" t="s">
        <v>68</v>
      </c>
      <c r="AO9" s="27" t="s">
        <v>98</v>
      </c>
      <c r="AP9" s="27"/>
      <c r="AQ9" s="27" t="s">
        <v>98</v>
      </c>
      <c r="AS9" s="79" t="s">
        <v>68</v>
      </c>
      <c r="AT9" s="27" t="s">
        <v>98</v>
      </c>
      <c r="AV9" s="79" t="s">
        <v>68</v>
      </c>
      <c r="AW9" s="27"/>
      <c r="AX9" s="27" t="s">
        <v>98</v>
      </c>
      <c r="AZ9" s="79" t="s">
        <v>68</v>
      </c>
      <c r="BA9" s="27" t="s">
        <v>98</v>
      </c>
      <c r="BB9" s="27" t="s">
        <v>98</v>
      </c>
      <c r="BW9" s="45"/>
    </row>
    <row r="10" spans="1:95" x14ac:dyDescent="0.2">
      <c r="A10" s="521"/>
      <c r="B10" s="78" t="s">
        <v>28</v>
      </c>
      <c r="C10" s="6" t="s">
        <v>485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 t="s">
        <v>98</v>
      </c>
      <c r="R10" s="27" t="s">
        <v>98</v>
      </c>
      <c r="S10" s="27" t="s">
        <v>98</v>
      </c>
      <c r="T10" s="27" t="s">
        <v>98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N10" s="79" t="s">
        <v>57</v>
      </c>
      <c r="AO10" s="27" t="s">
        <v>98</v>
      </c>
      <c r="AP10" s="27" t="s">
        <v>98</v>
      </c>
      <c r="AQ10" s="27" t="s">
        <v>98</v>
      </c>
      <c r="AS10" s="79" t="s">
        <v>57</v>
      </c>
      <c r="AT10" s="27" t="s">
        <v>98</v>
      </c>
      <c r="AV10" s="79" t="s">
        <v>57</v>
      </c>
      <c r="AW10" s="27"/>
      <c r="AX10" s="27" t="s">
        <v>98</v>
      </c>
      <c r="AZ10" s="79" t="s">
        <v>57</v>
      </c>
      <c r="BA10" s="27" t="s">
        <v>98</v>
      </c>
      <c r="BB10" s="27" t="s">
        <v>98</v>
      </c>
      <c r="BW10" s="45"/>
    </row>
    <row r="11" spans="1:95" x14ac:dyDescent="0.2">
      <c r="A11" s="521"/>
      <c r="B11" s="78" t="s">
        <v>27</v>
      </c>
      <c r="C11" s="6" t="s">
        <v>167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 t="s">
        <v>98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N11" s="79" t="s">
        <v>58</v>
      </c>
      <c r="AO11" s="27" t="s">
        <v>98</v>
      </c>
      <c r="AP11" s="27" t="s">
        <v>98</v>
      </c>
      <c r="AQ11" s="27" t="s">
        <v>98</v>
      </c>
      <c r="AS11" s="79" t="s">
        <v>58</v>
      </c>
      <c r="AT11" s="27" t="s">
        <v>98</v>
      </c>
      <c r="AV11" s="79" t="s">
        <v>58</v>
      </c>
      <c r="AW11" s="27"/>
      <c r="AX11" s="27" t="s">
        <v>98</v>
      </c>
      <c r="AZ11" s="79" t="s">
        <v>58</v>
      </c>
      <c r="BA11" s="27" t="s">
        <v>98</v>
      </c>
      <c r="BB11" s="27" t="s">
        <v>98</v>
      </c>
      <c r="BW11" s="45"/>
    </row>
    <row r="12" spans="1:95" x14ac:dyDescent="0.2">
      <c r="A12" s="521"/>
      <c r="B12" s="78" t="s">
        <v>26</v>
      </c>
      <c r="C12" s="6" t="s">
        <v>169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 t="s">
        <v>98</v>
      </c>
      <c r="AB12" s="27" t="s">
        <v>98</v>
      </c>
      <c r="AC12" s="27" t="s">
        <v>98</v>
      </c>
      <c r="AD12" s="27" t="s">
        <v>98</v>
      </c>
      <c r="AE12" s="27" t="s">
        <v>98</v>
      </c>
      <c r="AF12" s="27" t="s">
        <v>98</v>
      </c>
      <c r="AG12" s="27" t="s">
        <v>98</v>
      </c>
      <c r="AH12" s="27" t="s">
        <v>98</v>
      </c>
      <c r="AI12" s="27" t="s">
        <v>98</v>
      </c>
      <c r="AJ12" s="27" t="s">
        <v>98</v>
      </c>
      <c r="AK12" s="27"/>
      <c r="AL12" s="27"/>
      <c r="AN12" s="79" t="s">
        <v>56</v>
      </c>
      <c r="AO12" s="27"/>
      <c r="AP12" s="27" t="s">
        <v>337</v>
      </c>
      <c r="AQ12" s="27"/>
      <c r="AS12" s="79" t="s">
        <v>56</v>
      </c>
      <c r="AT12" s="27" t="s">
        <v>337</v>
      </c>
      <c r="AV12" s="79" t="s">
        <v>56</v>
      </c>
      <c r="AW12" s="27" t="s">
        <v>337</v>
      </c>
      <c r="AX12" s="27" t="s">
        <v>337</v>
      </c>
      <c r="AZ12" s="79" t="s">
        <v>56</v>
      </c>
      <c r="BA12" s="27"/>
      <c r="BB12" s="27" t="s">
        <v>337</v>
      </c>
      <c r="BW12" s="45"/>
    </row>
    <row r="13" spans="1:95" x14ac:dyDescent="0.2">
      <c r="A13" s="521"/>
      <c r="B13" s="78" t="s">
        <v>25</v>
      </c>
      <c r="C13" s="6" t="s">
        <v>170</v>
      </c>
      <c r="D13" s="27" t="s">
        <v>98</v>
      </c>
      <c r="E13" s="27"/>
      <c r="F13" s="27" t="s">
        <v>98</v>
      </c>
      <c r="G13" s="27" t="s">
        <v>98</v>
      </c>
      <c r="H13" s="27"/>
      <c r="I13" s="27" t="s">
        <v>98</v>
      </c>
      <c r="J13" s="27" t="s">
        <v>98</v>
      </c>
      <c r="K13" s="27" t="s">
        <v>98</v>
      </c>
      <c r="L13" s="27"/>
      <c r="M13" s="27" t="s">
        <v>98</v>
      </c>
      <c r="N13" s="27" t="s">
        <v>98</v>
      </c>
      <c r="O13" s="27"/>
      <c r="P13" s="27" t="s">
        <v>98</v>
      </c>
      <c r="Q13" s="27"/>
      <c r="R13" s="27"/>
      <c r="S13" s="27"/>
      <c r="T13" s="27"/>
      <c r="U13" s="27"/>
      <c r="V13" s="27"/>
      <c r="W13" s="27"/>
      <c r="X13" s="27" t="s">
        <v>98</v>
      </c>
      <c r="Y13" s="27" t="s">
        <v>98</v>
      </c>
      <c r="Z13" s="27" t="s">
        <v>98</v>
      </c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N13" s="79" t="s">
        <v>99</v>
      </c>
      <c r="AO13" s="27" t="s">
        <v>98</v>
      </c>
      <c r="AP13" s="27"/>
      <c r="AQ13" s="27"/>
      <c r="AS13" s="79" t="s">
        <v>99</v>
      </c>
      <c r="AT13" s="27" t="s">
        <v>98</v>
      </c>
      <c r="AV13" s="79" t="s">
        <v>99</v>
      </c>
      <c r="AW13" s="27"/>
      <c r="AX13" s="27" t="s">
        <v>98</v>
      </c>
      <c r="AZ13" s="79" t="s">
        <v>99</v>
      </c>
      <c r="BA13" s="27" t="s">
        <v>98</v>
      </c>
      <c r="BB13" s="27"/>
      <c r="BW13" s="45"/>
    </row>
    <row r="14" spans="1:95" x14ac:dyDescent="0.2">
      <c r="A14" s="521"/>
      <c r="B14" s="78" t="s">
        <v>24</v>
      </c>
      <c r="C14" s="6" t="s">
        <v>171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 t="s">
        <v>98</v>
      </c>
      <c r="AD14" s="27"/>
      <c r="AE14" s="27"/>
      <c r="AF14" s="27"/>
      <c r="AG14" s="27"/>
      <c r="AH14" s="27"/>
      <c r="AI14" s="27"/>
      <c r="AJ14" s="27"/>
      <c r="AK14" s="27"/>
      <c r="AL14" s="27"/>
      <c r="AN14" s="79" t="s">
        <v>80</v>
      </c>
      <c r="AO14" s="27" t="s">
        <v>98</v>
      </c>
      <c r="AP14" s="27" t="s">
        <v>98</v>
      </c>
      <c r="AQ14" s="27" t="s">
        <v>98</v>
      </c>
      <c r="AS14" s="79" t="s">
        <v>80</v>
      </c>
      <c r="AT14" s="27" t="s">
        <v>98</v>
      </c>
      <c r="AV14" s="79" t="s">
        <v>86</v>
      </c>
      <c r="AW14" s="27" t="s">
        <v>98</v>
      </c>
      <c r="AX14" s="27"/>
      <c r="AZ14" s="79" t="s">
        <v>80</v>
      </c>
      <c r="BA14" s="27" t="s">
        <v>98</v>
      </c>
      <c r="BB14" s="27" t="s">
        <v>98</v>
      </c>
      <c r="BW14" s="45"/>
    </row>
    <row r="15" spans="1:95" x14ac:dyDescent="0.2">
      <c r="A15" s="521"/>
      <c r="B15" s="78" t="s">
        <v>23</v>
      </c>
      <c r="C15" s="6" t="s">
        <v>172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 t="s">
        <v>98</v>
      </c>
      <c r="AE15" s="27"/>
      <c r="AF15" s="27"/>
      <c r="AG15" s="27"/>
      <c r="AH15" s="27"/>
      <c r="AI15" s="27" t="s">
        <v>98</v>
      </c>
      <c r="AJ15" s="27"/>
      <c r="AK15" s="27"/>
      <c r="AL15" s="27"/>
      <c r="AN15" s="79" t="s">
        <v>81</v>
      </c>
      <c r="AO15" s="27"/>
      <c r="AP15" s="27" t="s">
        <v>98</v>
      </c>
      <c r="AQ15" s="27" t="s">
        <v>98</v>
      </c>
      <c r="AS15" s="79" t="s">
        <v>81</v>
      </c>
      <c r="AT15" s="27" t="s">
        <v>98</v>
      </c>
      <c r="AV15" s="79" t="s">
        <v>88</v>
      </c>
      <c r="AW15" s="27" t="s">
        <v>98</v>
      </c>
      <c r="AX15" s="27"/>
      <c r="AZ15" s="79" t="s">
        <v>81</v>
      </c>
      <c r="BA15" s="27" t="s">
        <v>98</v>
      </c>
      <c r="BB15" s="27" t="s">
        <v>98</v>
      </c>
      <c r="BW15" s="45"/>
    </row>
    <row r="16" spans="1:95" x14ac:dyDescent="0.2">
      <c r="A16" s="521"/>
      <c r="B16" s="78" t="s">
        <v>22</v>
      </c>
      <c r="C16" s="6" t="s">
        <v>487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 t="s">
        <v>98</v>
      </c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S16" s="89" t="s">
        <v>95</v>
      </c>
      <c r="AT16" s="27" t="s">
        <v>98</v>
      </c>
      <c r="AV16" s="79" t="s">
        <v>91</v>
      </c>
      <c r="AW16" s="27"/>
      <c r="AX16" s="27" t="s">
        <v>98</v>
      </c>
      <c r="BR16" s="45"/>
      <c r="BS16" s="45"/>
      <c r="BT16" s="45"/>
      <c r="BU16" s="45"/>
      <c r="BV16" s="45"/>
      <c r="BW16" s="45"/>
    </row>
    <row r="17" spans="1:94" x14ac:dyDescent="0.2">
      <c r="A17" s="521"/>
      <c r="B17" s="78" t="s">
        <v>32</v>
      </c>
      <c r="C17" s="6" t="s">
        <v>104</v>
      </c>
      <c r="D17" s="27" t="s">
        <v>98</v>
      </c>
      <c r="E17" s="27" t="s">
        <v>98</v>
      </c>
      <c r="F17" s="27" t="s">
        <v>98</v>
      </c>
      <c r="G17" s="27" t="s">
        <v>98</v>
      </c>
      <c r="H17" s="27"/>
      <c r="I17" s="27" t="s">
        <v>98</v>
      </c>
      <c r="J17" s="27" t="s">
        <v>98</v>
      </c>
      <c r="K17" s="27" t="s">
        <v>98</v>
      </c>
      <c r="L17" s="27" t="s">
        <v>98</v>
      </c>
      <c r="M17" s="27" t="s">
        <v>98</v>
      </c>
      <c r="N17" s="27" t="s">
        <v>98</v>
      </c>
      <c r="O17" s="27" t="s">
        <v>98</v>
      </c>
      <c r="P17" s="27" t="s">
        <v>98</v>
      </c>
      <c r="Q17" s="27" t="s">
        <v>98</v>
      </c>
      <c r="R17" s="27" t="s">
        <v>98</v>
      </c>
      <c r="S17" s="27" t="s">
        <v>98</v>
      </c>
      <c r="T17" s="27" t="s">
        <v>98</v>
      </c>
      <c r="U17" s="27" t="s">
        <v>98</v>
      </c>
      <c r="V17" s="27"/>
      <c r="W17" s="27"/>
      <c r="X17" s="27" t="s">
        <v>98</v>
      </c>
      <c r="Y17" s="27" t="s">
        <v>98</v>
      </c>
      <c r="Z17" s="27" t="s">
        <v>98</v>
      </c>
      <c r="AA17" s="27" t="s">
        <v>98</v>
      </c>
      <c r="AB17" s="27" t="s">
        <v>98</v>
      </c>
      <c r="AC17" s="27" t="s">
        <v>98</v>
      </c>
      <c r="AD17" s="27" t="s">
        <v>98</v>
      </c>
      <c r="AE17" s="27" t="s">
        <v>98</v>
      </c>
      <c r="AF17" s="27" t="s">
        <v>98</v>
      </c>
      <c r="AG17" s="27" t="s">
        <v>98</v>
      </c>
      <c r="AH17" s="27" t="s">
        <v>98</v>
      </c>
      <c r="AI17" s="27" t="s">
        <v>98</v>
      </c>
      <c r="AJ17" s="27" t="s">
        <v>98</v>
      </c>
      <c r="AK17" s="27"/>
      <c r="AL17" s="27"/>
      <c r="AV17" s="79" t="s">
        <v>80</v>
      </c>
      <c r="AW17" s="27"/>
      <c r="AX17" s="27" t="s">
        <v>98</v>
      </c>
      <c r="BR17" s="45"/>
      <c r="BS17" s="45"/>
      <c r="BT17" s="45"/>
      <c r="BU17" s="45"/>
      <c r="BV17" s="45"/>
      <c r="BW17" s="45"/>
    </row>
    <row r="18" spans="1:94" x14ac:dyDescent="0.2">
      <c r="A18" s="521"/>
      <c r="B18" s="78" t="s">
        <v>30</v>
      </c>
      <c r="C18" s="6" t="s">
        <v>53</v>
      </c>
      <c r="D18" s="27" t="s">
        <v>98</v>
      </c>
      <c r="E18" s="27" t="s">
        <v>98</v>
      </c>
      <c r="F18" s="27" t="s">
        <v>98</v>
      </c>
      <c r="G18" s="27" t="s">
        <v>98</v>
      </c>
      <c r="H18" s="27"/>
      <c r="I18" s="27" t="s">
        <v>98</v>
      </c>
      <c r="J18" s="27" t="s">
        <v>98</v>
      </c>
      <c r="K18" s="27" t="s">
        <v>98</v>
      </c>
      <c r="L18" s="27" t="s">
        <v>98</v>
      </c>
      <c r="M18" s="27" t="s">
        <v>98</v>
      </c>
      <c r="N18" s="27" t="s">
        <v>98</v>
      </c>
      <c r="O18" s="27" t="s">
        <v>98</v>
      </c>
      <c r="P18" s="27" t="s">
        <v>98</v>
      </c>
      <c r="Q18" s="27" t="s">
        <v>98</v>
      </c>
      <c r="R18" s="27" t="s">
        <v>98</v>
      </c>
      <c r="S18" s="27" t="s">
        <v>98</v>
      </c>
      <c r="T18" s="27" t="s">
        <v>98</v>
      </c>
      <c r="U18" s="27" t="s">
        <v>98</v>
      </c>
      <c r="V18" s="27"/>
      <c r="W18" s="27"/>
      <c r="X18" s="27" t="s">
        <v>98</v>
      </c>
      <c r="Y18" s="27" t="s">
        <v>98</v>
      </c>
      <c r="Z18" s="27" t="s">
        <v>98</v>
      </c>
      <c r="AA18" s="27" t="s">
        <v>98</v>
      </c>
      <c r="AB18" s="27" t="s">
        <v>98</v>
      </c>
      <c r="AC18" s="27" t="s">
        <v>98</v>
      </c>
      <c r="AD18" s="27" t="s">
        <v>98</v>
      </c>
      <c r="AE18" s="27" t="s">
        <v>98</v>
      </c>
      <c r="AF18" s="27" t="s">
        <v>98</v>
      </c>
      <c r="AG18" s="27" t="s">
        <v>98</v>
      </c>
      <c r="AH18" s="27" t="s">
        <v>98</v>
      </c>
      <c r="AI18" s="27" t="s">
        <v>98</v>
      </c>
      <c r="AJ18" s="27" t="s">
        <v>98</v>
      </c>
      <c r="AK18" s="27"/>
      <c r="AL18" s="27"/>
      <c r="AV18" s="79" t="s">
        <v>81</v>
      </c>
      <c r="AW18" s="27"/>
      <c r="AX18" s="27" t="s">
        <v>98</v>
      </c>
      <c r="BR18" s="45"/>
      <c r="BS18" s="45"/>
      <c r="BT18" s="45"/>
      <c r="BU18" s="45"/>
      <c r="BV18" s="45"/>
      <c r="BW18" s="45"/>
    </row>
    <row r="19" spans="1:94" x14ac:dyDescent="0.2">
      <c r="A19" s="521"/>
      <c r="B19" s="78" t="s">
        <v>31</v>
      </c>
      <c r="C19" s="6" t="s">
        <v>105</v>
      </c>
      <c r="D19" s="27"/>
      <c r="E19" s="27" t="s">
        <v>337</v>
      </c>
      <c r="F19" s="27"/>
      <c r="G19" s="27" t="s">
        <v>337</v>
      </c>
      <c r="H19" s="27" t="s">
        <v>337</v>
      </c>
      <c r="I19" s="27" t="s">
        <v>337</v>
      </c>
      <c r="J19" s="27"/>
      <c r="K19" s="27" t="s">
        <v>337</v>
      </c>
      <c r="L19" s="27"/>
      <c r="M19" s="27"/>
      <c r="N19" s="27"/>
      <c r="O19" s="27"/>
      <c r="P19" s="27"/>
      <c r="Q19" s="27"/>
      <c r="R19" s="27"/>
      <c r="S19" s="27"/>
      <c r="T19" s="27"/>
      <c r="U19" s="27" t="s">
        <v>337</v>
      </c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 t="s">
        <v>98</v>
      </c>
      <c r="AL19" s="27" t="s">
        <v>98</v>
      </c>
      <c r="BR19" s="45"/>
      <c r="BS19" s="45"/>
      <c r="BT19" s="45"/>
      <c r="BU19" s="45"/>
      <c r="BV19" s="45"/>
      <c r="BW19" s="45"/>
    </row>
    <row r="20" spans="1:94" x14ac:dyDescent="0.2">
      <c r="A20" s="521"/>
      <c r="B20" s="78" t="s">
        <v>11</v>
      </c>
      <c r="C20" s="6" t="s">
        <v>89</v>
      </c>
      <c r="D20" s="27" t="s">
        <v>98</v>
      </c>
      <c r="E20" s="27"/>
      <c r="F20" s="27"/>
      <c r="G20" s="27" t="s">
        <v>98</v>
      </c>
      <c r="H20" s="27"/>
      <c r="I20" s="27" t="s">
        <v>98</v>
      </c>
      <c r="J20" s="27" t="s">
        <v>98</v>
      </c>
      <c r="K20" s="27"/>
      <c r="L20" s="27"/>
      <c r="M20" s="27" t="s">
        <v>98</v>
      </c>
      <c r="N20" s="27"/>
      <c r="O20" s="27" t="s">
        <v>98</v>
      </c>
      <c r="P20" s="27"/>
      <c r="Q20" s="27"/>
      <c r="R20" s="27"/>
      <c r="S20" s="27"/>
      <c r="T20" s="27"/>
      <c r="U20" s="27"/>
      <c r="V20" s="27"/>
      <c r="W20" s="27"/>
      <c r="X20" s="27" t="s">
        <v>98</v>
      </c>
      <c r="Y20" s="27" t="s">
        <v>98</v>
      </c>
      <c r="Z20" s="27" t="s">
        <v>98</v>
      </c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BR20" s="45"/>
      <c r="BS20" s="45"/>
      <c r="BT20" s="45"/>
      <c r="BU20" s="45"/>
      <c r="BV20" s="45"/>
      <c r="BW20" s="45"/>
    </row>
    <row r="21" spans="1:94" x14ac:dyDescent="0.2">
      <c r="A21" s="521"/>
      <c r="B21" s="78" t="s">
        <v>10</v>
      </c>
      <c r="C21" s="6" t="s">
        <v>488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 t="s">
        <v>98</v>
      </c>
      <c r="V21" s="27" t="s">
        <v>98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N21" s="45"/>
      <c r="AO21" s="310" t="s">
        <v>49</v>
      </c>
      <c r="AP21" s="311"/>
      <c r="AQ21" s="45"/>
      <c r="AR21" s="45"/>
      <c r="AS21" s="324" t="s">
        <v>176</v>
      </c>
      <c r="AT21" s="325"/>
      <c r="AU21" s="326"/>
      <c r="AV21" s="45"/>
      <c r="AW21" s="45"/>
      <c r="AX21" s="324" t="s">
        <v>177</v>
      </c>
      <c r="AY21" s="325"/>
      <c r="AZ21" s="325"/>
      <c r="BA21" s="326"/>
      <c r="BB21" s="45"/>
      <c r="BC21" s="45"/>
      <c r="BD21" s="310" t="s">
        <v>160</v>
      </c>
      <c r="BE21" s="327"/>
      <c r="BF21" s="311"/>
      <c r="BR21" s="45"/>
      <c r="BS21" s="45"/>
      <c r="BT21" s="45"/>
      <c r="BU21" s="45"/>
      <c r="BV21" s="45"/>
      <c r="BW21" s="45"/>
    </row>
    <row r="22" spans="1:94" x14ac:dyDescent="0.2">
      <c r="A22" s="521"/>
      <c r="B22" s="78" t="s">
        <v>13</v>
      </c>
      <c r="C22" s="6" t="s">
        <v>489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 t="s">
        <v>98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N22" s="45"/>
      <c r="AO22" s="318" t="s">
        <v>9</v>
      </c>
      <c r="AP22" s="318" t="s">
        <v>7</v>
      </c>
      <c r="AQ22" s="45"/>
      <c r="AR22" s="45"/>
      <c r="AS22" s="318" t="s">
        <v>8</v>
      </c>
      <c r="AT22" s="318" t="s">
        <v>166</v>
      </c>
      <c r="AU22" s="318" t="s">
        <v>186</v>
      </c>
      <c r="AV22" s="45"/>
      <c r="AW22" s="45"/>
      <c r="AX22" s="318" t="s">
        <v>187</v>
      </c>
      <c r="AY22" s="318" t="s">
        <v>200</v>
      </c>
      <c r="AZ22" s="318" t="s">
        <v>201</v>
      </c>
      <c r="BA22" s="318" t="s">
        <v>202</v>
      </c>
      <c r="BB22" s="45"/>
      <c r="BC22" s="45"/>
      <c r="BD22" s="318" t="s">
        <v>203</v>
      </c>
      <c r="BE22" s="318" t="s">
        <v>204</v>
      </c>
      <c r="BF22" s="318" t="s">
        <v>207</v>
      </c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L22" s="45"/>
      <c r="CM22" s="45"/>
      <c r="CN22" s="45"/>
      <c r="CO22" s="45"/>
      <c r="CP22" s="45"/>
    </row>
    <row r="23" spans="1:94" x14ac:dyDescent="0.2">
      <c r="A23" s="521"/>
      <c r="B23" s="78" t="s">
        <v>12</v>
      </c>
      <c r="C23" s="6" t="s">
        <v>490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 t="s">
        <v>98</v>
      </c>
      <c r="AN23" s="79" t="s">
        <v>63</v>
      </c>
      <c r="AO23" s="27" t="s">
        <v>98</v>
      </c>
      <c r="AP23" s="27" t="s">
        <v>98</v>
      </c>
      <c r="AR23" s="79" t="s">
        <v>63</v>
      </c>
      <c r="AS23" s="27" t="s">
        <v>337</v>
      </c>
      <c r="AT23" s="27" t="s">
        <v>337</v>
      </c>
      <c r="AU23" s="27" t="s">
        <v>337</v>
      </c>
      <c r="AW23" s="79" t="s">
        <v>65</v>
      </c>
      <c r="AX23" s="27" t="s">
        <v>98</v>
      </c>
      <c r="AY23" s="27" t="s">
        <v>98</v>
      </c>
      <c r="AZ23" s="27" t="s">
        <v>98</v>
      </c>
      <c r="BA23" s="27" t="s">
        <v>98</v>
      </c>
      <c r="BB23" s="45"/>
      <c r="BC23" s="79" t="s">
        <v>63</v>
      </c>
      <c r="BD23" s="27" t="s">
        <v>98</v>
      </c>
      <c r="BE23" s="27" t="s">
        <v>98</v>
      </c>
      <c r="BF23" s="27" t="s">
        <v>98</v>
      </c>
      <c r="BR23" s="45"/>
      <c r="BS23" s="45"/>
      <c r="BT23" s="45"/>
      <c r="BU23" s="45"/>
      <c r="BV23" s="45"/>
      <c r="BW23" s="45"/>
      <c r="CB23" s="45"/>
      <c r="CC23" s="45"/>
      <c r="CD23" s="45"/>
      <c r="CE23" s="45"/>
      <c r="CF23" s="45"/>
      <c r="CG23" s="45"/>
      <c r="CH23" s="45"/>
      <c r="CI23" s="45"/>
      <c r="CL23" s="45"/>
    </row>
    <row r="24" spans="1:94" x14ac:dyDescent="0.2">
      <c r="A24" s="521"/>
      <c r="B24" s="78" t="s">
        <v>15</v>
      </c>
      <c r="C24" s="6" t="s">
        <v>491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 t="s">
        <v>98</v>
      </c>
      <c r="AL24" s="27"/>
      <c r="AN24" s="79" t="s">
        <v>68</v>
      </c>
      <c r="AO24" s="27"/>
      <c r="AP24" s="27" t="s">
        <v>98</v>
      </c>
      <c r="AR24" s="79" t="s">
        <v>68</v>
      </c>
      <c r="AS24" s="27" t="s">
        <v>98</v>
      </c>
      <c r="AT24" s="27"/>
      <c r="AU24" s="27" t="s">
        <v>98</v>
      </c>
      <c r="AW24" s="79" t="s">
        <v>57</v>
      </c>
      <c r="AX24" s="27" t="s">
        <v>98</v>
      </c>
      <c r="AY24" s="27" t="s">
        <v>98</v>
      </c>
      <c r="AZ24" s="27" t="s">
        <v>98</v>
      </c>
      <c r="BA24" s="27" t="s">
        <v>98</v>
      </c>
      <c r="BB24" s="45"/>
      <c r="BC24" s="79" t="s">
        <v>64</v>
      </c>
      <c r="BD24" s="27" t="s">
        <v>98</v>
      </c>
      <c r="BE24" s="27" t="s">
        <v>98</v>
      </c>
      <c r="BF24" s="27" t="s">
        <v>98</v>
      </c>
      <c r="BR24" s="45"/>
      <c r="BW24" s="45"/>
      <c r="CB24" s="45"/>
      <c r="CC24" s="45"/>
      <c r="CD24" s="45"/>
      <c r="CE24" s="45"/>
      <c r="CF24" s="45"/>
      <c r="CG24" s="45"/>
      <c r="CH24" s="45"/>
      <c r="CI24" s="45"/>
      <c r="CL24" s="45"/>
    </row>
    <row r="25" spans="1:94" x14ac:dyDescent="0.2">
      <c r="A25" s="521"/>
      <c r="B25" s="78" t="s">
        <v>14</v>
      </c>
      <c r="C25" s="6" t="s">
        <v>493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 t="s">
        <v>98</v>
      </c>
      <c r="AK25" s="27"/>
      <c r="AL25" s="27"/>
      <c r="AN25" s="79" t="s">
        <v>57</v>
      </c>
      <c r="AO25" s="27" t="s">
        <v>98</v>
      </c>
      <c r="AP25" s="27" t="s">
        <v>98</v>
      </c>
      <c r="AR25" s="79" t="s">
        <v>57</v>
      </c>
      <c r="AS25" s="27" t="s">
        <v>98</v>
      </c>
      <c r="AT25" s="27" t="s">
        <v>98</v>
      </c>
      <c r="AU25" s="27" t="s">
        <v>98</v>
      </c>
      <c r="AW25" s="79" t="s">
        <v>58</v>
      </c>
      <c r="AX25" s="27" t="s">
        <v>98</v>
      </c>
      <c r="AY25" s="27" t="s">
        <v>98</v>
      </c>
      <c r="AZ25" s="27" t="s">
        <v>98</v>
      </c>
      <c r="BA25" s="27" t="s">
        <v>98</v>
      </c>
      <c r="BB25" s="45"/>
      <c r="BC25" s="79" t="s">
        <v>57</v>
      </c>
      <c r="BD25" s="27" t="s">
        <v>98</v>
      </c>
      <c r="BE25" s="27"/>
      <c r="BF25" s="27"/>
      <c r="BR25" s="45"/>
      <c r="BW25" s="45"/>
      <c r="CB25" s="45"/>
      <c r="CC25" s="45"/>
      <c r="CD25" s="45"/>
      <c r="CE25" s="45"/>
      <c r="CF25" s="45"/>
      <c r="CG25" s="45"/>
      <c r="CH25" s="45"/>
      <c r="CI25" s="45"/>
      <c r="CL25" s="45"/>
    </row>
    <row r="26" spans="1:94" x14ac:dyDescent="0.2">
      <c r="A26" s="521"/>
      <c r="B26" s="78" t="s">
        <v>17</v>
      </c>
      <c r="C26" s="6" t="s">
        <v>494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 t="s">
        <v>98</v>
      </c>
      <c r="AF26" s="27"/>
      <c r="AG26" s="27"/>
      <c r="AH26" s="27"/>
      <c r="AI26" s="27"/>
      <c r="AJ26" s="27"/>
      <c r="AK26" s="27"/>
      <c r="AL26" s="27"/>
      <c r="AN26" s="79" t="s">
        <v>58</v>
      </c>
      <c r="AO26" s="27" t="s">
        <v>98</v>
      </c>
      <c r="AP26" s="27" t="s">
        <v>98</v>
      </c>
      <c r="AR26" s="79" t="s">
        <v>58</v>
      </c>
      <c r="AS26" s="27" t="s">
        <v>98</v>
      </c>
      <c r="AT26" s="27" t="s">
        <v>98</v>
      </c>
      <c r="AU26" s="27" t="s">
        <v>98</v>
      </c>
      <c r="AW26" s="79" t="s">
        <v>80</v>
      </c>
      <c r="AX26" s="27" t="s">
        <v>98</v>
      </c>
      <c r="AY26" s="27" t="s">
        <v>98</v>
      </c>
      <c r="AZ26" s="27" t="s">
        <v>98</v>
      </c>
      <c r="BA26" s="27" t="s">
        <v>98</v>
      </c>
      <c r="BB26" s="45"/>
      <c r="BC26" s="79" t="s">
        <v>58</v>
      </c>
      <c r="BD26" s="27" t="s">
        <v>98</v>
      </c>
      <c r="BE26" s="27"/>
      <c r="BF26" s="27"/>
      <c r="BR26" s="45"/>
      <c r="BW26" s="45"/>
      <c r="CB26" s="45"/>
      <c r="CC26" s="45"/>
      <c r="CD26" s="45"/>
      <c r="CE26" s="45"/>
      <c r="CF26" s="45"/>
      <c r="CG26" s="45"/>
      <c r="CH26" s="45"/>
      <c r="CI26" s="45"/>
      <c r="CL26" s="45"/>
    </row>
    <row r="27" spans="1:94" x14ac:dyDescent="0.2">
      <c r="A27" s="521"/>
      <c r="B27" s="78" t="s">
        <v>18</v>
      </c>
      <c r="C27" s="6" t="s">
        <v>495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 t="s">
        <v>98</v>
      </c>
      <c r="AF27" s="27"/>
      <c r="AG27" s="27"/>
      <c r="AH27" s="27"/>
      <c r="AI27" s="27"/>
      <c r="AJ27" s="27"/>
      <c r="AK27" s="27"/>
      <c r="AL27" s="27"/>
      <c r="AN27" s="79" t="s">
        <v>99</v>
      </c>
      <c r="AO27" s="27"/>
      <c r="AP27" s="27" t="s">
        <v>98</v>
      </c>
      <c r="AR27" s="79" t="s">
        <v>99</v>
      </c>
      <c r="AS27" s="27"/>
      <c r="AT27" s="27" t="s">
        <v>98</v>
      </c>
      <c r="AU27" s="27"/>
      <c r="BB27" s="45"/>
      <c r="BC27" s="79" t="s">
        <v>56</v>
      </c>
      <c r="BD27" s="27" t="s">
        <v>337</v>
      </c>
      <c r="BE27" s="27"/>
      <c r="BF27" s="27"/>
      <c r="BR27" s="45"/>
      <c r="BW27" s="45"/>
      <c r="CB27" s="45"/>
      <c r="CC27" s="45"/>
      <c r="CD27" s="45"/>
      <c r="CE27" s="45"/>
      <c r="CF27" s="45"/>
      <c r="CG27" s="45"/>
      <c r="CH27" s="45"/>
      <c r="CI27" s="45"/>
      <c r="CL27" s="45"/>
    </row>
    <row r="28" spans="1:94" x14ac:dyDescent="0.2">
      <c r="A28" s="521"/>
      <c r="B28" s="78" t="s">
        <v>19</v>
      </c>
      <c r="C28" s="6" t="s">
        <v>497</v>
      </c>
      <c r="D28" s="27"/>
      <c r="E28" s="27"/>
      <c r="F28" s="27"/>
      <c r="G28" s="27"/>
      <c r="H28" s="27" t="s">
        <v>98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N28" s="79" t="s">
        <v>80</v>
      </c>
      <c r="AO28" s="27" t="s">
        <v>98</v>
      </c>
      <c r="AP28" s="27" t="s">
        <v>98</v>
      </c>
      <c r="AR28" s="79" t="s">
        <v>80</v>
      </c>
      <c r="AS28" s="27" t="s">
        <v>98</v>
      </c>
      <c r="AT28" s="27" t="s">
        <v>98</v>
      </c>
      <c r="AU28" s="27" t="s">
        <v>98</v>
      </c>
      <c r="BB28" s="45"/>
      <c r="BC28" s="79" t="s">
        <v>100</v>
      </c>
      <c r="BD28" s="27" t="s">
        <v>98</v>
      </c>
      <c r="BE28" s="27" t="s">
        <v>98</v>
      </c>
      <c r="BF28" s="27"/>
      <c r="BR28" s="45"/>
      <c r="BW28" s="45"/>
      <c r="CB28" s="45"/>
      <c r="CI28" s="45"/>
      <c r="CL28" s="45"/>
    </row>
    <row r="29" spans="1:94" x14ac:dyDescent="0.2">
      <c r="A29" s="521"/>
      <c r="B29" s="78" t="s">
        <v>20</v>
      </c>
      <c r="C29" s="6" t="s">
        <v>498</v>
      </c>
      <c r="D29" s="27"/>
      <c r="E29" s="27"/>
      <c r="F29" s="27"/>
      <c r="G29" s="27"/>
      <c r="H29" s="27" t="s">
        <v>98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N29" s="79" t="s">
        <v>81</v>
      </c>
      <c r="AO29" s="27" t="s">
        <v>98</v>
      </c>
      <c r="AP29" s="27" t="s">
        <v>98</v>
      </c>
      <c r="AR29" s="79" t="s">
        <v>81</v>
      </c>
      <c r="AS29" s="27" t="s">
        <v>98</v>
      </c>
      <c r="AT29" s="27"/>
      <c r="AU29" s="27" t="s">
        <v>98</v>
      </c>
      <c r="BB29" s="45"/>
      <c r="BC29" s="79" t="s">
        <v>101</v>
      </c>
      <c r="BD29" s="27"/>
      <c r="BE29" s="27"/>
      <c r="BF29" s="27" t="s">
        <v>98</v>
      </c>
      <c r="BR29" s="45"/>
      <c r="BW29" s="45"/>
      <c r="CB29" s="45"/>
      <c r="CI29" s="45"/>
      <c r="CL29" s="45"/>
    </row>
    <row r="30" spans="1:94" x14ac:dyDescent="0.2">
      <c r="A30" s="521"/>
      <c r="B30" s="78" t="s">
        <v>21</v>
      </c>
      <c r="C30" s="6" t="s">
        <v>499</v>
      </c>
      <c r="D30" s="27"/>
      <c r="E30" s="27"/>
      <c r="F30" s="27"/>
      <c r="G30" s="27"/>
      <c r="H30" s="27"/>
      <c r="I30" s="27" t="s">
        <v>98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BB30" s="45"/>
      <c r="BC30" s="79" t="s">
        <v>80</v>
      </c>
      <c r="BD30" s="27" t="s">
        <v>98</v>
      </c>
      <c r="BE30" s="27"/>
      <c r="BF30" s="27"/>
      <c r="BR30" s="45"/>
      <c r="BW30" s="45"/>
      <c r="CB30" s="45"/>
      <c r="CI30" s="45"/>
      <c r="CL30" s="45"/>
    </row>
    <row r="31" spans="1:94" x14ac:dyDescent="0.2">
      <c r="A31" s="521"/>
      <c r="B31" s="78" t="s">
        <v>3</v>
      </c>
      <c r="C31" s="6" t="s">
        <v>501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 t="s">
        <v>98</v>
      </c>
      <c r="AG31" s="27"/>
      <c r="AH31" s="27"/>
      <c r="AI31" s="27"/>
      <c r="AJ31" s="27"/>
      <c r="AK31" s="27"/>
      <c r="AL31" s="27"/>
      <c r="BR31" s="45"/>
      <c r="BW31" s="45"/>
      <c r="CB31" s="45"/>
      <c r="CI31" s="45"/>
      <c r="CL31" s="45"/>
    </row>
    <row r="32" spans="1:94" x14ac:dyDescent="0.2">
      <c r="A32" s="521"/>
      <c r="B32" s="78" t="s">
        <v>2</v>
      </c>
      <c r="C32" s="6" t="s">
        <v>502</v>
      </c>
      <c r="D32" s="27" t="s">
        <v>98</v>
      </c>
      <c r="E32" s="27" t="s">
        <v>98</v>
      </c>
      <c r="F32" s="27" t="s">
        <v>98</v>
      </c>
      <c r="G32" s="27" t="s">
        <v>98</v>
      </c>
      <c r="H32" s="27"/>
      <c r="I32" s="27" t="s">
        <v>98</v>
      </c>
      <c r="J32" s="27" t="s">
        <v>98</v>
      </c>
      <c r="K32" s="27" t="s">
        <v>98</v>
      </c>
      <c r="L32" s="27" t="s">
        <v>98</v>
      </c>
      <c r="M32" s="27" t="s">
        <v>98</v>
      </c>
      <c r="N32" s="27" t="s">
        <v>98</v>
      </c>
      <c r="O32" s="27" t="s">
        <v>98</v>
      </c>
      <c r="P32" s="27" t="s">
        <v>98</v>
      </c>
      <c r="Q32" s="27" t="s">
        <v>98</v>
      </c>
      <c r="R32" s="27" t="s">
        <v>98</v>
      </c>
      <c r="S32" s="27" t="s">
        <v>98</v>
      </c>
      <c r="T32" s="27" t="s">
        <v>98</v>
      </c>
      <c r="U32" s="27" t="s">
        <v>98</v>
      </c>
      <c r="V32" s="27"/>
      <c r="W32" s="27"/>
      <c r="X32" s="27" t="s">
        <v>98</v>
      </c>
      <c r="Y32" s="27" t="s">
        <v>98</v>
      </c>
      <c r="Z32" s="27" t="s">
        <v>98</v>
      </c>
      <c r="AA32" s="27" t="s">
        <v>98</v>
      </c>
      <c r="AB32" s="27" t="s">
        <v>98</v>
      </c>
      <c r="AC32" s="27" t="s">
        <v>98</v>
      </c>
      <c r="AD32" s="27" t="s">
        <v>98</v>
      </c>
      <c r="AE32" s="27" t="s">
        <v>98</v>
      </c>
      <c r="AF32" s="27" t="s">
        <v>98</v>
      </c>
      <c r="AG32" s="27" t="s">
        <v>98</v>
      </c>
      <c r="AH32" s="27" t="s">
        <v>98</v>
      </c>
      <c r="AI32" s="27" t="s">
        <v>98</v>
      </c>
      <c r="AJ32" s="27" t="s">
        <v>98</v>
      </c>
      <c r="AK32" s="27"/>
      <c r="AL32" s="27"/>
      <c r="BR32" s="45"/>
      <c r="BW32" s="45"/>
      <c r="CB32" s="45"/>
      <c r="CI32" s="45"/>
      <c r="CL32" s="45"/>
    </row>
    <row r="33" spans="1:90" x14ac:dyDescent="0.2">
      <c r="A33" s="521"/>
      <c r="B33" s="78" t="s">
        <v>1</v>
      </c>
      <c r="C33" s="6" t="s">
        <v>106</v>
      </c>
      <c r="D33" s="27"/>
      <c r="E33" s="27" t="s">
        <v>98</v>
      </c>
      <c r="F33" s="27" t="s">
        <v>98</v>
      </c>
      <c r="G33" s="27" t="s">
        <v>98</v>
      </c>
      <c r="H33" s="27"/>
      <c r="I33" s="27" t="s">
        <v>98</v>
      </c>
      <c r="J33" s="27" t="s">
        <v>98</v>
      </c>
      <c r="K33" s="27" t="s">
        <v>98</v>
      </c>
      <c r="L33" s="27" t="s">
        <v>98</v>
      </c>
      <c r="M33" s="27" t="s">
        <v>98</v>
      </c>
      <c r="N33" s="27" t="s">
        <v>98</v>
      </c>
      <c r="O33" s="27"/>
      <c r="P33" s="27" t="s">
        <v>98</v>
      </c>
      <c r="Q33" s="27"/>
      <c r="R33" s="27"/>
      <c r="S33" s="27"/>
      <c r="T33" s="27"/>
      <c r="U33" s="27"/>
      <c r="V33" s="27"/>
      <c r="W33" s="27"/>
      <c r="X33" s="27"/>
      <c r="Y33" s="27" t="s">
        <v>98</v>
      </c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BR33" s="45"/>
      <c r="BW33" s="45"/>
      <c r="CB33" s="45"/>
      <c r="CI33" s="45"/>
      <c r="CL33" s="45"/>
    </row>
    <row r="34" spans="1:90" ht="12.75" customHeight="1" x14ac:dyDescent="0.2">
      <c r="A34" s="521"/>
      <c r="B34" s="78" t="s">
        <v>0</v>
      </c>
      <c r="C34" s="6" t="s">
        <v>168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 t="s">
        <v>98</v>
      </c>
      <c r="AD34" s="27" t="s">
        <v>98</v>
      </c>
      <c r="AE34" s="27"/>
      <c r="AF34" s="27"/>
      <c r="AG34" s="27"/>
      <c r="AH34" s="27"/>
      <c r="AI34" s="27" t="s">
        <v>98</v>
      </c>
      <c r="AJ34" s="27"/>
      <c r="AK34" s="27"/>
      <c r="AL34" s="27"/>
      <c r="AN34" s="45"/>
      <c r="AO34" s="322" t="s">
        <v>38</v>
      </c>
      <c r="AP34" s="323"/>
      <c r="AQ34" s="328"/>
      <c r="AR34" s="45"/>
      <c r="AS34" s="45"/>
      <c r="AT34" s="322" t="s">
        <v>37</v>
      </c>
      <c r="AU34" s="323"/>
      <c r="AV34" s="323"/>
      <c r="AW34" s="323"/>
      <c r="AX34" s="328"/>
      <c r="AY34" s="45"/>
      <c r="AZ34" s="45"/>
      <c r="BA34" s="312" t="s">
        <v>519</v>
      </c>
      <c r="BB34" s="45"/>
      <c r="BC34" s="45"/>
      <c r="BD34" s="322" t="s">
        <v>151</v>
      </c>
      <c r="BE34" s="323"/>
      <c r="BF34" s="323"/>
      <c r="BG34" s="328"/>
      <c r="BH34" s="45"/>
      <c r="BI34" s="45"/>
      <c r="BJ34" s="305" t="s">
        <v>518</v>
      </c>
      <c r="BK34" s="314"/>
      <c r="BR34" s="45"/>
      <c r="BW34" s="45"/>
      <c r="CB34" s="45"/>
      <c r="CI34" s="45"/>
      <c r="CL34" s="45"/>
    </row>
    <row r="35" spans="1:90" x14ac:dyDescent="0.2">
      <c r="A35" s="521"/>
      <c r="B35" s="78" t="s">
        <v>5</v>
      </c>
      <c r="C35" s="6" t="s">
        <v>173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 t="s">
        <v>98</v>
      </c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N35" s="45"/>
      <c r="AO35" s="317" t="s">
        <v>84</v>
      </c>
      <c r="AP35" s="317" t="s">
        <v>87</v>
      </c>
      <c r="AQ35" s="317" t="s">
        <v>90</v>
      </c>
      <c r="AR35" s="45"/>
      <c r="AS35" s="45"/>
      <c r="AT35" s="317" t="s">
        <v>92</v>
      </c>
      <c r="AU35" s="317" t="s">
        <v>94</v>
      </c>
      <c r="AV35" s="317" t="s">
        <v>73</v>
      </c>
      <c r="AW35" s="317" t="s">
        <v>75</v>
      </c>
      <c r="AX35" s="317" t="s">
        <v>76</v>
      </c>
      <c r="AY35" s="45"/>
      <c r="AZ35" s="45"/>
      <c r="BA35" s="317" t="s">
        <v>78</v>
      </c>
      <c r="BB35" s="45"/>
      <c r="BC35" s="45"/>
      <c r="BD35" s="317" t="s">
        <v>79</v>
      </c>
      <c r="BE35" s="317" t="s">
        <v>74</v>
      </c>
      <c r="BF35" s="317" t="s">
        <v>158</v>
      </c>
      <c r="BG35" s="317" t="s">
        <v>159</v>
      </c>
      <c r="BH35" s="45"/>
      <c r="BI35" s="45"/>
      <c r="BJ35" s="317" t="s">
        <v>516</v>
      </c>
      <c r="BK35" s="317" t="s">
        <v>517</v>
      </c>
      <c r="BR35" s="45"/>
      <c r="BW35" s="45"/>
      <c r="CB35" s="45"/>
      <c r="CI35" s="45"/>
      <c r="CL35" s="45"/>
    </row>
    <row r="36" spans="1:90" x14ac:dyDescent="0.2">
      <c r="A36" s="521"/>
      <c r="B36" s="78" t="s">
        <v>4</v>
      </c>
      <c r="C36" s="6" t="s">
        <v>503</v>
      </c>
      <c r="D36" s="27"/>
      <c r="E36" s="27"/>
      <c r="F36" s="27"/>
      <c r="G36" s="27" t="s">
        <v>98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 t="s">
        <v>98</v>
      </c>
      <c r="AL36" s="27"/>
      <c r="AN36" s="79" t="s">
        <v>68</v>
      </c>
      <c r="AO36" s="27" t="s">
        <v>98</v>
      </c>
      <c r="AP36" s="27" t="s">
        <v>98</v>
      </c>
      <c r="AQ36" s="27" t="s">
        <v>98</v>
      </c>
      <c r="AR36" s="45"/>
      <c r="AS36" s="79" t="s">
        <v>66</v>
      </c>
      <c r="AT36" s="27"/>
      <c r="AU36" s="27" t="s">
        <v>98</v>
      </c>
      <c r="AV36" s="27"/>
      <c r="AW36" s="27"/>
      <c r="AX36" s="27"/>
      <c r="AY36" s="45"/>
      <c r="AZ36" s="79" t="s">
        <v>67</v>
      </c>
      <c r="BA36" s="27" t="s">
        <v>98</v>
      </c>
      <c r="BB36" s="45"/>
      <c r="BC36" s="79" t="s">
        <v>67</v>
      </c>
      <c r="BD36" s="27" t="s">
        <v>98</v>
      </c>
      <c r="BE36" s="27" t="s">
        <v>98</v>
      </c>
      <c r="BF36" s="27" t="s">
        <v>98</v>
      </c>
      <c r="BG36" s="27" t="s">
        <v>98</v>
      </c>
      <c r="BI36" s="79" t="s">
        <v>64</v>
      </c>
      <c r="BJ36" s="27" t="s">
        <v>98</v>
      </c>
      <c r="BK36" s="27" t="s">
        <v>98</v>
      </c>
      <c r="BR36" s="45"/>
      <c r="BW36" s="45"/>
      <c r="CB36" s="45"/>
      <c r="CI36" s="45"/>
      <c r="CL36" s="45"/>
    </row>
    <row r="37" spans="1:90" x14ac:dyDescent="0.2">
      <c r="AE37" s="25"/>
      <c r="AF37" s="25"/>
      <c r="AG37" s="25"/>
      <c r="AH37" s="25"/>
      <c r="AI37" s="25"/>
      <c r="AN37" s="79" t="s">
        <v>57</v>
      </c>
      <c r="AO37" s="27" t="s">
        <v>98</v>
      </c>
      <c r="AP37" s="27" t="s">
        <v>98</v>
      </c>
      <c r="AQ37" s="27" t="s">
        <v>98</v>
      </c>
      <c r="AR37" s="45"/>
      <c r="AS37" s="79" t="s">
        <v>67</v>
      </c>
      <c r="AT37" s="27" t="s">
        <v>98</v>
      </c>
      <c r="AU37" s="27" t="s">
        <v>98</v>
      </c>
      <c r="AV37" s="27" t="s">
        <v>98</v>
      </c>
      <c r="AW37" s="27" t="s">
        <v>98</v>
      </c>
      <c r="AX37" s="27" t="s">
        <v>98</v>
      </c>
      <c r="AY37" s="45"/>
      <c r="AZ37" s="79" t="s">
        <v>57</v>
      </c>
      <c r="BA37" s="27" t="s">
        <v>98</v>
      </c>
      <c r="BB37" s="45"/>
      <c r="BC37" s="79" t="s">
        <v>69</v>
      </c>
      <c r="BD37" s="27"/>
      <c r="BE37" s="27"/>
      <c r="BF37" s="27" t="s">
        <v>98</v>
      </c>
      <c r="BG37" s="27"/>
      <c r="BI37" s="79" t="s">
        <v>56</v>
      </c>
      <c r="BJ37" s="27" t="s">
        <v>98</v>
      </c>
      <c r="BK37" s="27" t="s">
        <v>98</v>
      </c>
      <c r="BR37" s="45"/>
      <c r="BW37" s="45"/>
      <c r="CB37" s="45"/>
      <c r="CI37" s="45"/>
      <c r="CL37" s="45"/>
    </row>
    <row r="38" spans="1:90" x14ac:dyDescent="0.2">
      <c r="AN38" s="79" t="s">
        <v>58</v>
      </c>
      <c r="AO38" s="27" t="s">
        <v>98</v>
      </c>
      <c r="AP38" s="27" t="s">
        <v>98</v>
      </c>
      <c r="AQ38" s="27" t="s">
        <v>98</v>
      </c>
      <c r="AR38" s="45"/>
      <c r="AS38" s="79" t="s">
        <v>70</v>
      </c>
      <c r="AT38" s="27"/>
      <c r="AU38" s="27"/>
      <c r="AV38" s="27" t="s">
        <v>98</v>
      </c>
      <c r="AW38" s="27"/>
      <c r="AX38" s="27"/>
      <c r="AY38" s="45"/>
      <c r="AZ38" s="79" t="s">
        <v>58</v>
      </c>
      <c r="BA38" s="27" t="s">
        <v>98</v>
      </c>
      <c r="BB38" s="45"/>
      <c r="BC38" s="79" t="s">
        <v>57</v>
      </c>
      <c r="BD38" s="27" t="s">
        <v>98</v>
      </c>
      <c r="BE38" s="27" t="s">
        <v>98</v>
      </c>
      <c r="BF38" s="27" t="s">
        <v>98</v>
      </c>
      <c r="BG38" s="27" t="s">
        <v>98</v>
      </c>
      <c r="BI38" s="79" t="s">
        <v>59</v>
      </c>
      <c r="BJ38" s="27"/>
      <c r="BK38" s="27" t="s">
        <v>98</v>
      </c>
      <c r="BR38" s="45"/>
      <c r="BW38" s="45"/>
      <c r="CB38" s="45"/>
      <c r="CI38" s="45"/>
      <c r="CL38" s="45"/>
    </row>
    <row r="39" spans="1:90" x14ac:dyDescent="0.2">
      <c r="G39" s="25"/>
      <c r="AN39" s="79" t="s">
        <v>99</v>
      </c>
      <c r="AO39" s="27" t="s">
        <v>98</v>
      </c>
      <c r="AP39" s="27" t="s">
        <v>98</v>
      </c>
      <c r="AQ39" s="27" t="s">
        <v>98</v>
      </c>
      <c r="AR39" s="45"/>
      <c r="AS39" s="79" t="s">
        <v>69</v>
      </c>
      <c r="AT39" s="27"/>
      <c r="AU39" s="27"/>
      <c r="AV39" s="27"/>
      <c r="AW39" s="27" t="s">
        <v>98</v>
      </c>
      <c r="AX39" s="27"/>
      <c r="AY39" s="45"/>
      <c r="AZ39" s="79" t="s">
        <v>93</v>
      </c>
      <c r="BA39" s="27" t="s">
        <v>98</v>
      </c>
      <c r="BB39" s="45"/>
      <c r="BC39" s="79" t="s">
        <v>58</v>
      </c>
      <c r="BD39" s="27" t="s">
        <v>98</v>
      </c>
      <c r="BE39" s="27" t="s">
        <v>98</v>
      </c>
      <c r="BF39" s="27" t="s">
        <v>98</v>
      </c>
      <c r="BG39" s="27" t="s">
        <v>98</v>
      </c>
      <c r="BI39" s="79" t="s">
        <v>102</v>
      </c>
      <c r="BJ39" s="27" t="s">
        <v>98</v>
      </c>
      <c r="BK39" s="27"/>
      <c r="BR39" s="45"/>
      <c r="BW39" s="45"/>
      <c r="CB39" s="45"/>
      <c r="CI39" s="45"/>
      <c r="CL39" s="45"/>
    </row>
    <row r="40" spans="1:90" x14ac:dyDescent="0.2">
      <c r="D40" s="79" t="s">
        <v>63</v>
      </c>
      <c r="E40" s="79" t="s">
        <v>64</v>
      </c>
      <c r="F40" s="79" t="s">
        <v>65</v>
      </c>
      <c r="G40" s="79" t="s">
        <v>66</v>
      </c>
      <c r="H40" s="79" t="s">
        <v>67</v>
      </c>
      <c r="I40" s="79" t="s">
        <v>68</v>
      </c>
      <c r="J40" s="79" t="s">
        <v>70</v>
      </c>
      <c r="K40" s="79" t="s">
        <v>69</v>
      </c>
      <c r="L40" s="79" t="s">
        <v>71</v>
      </c>
      <c r="M40" s="79" t="s">
        <v>57</v>
      </c>
      <c r="N40" s="79" t="s">
        <v>58</v>
      </c>
      <c r="O40" s="79" t="s">
        <v>56</v>
      </c>
      <c r="P40" s="79" t="s">
        <v>99</v>
      </c>
      <c r="Q40" s="79" t="s">
        <v>100</v>
      </c>
      <c r="R40" s="79" t="s">
        <v>101</v>
      </c>
      <c r="S40" s="79" t="s">
        <v>59</v>
      </c>
      <c r="T40" s="79" t="s">
        <v>102</v>
      </c>
      <c r="U40" s="79" t="s">
        <v>62</v>
      </c>
      <c r="V40" s="79" t="s">
        <v>61</v>
      </c>
      <c r="W40" s="79" t="s">
        <v>77</v>
      </c>
      <c r="X40" s="79" t="s">
        <v>86</v>
      </c>
      <c r="Y40" s="79" t="s">
        <v>88</v>
      </c>
      <c r="Z40" s="79" t="s">
        <v>91</v>
      </c>
      <c r="AA40" s="79" t="s">
        <v>93</v>
      </c>
      <c r="AB40" s="79" t="s">
        <v>80</v>
      </c>
      <c r="AC40" s="79" t="s">
        <v>81</v>
      </c>
      <c r="AD40" s="79" t="s">
        <v>82</v>
      </c>
      <c r="AE40" s="79" t="s">
        <v>83</v>
      </c>
      <c r="AF40" s="89" t="s">
        <v>95</v>
      </c>
      <c r="AN40" s="79" t="s">
        <v>80</v>
      </c>
      <c r="AO40" s="27" t="s">
        <v>98</v>
      </c>
      <c r="AP40" s="27" t="s">
        <v>98</v>
      </c>
      <c r="AQ40" s="27" t="s">
        <v>98</v>
      </c>
      <c r="AR40" s="45"/>
      <c r="AS40" s="79" t="s">
        <v>71</v>
      </c>
      <c r="AT40" s="27"/>
      <c r="AU40" s="27" t="s">
        <v>98</v>
      </c>
      <c r="AV40" s="27"/>
      <c r="AW40" s="27"/>
      <c r="AX40" s="27"/>
      <c r="AY40" s="45"/>
      <c r="AZ40" s="79" t="s">
        <v>80</v>
      </c>
      <c r="BA40" s="27" t="s">
        <v>98</v>
      </c>
      <c r="BB40" s="45"/>
      <c r="BC40" s="79" t="s">
        <v>62</v>
      </c>
      <c r="BD40" s="27"/>
      <c r="BE40" s="27"/>
      <c r="BF40" s="27"/>
      <c r="BG40" s="27" t="s">
        <v>98</v>
      </c>
      <c r="BI40" s="89" t="s">
        <v>95</v>
      </c>
      <c r="BJ40" s="27" t="s">
        <v>98</v>
      </c>
      <c r="BK40" s="27"/>
      <c r="BR40" s="45"/>
      <c r="BW40" s="45"/>
      <c r="CB40" s="45"/>
      <c r="CI40" s="45"/>
      <c r="CL40" s="45"/>
    </row>
    <row r="41" spans="1:90" ht="12.75" customHeight="1" x14ac:dyDescent="0.2">
      <c r="A41" s="521" t="s">
        <v>109</v>
      </c>
      <c r="B41" s="78" t="s">
        <v>35</v>
      </c>
      <c r="C41" s="6" t="s">
        <v>504</v>
      </c>
      <c r="D41" s="68" t="s">
        <v>98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N41" s="79" t="s">
        <v>81</v>
      </c>
      <c r="AO41" s="27"/>
      <c r="AP41" s="27" t="s">
        <v>98</v>
      </c>
      <c r="AQ41" s="27"/>
      <c r="AR41" s="45"/>
      <c r="AS41" s="79" t="s">
        <v>57</v>
      </c>
      <c r="AT41" s="27" t="s">
        <v>98</v>
      </c>
      <c r="AU41" s="27" t="s">
        <v>98</v>
      </c>
      <c r="AV41" s="27" t="s">
        <v>98</v>
      </c>
      <c r="AW41" s="27" t="s">
        <v>98</v>
      </c>
      <c r="AX41" s="27" t="s">
        <v>98</v>
      </c>
      <c r="AY41" s="45"/>
      <c r="AZ41" s="45"/>
      <c r="BA41" s="45"/>
      <c r="BB41" s="45"/>
      <c r="BC41" s="79" t="s">
        <v>80</v>
      </c>
      <c r="BD41" s="27" t="s">
        <v>98</v>
      </c>
      <c r="BE41" s="27" t="s">
        <v>98</v>
      </c>
      <c r="BF41" s="27" t="s">
        <v>98</v>
      </c>
      <c r="BG41" s="27" t="s">
        <v>98</v>
      </c>
      <c r="BR41" s="45"/>
      <c r="BW41" s="45"/>
      <c r="CB41" s="45"/>
      <c r="CI41" s="45"/>
      <c r="CL41" s="45"/>
    </row>
    <row r="42" spans="1:90" x14ac:dyDescent="0.2">
      <c r="A42" s="521"/>
      <c r="B42" s="78" t="s">
        <v>29</v>
      </c>
      <c r="C42" s="6" t="s">
        <v>505</v>
      </c>
      <c r="D42" s="24"/>
      <c r="E42" s="68" t="s">
        <v>98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N42" s="79" t="s">
        <v>83</v>
      </c>
      <c r="AO42" s="27"/>
      <c r="AP42" s="27"/>
      <c r="AQ42" s="27" t="s">
        <v>98</v>
      </c>
      <c r="AR42" s="45"/>
      <c r="AS42" s="79" t="s">
        <v>58</v>
      </c>
      <c r="AT42" s="27" t="s">
        <v>98</v>
      </c>
      <c r="AU42" s="27" t="s">
        <v>98</v>
      </c>
      <c r="AV42" s="27" t="s">
        <v>98</v>
      </c>
      <c r="AW42" s="27" t="s">
        <v>98</v>
      </c>
      <c r="AX42" s="27" t="s">
        <v>98</v>
      </c>
      <c r="AY42" s="45"/>
      <c r="AZ42" s="45"/>
      <c r="BA42" s="45"/>
      <c r="BB42" s="45"/>
      <c r="BC42" s="79" t="s">
        <v>82</v>
      </c>
      <c r="BD42" s="27"/>
      <c r="BE42" s="27"/>
      <c r="BF42" s="27" t="s">
        <v>98</v>
      </c>
      <c r="BG42" s="27"/>
      <c r="BR42" s="45"/>
      <c r="BW42" s="45"/>
      <c r="CB42" s="45"/>
      <c r="CI42" s="45"/>
      <c r="CL42" s="45"/>
    </row>
    <row r="43" spans="1:90" x14ac:dyDescent="0.2">
      <c r="A43" s="521"/>
      <c r="B43" s="78" t="s">
        <v>28</v>
      </c>
      <c r="C43" s="6" t="s">
        <v>485</v>
      </c>
      <c r="D43" s="24"/>
      <c r="E43" s="24"/>
      <c r="F43" s="68" t="s">
        <v>98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N43" s="45"/>
      <c r="AO43" s="45"/>
      <c r="AP43" s="45"/>
      <c r="AQ43" s="45"/>
      <c r="AR43" s="45"/>
      <c r="AS43" s="79" t="s">
        <v>61</v>
      </c>
      <c r="AT43" s="27"/>
      <c r="AU43" s="27"/>
      <c r="AV43" s="27"/>
      <c r="AW43" s="27"/>
      <c r="AX43" s="27" t="s">
        <v>98</v>
      </c>
      <c r="AY43" s="45"/>
      <c r="AZ43" s="45"/>
      <c r="BA43" s="45"/>
      <c r="BB43" s="45"/>
      <c r="BC43" s="45"/>
      <c r="BD43" s="45"/>
      <c r="BE43" s="45"/>
      <c r="BF43" s="45"/>
      <c r="BR43" s="45"/>
      <c r="BW43" s="45"/>
      <c r="CB43" s="45"/>
      <c r="CI43" s="45"/>
      <c r="CL43" s="45"/>
    </row>
    <row r="44" spans="1:90" x14ac:dyDescent="0.2">
      <c r="A44" s="521"/>
      <c r="B44" s="78" t="s">
        <v>27</v>
      </c>
      <c r="C44" s="6" t="s">
        <v>167</v>
      </c>
      <c r="D44" s="24"/>
      <c r="E44" s="24"/>
      <c r="F44" s="24"/>
      <c r="G44" s="68" t="s">
        <v>98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N44" s="45"/>
      <c r="AO44" s="45"/>
      <c r="AP44" s="45"/>
      <c r="AQ44" s="45"/>
      <c r="AR44" s="45"/>
      <c r="AS44" s="79" t="s">
        <v>77</v>
      </c>
      <c r="AT44" s="27"/>
      <c r="AU44" s="27"/>
      <c r="AV44" s="27"/>
      <c r="AW44" s="27"/>
      <c r="AX44" s="27" t="s">
        <v>98</v>
      </c>
      <c r="AY44" s="45"/>
      <c r="AZ44" s="45"/>
      <c r="BA44" s="45"/>
      <c r="BB44" s="45"/>
      <c r="BC44" s="45"/>
      <c r="BD44" s="45"/>
      <c r="BE44" s="45"/>
      <c r="BF44" s="45"/>
      <c r="BR44" s="45"/>
      <c r="BW44" s="45"/>
      <c r="CB44" s="45"/>
      <c r="CI44" s="45"/>
      <c r="CL44" s="45"/>
    </row>
    <row r="45" spans="1:90" x14ac:dyDescent="0.2">
      <c r="A45" s="521"/>
      <c r="B45" s="78" t="s">
        <v>26</v>
      </c>
      <c r="C45" s="6" t="s">
        <v>169</v>
      </c>
      <c r="D45" s="24"/>
      <c r="E45" s="24"/>
      <c r="F45" s="24"/>
      <c r="G45" s="24"/>
      <c r="H45" s="68" t="s">
        <v>98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N45" s="45"/>
      <c r="AO45" s="45"/>
      <c r="AP45" s="45"/>
      <c r="AQ45" s="45"/>
      <c r="AR45" s="45"/>
      <c r="AS45" s="79" t="s">
        <v>80</v>
      </c>
      <c r="AT45" s="27" t="s">
        <v>98</v>
      </c>
      <c r="AU45" s="27" t="s">
        <v>98</v>
      </c>
      <c r="AV45" s="27" t="s">
        <v>98</v>
      </c>
      <c r="AW45" s="27" t="s">
        <v>98</v>
      </c>
      <c r="AX45" s="27" t="s">
        <v>98</v>
      </c>
      <c r="AY45" s="45"/>
      <c r="AZ45" s="45"/>
      <c r="BA45" s="45"/>
      <c r="BB45" s="45"/>
      <c r="BC45" s="45"/>
      <c r="BD45" s="45"/>
      <c r="BE45" s="45"/>
      <c r="BF45" s="45"/>
    </row>
    <row r="46" spans="1:90" x14ac:dyDescent="0.2">
      <c r="A46" s="521"/>
      <c r="B46" s="78" t="s">
        <v>25</v>
      </c>
      <c r="C46" s="6" t="s">
        <v>170</v>
      </c>
      <c r="D46" s="24"/>
      <c r="E46" s="24"/>
      <c r="F46" s="24"/>
      <c r="G46" s="24"/>
      <c r="H46" s="24"/>
      <c r="I46" s="68" t="s">
        <v>98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N46" s="45"/>
      <c r="AO46" s="45"/>
      <c r="AP46" s="45"/>
      <c r="AQ46" s="45"/>
      <c r="AR46" s="45"/>
      <c r="AS46" s="79" t="s">
        <v>82</v>
      </c>
      <c r="AT46" s="27"/>
      <c r="AU46" s="27"/>
      <c r="AV46" s="27" t="s">
        <v>98</v>
      </c>
      <c r="AW46" s="27" t="s">
        <v>98</v>
      </c>
      <c r="AX46" s="27"/>
      <c r="AY46" s="45"/>
      <c r="AZ46" s="45"/>
      <c r="BA46" s="45"/>
      <c r="BB46" s="45"/>
      <c r="BC46" s="45"/>
      <c r="BD46" s="45"/>
      <c r="BE46" s="45"/>
      <c r="BF46" s="45"/>
    </row>
    <row r="47" spans="1:90" x14ac:dyDescent="0.2">
      <c r="A47" s="521"/>
      <c r="B47" s="78" t="s">
        <v>24</v>
      </c>
      <c r="C47" s="6" t="s">
        <v>171</v>
      </c>
      <c r="D47" s="24"/>
      <c r="E47" s="24"/>
      <c r="F47" s="24"/>
      <c r="G47" s="24"/>
      <c r="H47" s="24"/>
      <c r="I47" s="24"/>
      <c r="J47" s="68" t="s">
        <v>98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</row>
    <row r="48" spans="1:90" x14ac:dyDescent="0.2">
      <c r="A48" s="521"/>
      <c r="B48" s="78" t="s">
        <v>23</v>
      </c>
      <c r="C48" s="6" t="s">
        <v>172</v>
      </c>
      <c r="D48" s="24"/>
      <c r="E48" s="24"/>
      <c r="F48" s="24"/>
      <c r="G48" s="24"/>
      <c r="H48" s="24"/>
      <c r="I48" s="24"/>
      <c r="J48" s="24"/>
      <c r="K48" s="68" t="s">
        <v>98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</row>
    <row r="49" spans="1:58" x14ac:dyDescent="0.2">
      <c r="A49" s="521"/>
      <c r="B49" s="78" t="s">
        <v>22</v>
      </c>
      <c r="C49" s="6" t="s">
        <v>487</v>
      </c>
      <c r="D49" s="24"/>
      <c r="E49" s="24"/>
      <c r="F49" s="24"/>
      <c r="G49" s="24"/>
      <c r="H49" s="24"/>
      <c r="I49" s="24"/>
      <c r="J49" s="24"/>
      <c r="K49" s="24"/>
      <c r="L49" s="68" t="s">
        <v>98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N49" s="45"/>
      <c r="AO49" s="45"/>
      <c r="AP49" s="45"/>
      <c r="AQ49" s="45"/>
      <c r="AR49" s="45"/>
      <c r="AY49" s="45"/>
      <c r="BB49" s="45"/>
      <c r="BC49" s="45"/>
      <c r="BD49" s="45"/>
      <c r="BE49" s="45"/>
      <c r="BF49" s="45"/>
    </row>
    <row r="50" spans="1:58" x14ac:dyDescent="0.2">
      <c r="A50" s="521"/>
      <c r="B50" s="78" t="s">
        <v>32</v>
      </c>
      <c r="C50" s="6" t="s">
        <v>104</v>
      </c>
      <c r="D50" s="24"/>
      <c r="E50" s="24"/>
      <c r="F50" s="24"/>
      <c r="G50" s="24"/>
      <c r="H50" s="24"/>
      <c r="I50" s="24"/>
      <c r="J50" s="24"/>
      <c r="K50" s="24"/>
      <c r="L50" s="24"/>
      <c r="M50" s="68" t="s">
        <v>98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58" x14ac:dyDescent="0.2">
      <c r="A51" s="521"/>
      <c r="B51" s="78" t="s">
        <v>30</v>
      </c>
      <c r="C51" s="6" t="s">
        <v>53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68" t="s">
        <v>98</v>
      </c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58" x14ac:dyDescent="0.2">
      <c r="A52" s="521"/>
      <c r="B52" s="78" t="s">
        <v>31</v>
      </c>
      <c r="C52" s="6" t="s">
        <v>105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68" t="s">
        <v>98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58" x14ac:dyDescent="0.2">
      <c r="A53" s="521"/>
      <c r="B53" s="78" t="s">
        <v>11</v>
      </c>
      <c r="C53" s="6" t="s">
        <v>89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68" t="s">
        <v>98</v>
      </c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58" x14ac:dyDescent="0.2">
      <c r="A54" s="521"/>
      <c r="B54" s="78" t="s">
        <v>10</v>
      </c>
      <c r="C54" s="6" t="s">
        <v>488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68" t="s">
        <v>98</v>
      </c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58" x14ac:dyDescent="0.2">
      <c r="A55" s="521"/>
      <c r="B55" s="78" t="s">
        <v>13</v>
      </c>
      <c r="C55" s="6" t="s">
        <v>489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68" t="s">
        <v>98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58" x14ac:dyDescent="0.2">
      <c r="A56" s="521"/>
      <c r="B56" s="78" t="s">
        <v>12</v>
      </c>
      <c r="C56" s="6" t="s">
        <v>490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68" t="s">
        <v>98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58" x14ac:dyDescent="0.2">
      <c r="A57" s="521"/>
      <c r="B57" s="78" t="s">
        <v>15</v>
      </c>
      <c r="C57" s="6" t="s">
        <v>491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68" t="s">
        <v>98</v>
      </c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58" x14ac:dyDescent="0.2">
      <c r="A58" s="521"/>
      <c r="B58" s="78" t="s">
        <v>14</v>
      </c>
      <c r="C58" s="6" t="s">
        <v>493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68" t="s">
        <v>98</v>
      </c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58" x14ac:dyDescent="0.2">
      <c r="A59" s="521"/>
      <c r="B59" s="78" t="s">
        <v>17</v>
      </c>
      <c r="C59" s="6" t="s">
        <v>494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68" t="s">
        <v>98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58" x14ac:dyDescent="0.2">
      <c r="A60" s="521"/>
      <c r="B60" s="78" t="s">
        <v>18</v>
      </c>
      <c r="C60" s="6" t="s">
        <v>495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68" t="s">
        <v>98</v>
      </c>
      <c r="X60" s="24"/>
      <c r="Y60" s="24"/>
      <c r="Z60" s="24"/>
      <c r="AA60" s="24"/>
      <c r="AB60" s="24"/>
      <c r="AC60" s="24"/>
      <c r="AD60" s="24"/>
      <c r="AE60" s="24"/>
      <c r="AF60" s="24"/>
    </row>
    <row r="61" spans="1:58" x14ac:dyDescent="0.2">
      <c r="A61" s="521"/>
      <c r="B61" s="78" t="s">
        <v>19</v>
      </c>
      <c r="C61" s="6" t="s">
        <v>497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68" t="s">
        <v>98</v>
      </c>
      <c r="Y61" s="24"/>
      <c r="Z61" s="24"/>
      <c r="AA61" s="24"/>
      <c r="AB61" s="24"/>
      <c r="AC61" s="24"/>
      <c r="AD61" s="24"/>
      <c r="AE61" s="24"/>
      <c r="AF61" s="24"/>
    </row>
    <row r="62" spans="1:58" x14ac:dyDescent="0.2">
      <c r="A62" s="521"/>
      <c r="B62" s="78" t="s">
        <v>20</v>
      </c>
      <c r="C62" s="6" t="s">
        <v>498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68" t="s">
        <v>98</v>
      </c>
      <c r="Z62" s="24"/>
      <c r="AA62" s="24"/>
      <c r="AB62" s="24"/>
      <c r="AC62" s="24"/>
      <c r="AD62" s="24"/>
      <c r="AE62" s="24"/>
      <c r="AF62" s="24"/>
    </row>
    <row r="63" spans="1:58" x14ac:dyDescent="0.2">
      <c r="A63" s="521"/>
      <c r="B63" s="78" t="s">
        <v>21</v>
      </c>
      <c r="C63" s="6" t="s">
        <v>499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68" t="s">
        <v>98</v>
      </c>
      <c r="AA63" s="24"/>
      <c r="AB63" s="24"/>
      <c r="AC63" s="24"/>
      <c r="AD63" s="24"/>
      <c r="AE63" s="24"/>
      <c r="AF63" s="24"/>
    </row>
    <row r="64" spans="1:58" x14ac:dyDescent="0.2">
      <c r="A64" s="521"/>
      <c r="B64" s="78" t="s">
        <v>3</v>
      </c>
      <c r="C64" s="6" t="s">
        <v>501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68" t="s">
        <v>98</v>
      </c>
      <c r="AB64" s="24"/>
      <c r="AC64" s="24"/>
      <c r="AD64" s="24"/>
      <c r="AE64" s="24"/>
      <c r="AF64" s="24"/>
    </row>
    <row r="65" spans="1:32" x14ac:dyDescent="0.2">
      <c r="A65" s="521"/>
      <c r="B65" s="78" t="s">
        <v>2</v>
      </c>
      <c r="C65" s="6" t="s">
        <v>502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68" t="s">
        <v>98</v>
      </c>
      <c r="AC65" s="24"/>
      <c r="AD65" s="24"/>
      <c r="AE65" s="24"/>
      <c r="AF65" s="24"/>
    </row>
    <row r="66" spans="1:32" x14ac:dyDescent="0.2">
      <c r="A66" s="521"/>
      <c r="B66" s="78" t="s">
        <v>1</v>
      </c>
      <c r="C66" s="6" t="s">
        <v>106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68" t="s">
        <v>98</v>
      </c>
      <c r="AD66" s="24"/>
      <c r="AE66" s="24"/>
      <c r="AF66" s="24"/>
    </row>
    <row r="67" spans="1:32" x14ac:dyDescent="0.2">
      <c r="A67" s="521"/>
      <c r="B67" s="78" t="s">
        <v>0</v>
      </c>
      <c r="C67" s="6" t="s">
        <v>168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68" t="s">
        <v>98</v>
      </c>
      <c r="AE67" s="24"/>
      <c r="AF67" s="24"/>
    </row>
    <row r="68" spans="1:32" x14ac:dyDescent="0.2">
      <c r="A68" s="521"/>
      <c r="B68" s="78" t="s">
        <v>5</v>
      </c>
      <c r="C68" s="6" t="s">
        <v>173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68" t="s">
        <v>98</v>
      </c>
      <c r="AF68" s="24"/>
    </row>
    <row r="69" spans="1:32" x14ac:dyDescent="0.2">
      <c r="A69" s="521"/>
      <c r="B69" s="78" t="s">
        <v>4</v>
      </c>
      <c r="C69" s="6" t="s">
        <v>503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68" t="s">
        <v>98</v>
      </c>
    </row>
    <row r="72" spans="1:32" x14ac:dyDescent="0.2">
      <c r="B72" s="15"/>
      <c r="C72" s="15"/>
    </row>
    <row r="73" spans="1:32" x14ac:dyDescent="0.2">
      <c r="B73" s="15"/>
      <c r="C73" s="15"/>
    </row>
    <row r="74" spans="1:32" x14ac:dyDescent="0.2">
      <c r="B74" s="15"/>
      <c r="C74" s="1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32" x14ac:dyDescent="0.2">
      <c r="B75" s="15"/>
      <c r="C75" s="1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32" x14ac:dyDescent="0.2">
      <c r="B76" s="9"/>
      <c r="C76" s="8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32" x14ac:dyDescent="0.2">
      <c r="B77" s="9"/>
      <c r="C77" s="8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32" x14ac:dyDescent="0.2">
      <c r="B78" s="9"/>
      <c r="C78" s="8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32" x14ac:dyDescent="0.2">
      <c r="B79" s="9"/>
      <c r="C79" s="8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32" x14ac:dyDescent="0.2">
      <c r="B80" s="15"/>
      <c r="C80" s="15"/>
    </row>
  </sheetData>
  <mergeCells count="15">
    <mergeCell ref="A1:F1"/>
    <mergeCell ref="A41:A69"/>
    <mergeCell ref="B7:C7"/>
    <mergeCell ref="D6:F6"/>
    <mergeCell ref="A8:A36"/>
    <mergeCell ref="U6:W6"/>
    <mergeCell ref="X6:Z6"/>
    <mergeCell ref="AA6:AE6"/>
    <mergeCell ref="AG6:AJ6"/>
    <mergeCell ref="AK6:AL6"/>
    <mergeCell ref="H6:I6"/>
    <mergeCell ref="J6:K6"/>
    <mergeCell ref="L6:M6"/>
    <mergeCell ref="N6:P6"/>
    <mergeCell ref="Q6:T6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/>
  </sheetPr>
  <dimension ref="A1:IV363"/>
  <sheetViews>
    <sheetView topLeftCell="A345" workbookViewId="0">
      <selection activeCell="C23" sqref="C23"/>
    </sheetView>
  </sheetViews>
  <sheetFormatPr baseColWidth="10" defaultColWidth="11.42578125" defaultRowHeight="15" customHeight="1" x14ac:dyDescent="0.2"/>
  <cols>
    <col min="1" max="1" width="7.5703125" customWidth="1"/>
    <col min="2" max="2" width="53" customWidth="1"/>
    <col min="3" max="10" width="21.42578125" customWidth="1"/>
    <col min="11" max="11" width="12.140625" bestFit="1" customWidth="1"/>
  </cols>
  <sheetData>
    <row r="1" spans="1:23" s="94" customFormat="1" ht="41.25" customHeight="1" thickBot="1" x14ac:dyDescent="0.25">
      <c r="A1" s="520" t="s">
        <v>113</v>
      </c>
      <c r="B1" s="520"/>
      <c r="C1" s="520"/>
      <c r="D1" s="520"/>
      <c r="E1" s="520"/>
      <c r="F1" s="520"/>
      <c r="G1" s="93"/>
    </row>
    <row r="2" spans="1:23" s="32" customFormat="1" ht="15" customHeight="1" thickTop="1" x14ac:dyDescent="0.2">
      <c r="H2" s="39"/>
    </row>
    <row r="3" spans="1:23" s="32" customFormat="1" ht="15" customHeight="1" x14ac:dyDescent="0.2">
      <c r="B3" s="43" t="s">
        <v>51</v>
      </c>
      <c r="H3" s="39"/>
    </row>
    <row r="4" spans="1:23" s="32" customFormat="1" ht="15" customHeight="1" x14ac:dyDescent="0.25">
      <c r="A4" s="42" t="s">
        <v>108</v>
      </c>
      <c r="B4" s="44" t="s">
        <v>97</v>
      </c>
      <c r="D4" s="21"/>
      <c r="E4" s="2"/>
      <c r="F4" s="2"/>
      <c r="G4" s="2"/>
      <c r="H4" s="2"/>
      <c r="I4" s="2"/>
      <c r="J4" s="2"/>
      <c r="K4"/>
      <c r="L4"/>
      <c r="M4"/>
      <c r="N4"/>
      <c r="O4"/>
      <c r="P4"/>
      <c r="Q4"/>
      <c r="R4"/>
      <c r="S4"/>
      <c r="T4"/>
      <c r="U4"/>
      <c r="V4"/>
      <c r="W4"/>
    </row>
    <row r="5" spans="1:23" s="34" customFormat="1" ht="12.75" x14ac:dyDescent="0.2">
      <c r="A5" s="32"/>
      <c r="B5" s="32"/>
      <c r="C5" s="32"/>
      <c r="D5" s="32"/>
      <c r="E5" s="32"/>
      <c r="F5" s="32"/>
      <c r="G5" s="32"/>
      <c r="H5" s="32"/>
      <c r="I5" s="32"/>
      <c r="J5" s="32"/>
      <c r="K5"/>
      <c r="L5"/>
      <c r="M5"/>
      <c r="N5"/>
      <c r="O5"/>
      <c r="P5"/>
      <c r="Q5"/>
      <c r="R5"/>
      <c r="S5"/>
      <c r="T5"/>
      <c r="U5"/>
      <c r="V5"/>
      <c r="W5"/>
    </row>
    <row r="6" spans="1:23" s="26" customFormat="1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87"/>
      <c r="L6" s="8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</row>
    <row r="7" spans="1:23" s="26" customFormat="1" ht="12.75" x14ac:dyDescent="0.2">
      <c r="A7" s="45"/>
      <c r="C7" s="306" t="s">
        <v>108</v>
      </c>
      <c r="D7" s="307"/>
      <c r="E7" s="308"/>
      <c r="F7" s="32"/>
      <c r="G7" s="32"/>
      <c r="H7" s="32"/>
      <c r="I7" s="32"/>
      <c r="J7" s="32"/>
      <c r="K7" s="87"/>
      <c r="L7" s="8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3" s="26" customFormat="1" ht="12.75" x14ac:dyDescent="0.2">
      <c r="A8" s="45"/>
      <c r="C8" s="304" t="s">
        <v>45</v>
      </c>
      <c r="D8" s="304" t="s">
        <v>43</v>
      </c>
      <c r="E8" s="304" t="s">
        <v>44</v>
      </c>
      <c r="F8" s="529" t="s">
        <v>96</v>
      </c>
      <c r="G8" s="32"/>
      <c r="H8" s="32"/>
      <c r="I8" s="32"/>
      <c r="J8" s="32"/>
      <c r="K8" s="33"/>
      <c r="L8" s="33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</row>
    <row r="9" spans="1:23" s="26" customFormat="1" ht="43.5" customHeight="1" x14ac:dyDescent="0.2">
      <c r="A9" s="507" t="s">
        <v>34</v>
      </c>
      <c r="B9" s="508"/>
      <c r="C9" s="309" t="str">
        <f>HLOOKUP(C8,'Centro de actividades'!$E$50:$AM$51,2,0)</f>
        <v>Administrar cuentas bancarias</v>
      </c>
      <c r="D9" s="309" t="str">
        <f>HLOOKUP(D8,'Centro de actividades'!$E$50:$AM$51,2,0)</f>
        <v>Aprobar las órdenes de compra</v>
      </c>
      <c r="E9" s="309" t="str">
        <f>HLOOKUP(E8,'Centro de actividades'!$E$50:$AM$51,2,0)</f>
        <v>Revisar informes mensuales</v>
      </c>
      <c r="F9" s="530"/>
      <c r="G9" s="32"/>
      <c r="H9" s="32"/>
      <c r="I9" s="32"/>
      <c r="J9" s="32"/>
      <c r="K9" s="33"/>
      <c r="L9" s="33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</row>
    <row r="10" spans="1:23" s="26" customFormat="1" ht="12.75" x14ac:dyDescent="0.2">
      <c r="A10" s="79" t="s">
        <v>63</v>
      </c>
      <c r="B10" s="329" t="str">
        <f>LOOKUP(A10,'Auxiliar 1'!$T$7:$T$35,'Auxiliar 1'!$U$7:$U$35)</f>
        <v>Horas diarias dedicadas por Groover a cada C.A.</v>
      </c>
      <c r="C10" s="27">
        <f>F10*0.2</f>
        <v>0.4</v>
      </c>
      <c r="D10" s="27">
        <f>F10*0.3</f>
        <v>0.6</v>
      </c>
      <c r="E10" s="27">
        <f>F10*0.5</f>
        <v>1</v>
      </c>
      <c r="F10" s="27">
        <f>VLOOKUP(A10,'Proceso I'!$A$6:$O$34,3,0)</f>
        <v>2</v>
      </c>
      <c r="G10" s="32"/>
      <c r="H10" s="32"/>
      <c r="I10" s="32"/>
      <c r="J10" s="32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</row>
    <row r="11" spans="1:23" ht="12.75" x14ac:dyDescent="0.2">
      <c r="A11" s="79" t="s">
        <v>68</v>
      </c>
      <c r="B11" s="329" t="str">
        <f>LOOKUP(A11,'Auxiliar 1'!$T$7:$T$35,'Auxiliar 1'!$U$7:$U$35)</f>
        <v>% de uso</v>
      </c>
      <c r="C11" s="334">
        <f>F11/2</f>
        <v>0.05</v>
      </c>
      <c r="D11" s="334"/>
      <c r="E11" s="334">
        <f>F11/2</f>
        <v>0.05</v>
      </c>
      <c r="F11" s="333">
        <f>VLOOKUP(A11,'Proceso I'!$A$6:$O$34,3,0)</f>
        <v>0.1</v>
      </c>
      <c r="G11" s="32"/>
      <c r="H11" s="32"/>
      <c r="I11" s="32"/>
      <c r="J11" s="32"/>
      <c r="K11" s="22"/>
      <c r="L11" s="22"/>
    </row>
    <row r="12" spans="1:23" ht="12.75" x14ac:dyDescent="0.2">
      <c r="A12" s="79" t="s">
        <v>57</v>
      </c>
      <c r="B12" s="329" t="str">
        <f>LOOKUP(A12,'Auxiliar 1'!$T$7:$T$35,'Auxiliar 1'!$U$7:$U$35)</f>
        <v>Proporción de Consumo de Kwh</v>
      </c>
      <c r="C12" s="27">
        <f t="shared" ref="C12:D12" si="0">$F$12*C10/$F$10</f>
        <v>1</v>
      </c>
      <c r="D12" s="27">
        <f t="shared" si="0"/>
        <v>1.5</v>
      </c>
      <c r="E12" s="27">
        <f>$F$12*E10/$F$10</f>
        <v>2.5</v>
      </c>
      <c r="F12" s="27">
        <f>VLOOKUP(A12,'Proceso I'!$A$6:$O$34,3,0)</f>
        <v>5</v>
      </c>
      <c r="G12" s="32"/>
      <c r="H12" s="32"/>
      <c r="I12" s="27"/>
      <c r="J12" s="32"/>
      <c r="K12" s="22"/>
      <c r="L12" s="22"/>
    </row>
    <row r="13" spans="1:23" ht="12.75" x14ac:dyDescent="0.2">
      <c r="A13" s="79" t="s">
        <v>58</v>
      </c>
      <c r="B13" s="329" t="str">
        <f>LOOKUP(A13,'Auxiliar 1'!$T$7:$T$35,'Auxiliar 1'!$U$7:$U$35)</f>
        <v>N° de personas en el C.A.</v>
      </c>
      <c r="C13" s="27">
        <f t="shared" ref="C13:D13" si="1">$F$13*C10/$F$10</f>
        <v>0.2</v>
      </c>
      <c r="D13" s="27">
        <f t="shared" si="1"/>
        <v>0.3</v>
      </c>
      <c r="E13" s="27">
        <f>$F$13*E10/$F$10</f>
        <v>0.5</v>
      </c>
      <c r="F13" s="27">
        <f>VLOOKUP(A13,'Proceso I'!$A$6:$O$34,3,0)</f>
        <v>1</v>
      </c>
      <c r="G13" s="32"/>
      <c r="H13" s="32"/>
      <c r="I13" s="32"/>
      <c r="J13" s="32"/>
      <c r="K13" s="22"/>
      <c r="L13" s="22"/>
    </row>
    <row r="14" spans="1:23" ht="12.75" x14ac:dyDescent="0.2">
      <c r="A14" s="79" t="s">
        <v>56</v>
      </c>
      <c r="B14" s="329" t="str">
        <f>LOOKUP(A14,'Auxiliar 1'!$T$7:$T$35,'Auxiliar 1'!$U$7:$U$35)</f>
        <v>N° de personas en el C.A.</v>
      </c>
      <c r="C14" s="27"/>
      <c r="D14" s="27">
        <v>1</v>
      </c>
      <c r="E14" s="27"/>
      <c r="F14" s="27">
        <f>VLOOKUP(A14,'Proceso I'!$A$6:$O$34,3,0)</f>
        <v>1</v>
      </c>
      <c r="G14" s="32"/>
      <c r="H14" s="32"/>
      <c r="I14" s="27"/>
      <c r="J14" s="32"/>
      <c r="K14" s="22"/>
      <c r="L14" s="22"/>
    </row>
    <row r="15" spans="1:23" ht="12.75" x14ac:dyDescent="0.2">
      <c r="A15" s="79" t="s">
        <v>99</v>
      </c>
      <c r="B15" s="329" t="str">
        <f>LOOKUP(A15,'Auxiliar 1'!$T$7:$T$35,'Auxiliar 1'!$U$7:$U$35)</f>
        <v>Flat Parcial</v>
      </c>
      <c r="C15" s="330">
        <f>F15</f>
        <v>1</v>
      </c>
      <c r="D15" s="335"/>
      <c r="E15" s="335"/>
      <c r="F15" s="27">
        <f>VLOOKUP(A15,'Proceso I'!$A$6:$O$34,3,0)</f>
        <v>1</v>
      </c>
      <c r="G15" s="32"/>
      <c r="H15" s="32"/>
      <c r="I15" s="32"/>
      <c r="J15" s="32"/>
      <c r="K15" s="22"/>
      <c r="L15" s="22"/>
    </row>
    <row r="16" spans="1:23" ht="12.75" x14ac:dyDescent="0.2">
      <c r="A16" s="79" t="s">
        <v>80</v>
      </c>
      <c r="B16" s="329" t="str">
        <f>LOOKUP(A16,'Auxiliar 1'!$T$7:$T$35,'Auxiliar 1'!$U$7:$U$35)</f>
        <v>% de Importancia</v>
      </c>
      <c r="C16" s="27">
        <f t="shared" ref="C16:D16" si="2">C10*$F$16/$F$10</f>
        <v>1.0000000000000002E-2</v>
      </c>
      <c r="D16" s="27">
        <f t="shared" si="2"/>
        <v>1.4999999999999999E-2</v>
      </c>
      <c r="E16" s="27">
        <f>E10*$F$16/$F$10</f>
        <v>2.5000000000000001E-2</v>
      </c>
      <c r="F16" s="333">
        <f>VLOOKUP(A16,'Proceso I'!$A$6:$O$34,3,0)</f>
        <v>0.05</v>
      </c>
      <c r="G16" s="32"/>
      <c r="H16" s="32"/>
      <c r="I16" s="32"/>
      <c r="J16" s="32"/>
      <c r="K16" s="22"/>
      <c r="L16" s="22"/>
    </row>
    <row r="17" spans="1:12" ht="12.75" x14ac:dyDescent="0.2">
      <c r="A17" s="79" t="s">
        <v>81</v>
      </c>
      <c r="B17" s="329" t="str">
        <f>LOOKUP(A17,'Auxiliar 1'!$T$7:$T$35,'Auxiliar 1'!$U$7:$U$35)</f>
        <v>Flat Parcial</v>
      </c>
      <c r="C17" s="27"/>
      <c r="D17" s="27">
        <f>F17*0.5</f>
        <v>0.5</v>
      </c>
      <c r="E17" s="27">
        <f>F17*0.5</f>
        <v>0.5</v>
      </c>
      <c r="F17" s="27">
        <f>VLOOKUP(A17,'Proceso I'!$A$6:$O$34,3,0)</f>
        <v>1</v>
      </c>
      <c r="G17" s="32"/>
      <c r="H17" s="32"/>
      <c r="I17" s="32"/>
      <c r="J17" s="32"/>
      <c r="K17" s="22"/>
      <c r="L17" s="22"/>
    </row>
    <row r="18" spans="1:12" ht="12.75" x14ac:dyDescent="0.2">
      <c r="A18" s="32"/>
      <c r="C18" s="32"/>
      <c r="D18" s="32"/>
      <c r="E18" s="32"/>
      <c r="F18" s="32"/>
      <c r="G18" s="32"/>
      <c r="H18" s="32"/>
      <c r="I18" s="32"/>
      <c r="J18" s="32"/>
      <c r="K18" s="22"/>
      <c r="L18" s="22"/>
    </row>
    <row r="19" spans="1:12" ht="12.75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22"/>
      <c r="L19" s="22"/>
    </row>
    <row r="20" spans="1:12" ht="12.75" x14ac:dyDescent="0.2">
      <c r="A20" s="45"/>
      <c r="B20" s="26"/>
      <c r="C20" s="306" t="s">
        <v>108</v>
      </c>
      <c r="D20" s="307"/>
      <c r="E20" s="308"/>
      <c r="F20" s="32"/>
      <c r="G20" s="32"/>
      <c r="H20" s="32"/>
      <c r="I20" s="32"/>
      <c r="J20" s="32"/>
      <c r="K20" s="22"/>
      <c r="L20" s="22"/>
    </row>
    <row r="21" spans="1:12" ht="12.75" x14ac:dyDescent="0.2">
      <c r="A21" s="45"/>
      <c r="B21" s="26"/>
      <c r="C21" s="304" t="s">
        <v>45</v>
      </c>
      <c r="D21" s="304" t="s">
        <v>43</v>
      </c>
      <c r="E21" s="304" t="s">
        <v>44</v>
      </c>
      <c r="F21" s="529" t="s">
        <v>96</v>
      </c>
      <c r="G21" s="32"/>
      <c r="H21" s="32"/>
      <c r="I21" s="32" t="s">
        <v>520</v>
      </c>
      <c r="J21" s="32"/>
      <c r="K21" s="22"/>
      <c r="L21" s="22"/>
    </row>
    <row r="22" spans="1:12" ht="25.5" x14ac:dyDescent="0.2">
      <c r="A22" s="507" t="s">
        <v>522</v>
      </c>
      <c r="B22" s="508"/>
      <c r="C22" s="309" t="str">
        <f>HLOOKUP(C21,'Centro de actividades'!$E$50:$AM$51,2,0)</f>
        <v>Administrar cuentas bancarias</v>
      </c>
      <c r="D22" s="309" t="str">
        <f>HLOOKUP(D21,'Centro de actividades'!$E$50:$AM$51,2,0)</f>
        <v>Aprobar las órdenes de compra</v>
      </c>
      <c r="E22" s="309" t="str">
        <f>HLOOKUP(E21,'Centro de actividades'!$E$50:$AM$51,2,0)</f>
        <v>Revisar informes mensuales</v>
      </c>
      <c r="F22" s="530"/>
      <c r="G22" s="32"/>
      <c r="H22" s="32"/>
      <c r="I22" s="32"/>
      <c r="J22" s="32"/>
      <c r="K22" s="22"/>
      <c r="L22" s="22"/>
    </row>
    <row r="23" spans="1:12" ht="12.75" x14ac:dyDescent="0.2">
      <c r="A23" s="78" t="str">
        <f>LOOKUP(A10,'Auxiliar 1'!$T$7:$T$35,'Auxiliar 1'!$B$7:$B$35)</f>
        <v>EC01</v>
      </c>
      <c r="B23" s="6" t="str">
        <f>LOOKUP(A23,'Auxiliar 1'!$B$7:$B$35,'Auxiliar 1'!$C$7:$C$35)</f>
        <v>Sueldo de Groover (Sin considerar CA Corte)</v>
      </c>
      <c r="C23" s="330">
        <f>C10*$F23/$F10</f>
        <v>300</v>
      </c>
      <c r="D23" s="330">
        <f t="shared" ref="D23:E23" si="3">D10*$F23/$F10</f>
        <v>450</v>
      </c>
      <c r="E23" s="330">
        <f t="shared" si="3"/>
        <v>750</v>
      </c>
      <c r="F23" s="332">
        <f>VLOOKUP(A23,'Proceso I'!$A$41:$O$69,3,0)</f>
        <v>1500</v>
      </c>
      <c r="G23" s="32"/>
      <c r="H23" s="32"/>
      <c r="I23" s="32"/>
      <c r="J23" s="32"/>
      <c r="K23" s="22"/>
      <c r="L23" s="22"/>
    </row>
    <row r="24" spans="1:12" ht="12.75" x14ac:dyDescent="0.2">
      <c r="A24" s="78" t="str">
        <f>LOOKUP(A11,'Auxiliar 1'!$T$7:$T$35,'Auxiliar 1'!$B$7:$B$35)</f>
        <v>EC06</v>
      </c>
      <c r="B24" s="6" t="str">
        <f>LOOKUP(A24,'Auxiliar 1'!$B$7:$B$35,'Auxiliar 1'!$C$7:$C$35)</f>
        <v>Depreciación Computadora</v>
      </c>
      <c r="C24" s="330">
        <f t="shared" ref="C24:E30" si="4">C11*$F24/$F11</f>
        <v>14.0625</v>
      </c>
      <c r="D24" s="330">
        <f t="shared" si="4"/>
        <v>0</v>
      </c>
      <c r="E24" s="330">
        <f t="shared" si="4"/>
        <v>14.0625</v>
      </c>
      <c r="F24" s="332">
        <f>VLOOKUP(A24,'Proceso I'!$A$41:$O$69,3,0)</f>
        <v>28.125</v>
      </c>
      <c r="G24" s="32"/>
      <c r="H24" s="32"/>
      <c r="I24" s="32"/>
      <c r="J24" s="32"/>
      <c r="K24" s="22"/>
      <c r="L24" s="22"/>
    </row>
    <row r="25" spans="1:12" ht="12.75" x14ac:dyDescent="0.2">
      <c r="A25" s="78" t="str">
        <f>LOOKUP(A12,'Auxiliar 1'!$T$7:$T$35,'Auxiliar 1'!$B$7:$B$35)</f>
        <v>EC10</v>
      </c>
      <c r="B25" s="6" t="str">
        <f>LOOKUP(A25,'Auxiliar 1'!$B$7:$B$35,'Auxiliar 1'!$C$7:$C$35)</f>
        <v>Energía Eléctrica</v>
      </c>
      <c r="C25" s="330">
        <f t="shared" si="4"/>
        <v>4.3636363636363642</v>
      </c>
      <c r="D25" s="330">
        <f t="shared" si="4"/>
        <v>6.5454545454545467</v>
      </c>
      <c r="E25" s="330">
        <f t="shared" si="4"/>
        <v>10.90909090909091</v>
      </c>
      <c r="F25" s="332">
        <f>VLOOKUP(A25,'Proceso I'!$A$41:$O$69,3,0)</f>
        <v>21.81818181818182</v>
      </c>
      <c r="G25" s="32"/>
      <c r="H25" s="32"/>
      <c r="I25" s="32"/>
      <c r="J25" s="32"/>
      <c r="K25" s="22"/>
      <c r="L25" s="22"/>
    </row>
    <row r="26" spans="1:12" ht="15" customHeight="1" x14ac:dyDescent="0.2">
      <c r="A26" s="78" t="str">
        <f>LOOKUP(A13,'Auxiliar 1'!$T$7:$T$35,'Auxiliar 1'!$B$7:$B$35)</f>
        <v>EC11</v>
      </c>
      <c r="B26" s="6" t="str">
        <f>LOOKUP(A26,'Auxiliar 1'!$B$7:$B$35,'Auxiliar 1'!$C$7:$C$35)</f>
        <v>Agua</v>
      </c>
      <c r="C26" s="330">
        <f t="shared" si="4"/>
        <v>6.4285714285714279</v>
      </c>
      <c r="D26" s="330">
        <f t="shared" si="4"/>
        <v>9.6428571428571406</v>
      </c>
      <c r="E26" s="330">
        <f t="shared" si="4"/>
        <v>16.071428571428569</v>
      </c>
      <c r="F26" s="332">
        <f>VLOOKUP(A26,'Proceso I'!$A$41:$O$69,3,0)</f>
        <v>32.142857142857139</v>
      </c>
      <c r="G26" s="32"/>
      <c r="H26" s="32"/>
      <c r="I26" s="32"/>
      <c r="J26" s="32"/>
      <c r="K26" s="22"/>
      <c r="L26" s="22"/>
    </row>
    <row r="27" spans="1:12" ht="15" customHeight="1" x14ac:dyDescent="0.2">
      <c r="A27" s="78" t="str">
        <f>LOOKUP(A14,'Auxiliar 1'!$T$7:$T$35,'Auxiliar 1'!$B$7:$B$35)</f>
        <v>EC12</v>
      </c>
      <c r="B27" s="6" t="str">
        <f>LOOKUP(A27,'Auxiliar 1'!$B$7:$B$35,'Auxiliar 1'!$C$7:$C$35)</f>
        <v>Teléfono</v>
      </c>
      <c r="C27" s="330">
        <f t="shared" si="4"/>
        <v>0</v>
      </c>
      <c r="D27" s="330">
        <f t="shared" si="4"/>
        <v>85.714285714285708</v>
      </c>
      <c r="E27" s="330">
        <f t="shared" si="4"/>
        <v>0</v>
      </c>
      <c r="F27" s="332">
        <f>VLOOKUP(A27,'Proceso I'!$A$41:$O$69,3,0)</f>
        <v>85.714285714285708</v>
      </c>
      <c r="G27" s="32"/>
      <c r="H27" s="32"/>
      <c r="I27" s="32"/>
      <c r="J27" s="32"/>
      <c r="K27" s="22"/>
      <c r="L27" s="22"/>
    </row>
    <row r="28" spans="1:12" ht="15" customHeight="1" x14ac:dyDescent="0.2">
      <c r="A28" s="78" t="str">
        <f>LOOKUP(A15,'Auxiliar 1'!$T$7:$T$35,'Auxiliar 1'!$B$7:$B$35)</f>
        <v>EC13</v>
      </c>
      <c r="B28" s="6" t="str">
        <f>LOOKUP(A28,'Auxiliar 1'!$B$7:$B$35,'Auxiliar 1'!$C$7:$C$35)</f>
        <v xml:space="preserve">Servicio de internet </v>
      </c>
      <c r="C28" s="330">
        <f t="shared" si="4"/>
        <v>64.285714285714278</v>
      </c>
      <c r="D28" s="330">
        <f t="shared" si="4"/>
        <v>0</v>
      </c>
      <c r="E28" s="330">
        <f t="shared" si="4"/>
        <v>0</v>
      </c>
      <c r="F28" s="332">
        <f>VLOOKUP(A28,'Proceso I'!$A$41:$O$69,3,0)</f>
        <v>64.285714285714278</v>
      </c>
      <c r="G28" s="32"/>
      <c r="H28" s="32"/>
      <c r="I28" s="32"/>
      <c r="J28" s="32"/>
      <c r="K28" s="22"/>
      <c r="L28" s="22"/>
    </row>
    <row r="29" spans="1:12" ht="15" customHeight="1" x14ac:dyDescent="0.2">
      <c r="A29" s="78" t="str">
        <f>LOOKUP(A16,'Auxiliar 1'!$T$7:$T$35,'Auxiliar 1'!$B$7:$B$35)</f>
        <v>EC25</v>
      </c>
      <c r="B29" s="6" t="str">
        <f>LOOKUP(A29,'Auxiliar 1'!$B$7:$B$35,'Auxiliar 1'!$C$7:$C$35)</f>
        <v>Alquiler del Local</v>
      </c>
      <c r="C29" s="330">
        <f t="shared" si="4"/>
        <v>16.500000000000004</v>
      </c>
      <c r="D29" s="330">
        <f t="shared" si="4"/>
        <v>24.75</v>
      </c>
      <c r="E29" s="330">
        <f t="shared" si="4"/>
        <v>41.25</v>
      </c>
      <c r="F29" s="332">
        <f>VLOOKUP(A29,'Proceso I'!$A$41:$O$69,3,0)</f>
        <v>82.5</v>
      </c>
      <c r="G29" s="32"/>
      <c r="H29" s="32"/>
      <c r="I29" s="32"/>
      <c r="J29" s="32"/>
      <c r="K29" s="22"/>
      <c r="L29" s="22"/>
    </row>
    <row r="30" spans="1:12" ht="15" customHeight="1" x14ac:dyDescent="0.2">
      <c r="A30" s="78" t="str">
        <f>LOOKUP(A17,'Auxiliar 1'!$T$7:$T$35,'Auxiliar 1'!$B$7:$B$35)</f>
        <v>EC26</v>
      </c>
      <c r="B30" s="6" t="str">
        <f>LOOKUP(A30,'Auxiliar 1'!$B$7:$B$35,'Auxiliar 1'!$C$7:$C$35)</f>
        <v>Útiles de escritorio</v>
      </c>
      <c r="C30" s="330">
        <f t="shared" si="4"/>
        <v>0</v>
      </c>
      <c r="D30" s="330">
        <f t="shared" si="4"/>
        <v>2.1428571428571428</v>
      </c>
      <c r="E30" s="330">
        <f t="shared" si="4"/>
        <v>2.1428571428571428</v>
      </c>
      <c r="F30" s="332">
        <f>VLOOKUP(A30,'Proceso I'!$A$41:$O$69,3,0)</f>
        <v>4.2857142857142856</v>
      </c>
      <c r="G30" s="32"/>
      <c r="H30" s="32"/>
      <c r="I30" s="32"/>
      <c r="J30" s="32"/>
      <c r="K30" s="22"/>
      <c r="L30" s="22"/>
    </row>
    <row r="31" spans="1:12" s="26" customFormat="1" ht="15" customHeight="1" x14ac:dyDescent="0.2">
      <c r="A31" s="32"/>
      <c r="B31" s="377" t="s">
        <v>536</v>
      </c>
      <c r="C31" s="376">
        <f>SUM(C23:C30)</f>
        <v>405.6404220779221</v>
      </c>
      <c r="D31" s="376">
        <f t="shared" ref="D31:F31" si="5">SUM(D23:D30)</f>
        <v>578.7954545454545</v>
      </c>
      <c r="E31" s="376">
        <f t="shared" si="5"/>
        <v>834.43587662337654</v>
      </c>
      <c r="F31" s="376">
        <f t="shared" si="5"/>
        <v>1818.8717532467531</v>
      </c>
      <c r="G31" s="32"/>
      <c r="H31" s="32"/>
      <c r="I31" s="32"/>
      <c r="J31" s="32"/>
      <c r="K31" s="67"/>
      <c r="L31" s="67"/>
    </row>
    <row r="32" spans="1:12" s="26" customFormat="1" ht="12.75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67"/>
      <c r="L32" s="67"/>
    </row>
    <row r="33" spans="1:23" s="26" customFormat="1" ht="12.75" x14ac:dyDescent="0.2">
      <c r="A33" s="32" t="s">
        <v>174</v>
      </c>
      <c r="B33" s="32" t="s">
        <v>521</v>
      </c>
      <c r="C33" s="32"/>
      <c r="D33" s="32"/>
      <c r="E33" s="32"/>
      <c r="F33" s="32"/>
      <c r="G33" s="32"/>
      <c r="H33" s="32"/>
      <c r="I33" s="32"/>
      <c r="J33" s="32"/>
      <c r="K33" s="67"/>
      <c r="L33" s="67"/>
    </row>
    <row r="34" spans="1:23" ht="12.75" x14ac:dyDescent="0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22"/>
      <c r="L34" s="22"/>
    </row>
    <row r="35" spans="1:23" ht="12.75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22"/>
      <c r="L35" s="22"/>
    </row>
    <row r="36" spans="1:23" ht="12.75" x14ac:dyDescent="0.2">
      <c r="C36" s="301" t="s">
        <v>174</v>
      </c>
      <c r="D36" s="32"/>
      <c r="E36" s="32"/>
      <c r="F36" s="32"/>
      <c r="G36" s="32"/>
      <c r="H36" s="32"/>
      <c r="I36" s="32"/>
      <c r="J36" s="32"/>
      <c r="K36" s="22"/>
      <c r="L36" s="22"/>
    </row>
    <row r="37" spans="1:23" ht="15" customHeight="1" x14ac:dyDescent="0.2">
      <c r="C37" s="304" t="s">
        <v>42</v>
      </c>
      <c r="D37" s="529" t="s">
        <v>96</v>
      </c>
      <c r="E37" s="32"/>
      <c r="F37" s="32"/>
      <c r="G37" s="32"/>
      <c r="H37" s="32"/>
      <c r="I37" s="32"/>
      <c r="J37" s="32"/>
      <c r="K37" s="22"/>
      <c r="L37" s="22"/>
    </row>
    <row r="38" spans="1:23" ht="25.5" x14ac:dyDescent="0.2">
      <c r="A38" s="507" t="s">
        <v>34</v>
      </c>
      <c r="B38" s="508"/>
      <c r="C38" s="309" t="str">
        <f>HLOOKUP(C37,'Centro de actividades'!$E$50:$AM$51,2,0)</f>
        <v>Realizar el control de ventas</v>
      </c>
      <c r="D38" s="530"/>
      <c r="E38" s="32"/>
      <c r="F38" s="32"/>
      <c r="G38" s="32"/>
      <c r="H38" s="32"/>
      <c r="I38" s="32"/>
      <c r="J38" s="32"/>
      <c r="K38" s="22"/>
      <c r="L38" s="22"/>
    </row>
    <row r="39" spans="1:23" ht="15" customHeight="1" x14ac:dyDescent="0.2">
      <c r="A39" s="79" t="s">
        <v>64</v>
      </c>
      <c r="B39" s="329" t="str">
        <f>LOOKUP(A39,'Auxiliar 1'!$T$7:$T$35,'Auxiliar 1'!$U$7:$U$35)</f>
        <v>Horas diarias dedicadas por Pavel a cada C.A.</v>
      </c>
      <c r="C39" s="27">
        <f>D39</f>
        <v>1</v>
      </c>
      <c r="D39" s="27">
        <f>VLOOKUP(A39,'Proceso I'!$A$6:$O$34,4,0)</f>
        <v>1</v>
      </c>
      <c r="E39" s="32"/>
      <c r="F39" s="32"/>
      <c r="G39" s="32"/>
      <c r="H39" s="32"/>
      <c r="I39" s="32"/>
      <c r="J39" s="32"/>
      <c r="K39" s="22"/>
      <c r="L39" s="22"/>
    </row>
    <row r="40" spans="1:23" s="32" customFormat="1" ht="15" customHeight="1" x14ac:dyDescent="0.2">
      <c r="A40" s="79" t="s">
        <v>68</v>
      </c>
      <c r="B40" s="329" t="str">
        <f>LOOKUP(A40,'Auxiliar 1'!$T$7:$T$35,'Auxiliar 1'!$U$7:$U$35)</f>
        <v>% de uso</v>
      </c>
      <c r="C40" s="27">
        <f t="shared" ref="C40:C47" si="6">D40</f>
        <v>0.1</v>
      </c>
      <c r="D40" s="27">
        <f>VLOOKUP(A40,'Proceso I'!$A$6:$O$34,4,0)</f>
        <v>0.1</v>
      </c>
      <c r="K40" s="22"/>
      <c r="L40" s="22"/>
      <c r="M40"/>
      <c r="N40"/>
      <c r="O40"/>
      <c r="P40"/>
      <c r="Q40"/>
      <c r="R40"/>
      <c r="S40"/>
      <c r="T40"/>
      <c r="U40"/>
      <c r="V40"/>
      <c r="W40"/>
    </row>
    <row r="41" spans="1:23" s="32" customFormat="1" ht="15" customHeight="1" x14ac:dyDescent="0.2">
      <c r="A41" s="79" t="s">
        <v>57</v>
      </c>
      <c r="B41" s="329" t="str">
        <f>LOOKUP(A41,'Auxiliar 1'!$T$7:$T$35,'Auxiliar 1'!$U$7:$U$35)</f>
        <v>Proporción de Consumo de Kwh</v>
      </c>
      <c r="C41" s="27">
        <f t="shared" si="6"/>
        <v>5</v>
      </c>
      <c r="D41" s="27">
        <f>VLOOKUP(A41,'Proceso I'!$A$6:$O$34,4,0)</f>
        <v>5</v>
      </c>
      <c r="K41" s="22"/>
      <c r="L41" s="22"/>
      <c r="M41"/>
      <c r="N41"/>
      <c r="O41"/>
      <c r="P41"/>
      <c r="Q41"/>
      <c r="R41"/>
      <c r="S41"/>
      <c r="T41"/>
      <c r="U41"/>
      <c r="V41"/>
      <c r="W41"/>
    </row>
    <row r="42" spans="1:23" s="36" customFormat="1" ht="15" customHeight="1" x14ac:dyDescent="0.2">
      <c r="A42" s="79" t="s">
        <v>58</v>
      </c>
      <c r="B42" s="329" t="str">
        <f>LOOKUP(A42,'Auxiliar 1'!$T$7:$T$35,'Auxiliar 1'!$U$7:$U$35)</f>
        <v>N° de personas en el C.A.</v>
      </c>
      <c r="C42" s="27">
        <f t="shared" si="6"/>
        <v>1</v>
      </c>
      <c r="D42" s="27">
        <f>VLOOKUP(A42,'Proceso I'!$A$6:$O$34,4,0)</f>
        <v>1</v>
      </c>
      <c r="E42" s="32"/>
      <c r="F42" s="32"/>
      <c r="G42" s="32"/>
      <c r="H42" s="32"/>
      <c r="I42" s="32"/>
      <c r="J42" s="32"/>
      <c r="K42" s="22"/>
      <c r="L42" s="22"/>
      <c r="M42"/>
      <c r="N42"/>
      <c r="O42"/>
      <c r="P42"/>
      <c r="Q42"/>
      <c r="R42"/>
      <c r="S42"/>
      <c r="T42"/>
      <c r="U42"/>
      <c r="V42"/>
      <c r="W42"/>
    </row>
    <row r="43" spans="1:23" ht="15" customHeight="1" x14ac:dyDescent="0.2">
      <c r="A43" s="79" t="s">
        <v>56</v>
      </c>
      <c r="B43" s="329" t="str">
        <f>LOOKUP(A43,'Auxiliar 1'!$T$7:$T$35,'Auxiliar 1'!$U$7:$U$35)</f>
        <v>N° de personas en el C.A.</v>
      </c>
      <c r="C43" s="27">
        <f t="shared" si="6"/>
        <v>1</v>
      </c>
      <c r="D43" s="27">
        <f>VLOOKUP(A43,'Proceso I'!$A$6:$O$34,4,0)</f>
        <v>1</v>
      </c>
      <c r="E43" s="32"/>
      <c r="F43" s="32"/>
      <c r="G43" s="32"/>
      <c r="H43" s="32"/>
      <c r="I43" s="32"/>
      <c r="J43" s="32"/>
      <c r="K43" s="31"/>
      <c r="L43" s="31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</row>
    <row r="44" spans="1:23" ht="15" customHeight="1" x14ac:dyDescent="0.2">
      <c r="A44" s="79" t="s">
        <v>99</v>
      </c>
      <c r="B44" s="329" t="str">
        <f>LOOKUP(A44,'Auxiliar 1'!$T$7:$T$35,'Auxiliar 1'!$U$7:$U$35)</f>
        <v>Flat Parcial</v>
      </c>
      <c r="C44" s="27">
        <f t="shared" si="6"/>
        <v>1</v>
      </c>
      <c r="D44" s="27">
        <f>VLOOKUP(A44,'Proceso I'!$A$6:$O$34,4,0)</f>
        <v>1</v>
      </c>
      <c r="E44" s="32"/>
      <c r="F44" s="32"/>
      <c r="G44" s="32"/>
      <c r="H44" s="32"/>
      <c r="I44" s="32"/>
      <c r="J44" s="32"/>
      <c r="K44" s="31"/>
      <c r="L44" s="31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spans="1:23" ht="15.75" customHeight="1" x14ac:dyDescent="0.2">
      <c r="A45" s="79" t="s">
        <v>80</v>
      </c>
      <c r="B45" s="329" t="str">
        <f>LOOKUP(A45,'Auxiliar 1'!$T$7:$T$35,'Auxiliar 1'!$U$7:$U$35)</f>
        <v>% de Importancia</v>
      </c>
      <c r="C45" s="27">
        <f t="shared" si="6"/>
        <v>0.05</v>
      </c>
      <c r="D45" s="27">
        <f>VLOOKUP(A45,'Proceso I'!$A$6:$O$34,4,0)</f>
        <v>0.05</v>
      </c>
      <c r="E45" s="32"/>
      <c r="F45" s="32"/>
      <c r="G45" s="32"/>
      <c r="H45" s="32"/>
      <c r="I45" s="32"/>
      <c r="J45" s="32"/>
      <c r="K45" s="35"/>
      <c r="L45" s="35"/>
      <c r="M45" s="50"/>
      <c r="N45" s="50"/>
      <c r="O45" s="36"/>
      <c r="P45" s="36"/>
      <c r="Q45" s="36"/>
      <c r="R45" s="36"/>
      <c r="S45" s="36"/>
      <c r="T45" s="36"/>
      <c r="U45" s="36"/>
      <c r="V45" s="36"/>
      <c r="W45" s="36"/>
    </row>
    <row r="46" spans="1:23" ht="15.75" customHeight="1" x14ac:dyDescent="0.2">
      <c r="A46" s="79" t="s">
        <v>81</v>
      </c>
      <c r="B46" s="329" t="str">
        <f>LOOKUP(A46,'Auxiliar 1'!$T$7:$T$35,'Auxiliar 1'!$U$7:$U$35)</f>
        <v>Flat Parcial</v>
      </c>
      <c r="C46" s="27">
        <f t="shared" si="6"/>
        <v>1</v>
      </c>
      <c r="D46" s="27">
        <f>VLOOKUP(A46,'Proceso I'!$A$6:$O$34,4,0)</f>
        <v>1</v>
      </c>
      <c r="E46" s="32"/>
      <c r="F46" s="32"/>
      <c r="G46" s="32"/>
      <c r="H46" s="32"/>
      <c r="I46" s="32"/>
      <c r="J46" s="32"/>
      <c r="K46" s="35"/>
      <c r="L46" s="35"/>
      <c r="M46" s="50"/>
      <c r="N46" s="50"/>
      <c r="O46" s="36"/>
      <c r="P46" s="36"/>
      <c r="Q46" s="36"/>
      <c r="R46" s="36"/>
      <c r="S46" s="36"/>
      <c r="T46" s="36"/>
      <c r="U46" s="36"/>
      <c r="V46" s="36"/>
      <c r="W46" s="36"/>
    </row>
    <row r="47" spans="1:23" ht="15.75" customHeight="1" x14ac:dyDescent="0.2">
      <c r="A47" s="89" t="s">
        <v>95</v>
      </c>
      <c r="B47" s="329" t="str">
        <f>LOOKUP(A47,'Auxiliar 1'!$T$7:$T$35,'Auxiliar 1'!$U$7:$U$35)</f>
        <v>% Asignación</v>
      </c>
      <c r="C47" s="27">
        <f t="shared" si="6"/>
        <v>0.5</v>
      </c>
      <c r="D47" s="27">
        <f>VLOOKUP(A47,'Proceso I'!$A$6:$O$34,4,0)</f>
        <v>0.5</v>
      </c>
      <c r="E47" s="32"/>
      <c r="F47" s="32"/>
      <c r="G47" s="32"/>
      <c r="H47" s="32"/>
      <c r="I47" s="32"/>
      <c r="J47" s="32"/>
      <c r="K47" s="35"/>
      <c r="L47" s="35"/>
      <c r="M47" s="50"/>
      <c r="N47" s="50"/>
      <c r="O47" s="36"/>
      <c r="P47" s="36"/>
      <c r="Q47" s="36"/>
      <c r="R47" s="36"/>
      <c r="S47" s="36"/>
      <c r="T47" s="36"/>
      <c r="U47" s="36"/>
      <c r="V47" s="36"/>
      <c r="W47" s="36"/>
    </row>
    <row r="48" spans="1:23" ht="15.75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5"/>
      <c r="L48" s="35"/>
      <c r="M48" s="50"/>
      <c r="N48" s="50"/>
      <c r="O48" s="36"/>
      <c r="P48" s="36"/>
      <c r="Q48" s="36"/>
      <c r="R48" s="36"/>
      <c r="S48" s="36"/>
      <c r="T48" s="36"/>
      <c r="U48" s="36"/>
      <c r="V48" s="36"/>
      <c r="W48" s="36"/>
    </row>
    <row r="49" spans="1:23" ht="15.75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5"/>
      <c r="L49" s="35"/>
      <c r="M49" s="50"/>
      <c r="N49" s="50"/>
      <c r="O49" s="36"/>
      <c r="P49" s="36"/>
      <c r="Q49" s="36"/>
      <c r="R49" s="36"/>
      <c r="S49" s="36"/>
      <c r="T49" s="36"/>
      <c r="U49" s="36"/>
      <c r="V49" s="36"/>
      <c r="W49" s="36"/>
    </row>
    <row r="50" spans="1:23" ht="15.75" customHeight="1" x14ac:dyDescent="0.2">
      <c r="C50" s="301" t="s">
        <v>174</v>
      </c>
      <c r="D50" s="32"/>
      <c r="E50" s="32"/>
      <c r="F50" s="32"/>
      <c r="G50" s="32"/>
      <c r="H50" s="32"/>
      <c r="I50" s="32"/>
      <c r="J50" s="32"/>
      <c r="K50" s="35"/>
      <c r="L50" s="35"/>
      <c r="M50" s="50"/>
      <c r="N50" s="50"/>
      <c r="O50" s="36"/>
      <c r="P50" s="36"/>
      <c r="Q50" s="36"/>
      <c r="R50" s="36"/>
      <c r="S50" s="36"/>
      <c r="T50" s="36"/>
      <c r="U50" s="36"/>
      <c r="V50" s="36"/>
      <c r="W50" s="36"/>
    </row>
    <row r="51" spans="1:23" ht="15.75" customHeight="1" x14ac:dyDescent="0.2">
      <c r="C51" s="304" t="s">
        <v>42</v>
      </c>
      <c r="D51" s="529" t="s">
        <v>96</v>
      </c>
      <c r="E51" s="32"/>
      <c r="F51" s="32"/>
      <c r="G51" s="32"/>
      <c r="H51" s="32"/>
      <c r="I51" s="32"/>
      <c r="J51" s="32"/>
      <c r="K51" s="35"/>
      <c r="L51" s="35"/>
      <c r="M51" s="50"/>
      <c r="N51" s="50"/>
      <c r="O51" s="36"/>
      <c r="P51" s="36"/>
      <c r="Q51" s="36"/>
      <c r="R51" s="36"/>
      <c r="S51" s="36"/>
      <c r="T51" s="36"/>
      <c r="U51" s="36"/>
      <c r="V51" s="36"/>
      <c r="W51" s="36"/>
    </row>
    <row r="52" spans="1:23" ht="25.5" x14ac:dyDescent="0.2">
      <c r="A52" s="507" t="s">
        <v>522</v>
      </c>
      <c r="B52" s="508"/>
      <c r="C52" s="309" t="str">
        <f>HLOOKUP(C51,'Centro de actividades'!$E$50:$AM$51,2,0)</f>
        <v>Realizar el control de ventas</v>
      </c>
      <c r="D52" s="530"/>
      <c r="E52" s="32"/>
      <c r="F52" s="32"/>
      <c r="G52" s="32"/>
      <c r="H52" s="32"/>
      <c r="I52" s="32"/>
      <c r="J52" s="32"/>
      <c r="K52" s="35"/>
      <c r="L52" s="35"/>
      <c r="M52" s="50"/>
      <c r="N52" s="50"/>
      <c r="O52" s="36"/>
      <c r="P52" s="36"/>
      <c r="Q52" s="36"/>
      <c r="R52" s="36"/>
      <c r="S52" s="36"/>
      <c r="T52" s="36"/>
      <c r="U52" s="36"/>
      <c r="V52" s="36"/>
      <c r="W52" s="36"/>
    </row>
    <row r="53" spans="1:23" ht="15" customHeight="1" x14ac:dyDescent="0.2">
      <c r="A53" s="78" t="str">
        <f>LOOKUP(A39,'Auxiliar 1'!$T$7:$T$35,'Auxiliar 1'!$B$7:$B$35)</f>
        <v>EC02</v>
      </c>
      <c r="B53" s="6" t="str">
        <f>LOOKUP(A53,'Auxiliar 1'!$B$7:$B$35,'Auxiliar 1'!$C$7:$C$35)</f>
        <v>Sueldo de Pavel (Sin considerar CA Diseño)</v>
      </c>
      <c r="C53" s="330">
        <f>C39*$D53/$D39</f>
        <v>450</v>
      </c>
      <c r="D53" s="332">
        <f>VLOOKUP(A53,'Proceso I'!$A$41:$O$69,4,0)</f>
        <v>450</v>
      </c>
      <c r="E53" s="32"/>
      <c r="F53" s="32"/>
      <c r="G53" s="32"/>
      <c r="H53" s="32"/>
      <c r="I53" s="32"/>
      <c r="J53" s="32"/>
      <c r="K53" s="25"/>
      <c r="L53" s="25"/>
      <c r="M53" s="15"/>
      <c r="N53" s="15"/>
    </row>
    <row r="54" spans="1:23" ht="15" customHeight="1" x14ac:dyDescent="0.2">
      <c r="A54" s="78" t="str">
        <f>LOOKUP(A40,'Auxiliar 1'!$T$7:$T$35,'Auxiliar 1'!$B$7:$B$35)</f>
        <v>EC06</v>
      </c>
      <c r="B54" s="6" t="str">
        <f>LOOKUP(A54,'Auxiliar 1'!$B$7:$B$35,'Auxiliar 1'!$C$7:$C$35)</f>
        <v>Depreciación Computadora</v>
      </c>
      <c r="C54" s="330">
        <f t="shared" ref="C54:C61" si="7">C40*$D54/$D40</f>
        <v>28.125</v>
      </c>
      <c r="D54" s="332">
        <f>VLOOKUP(A54,'Proceso I'!$A$41:$O$69,4,0)</f>
        <v>28.125</v>
      </c>
      <c r="E54" s="32"/>
      <c r="F54" s="32"/>
      <c r="G54" s="32"/>
      <c r="H54" s="32"/>
      <c r="I54" s="32"/>
      <c r="J54" s="32"/>
      <c r="K54" s="15"/>
      <c r="L54" s="15"/>
      <c r="M54" s="15"/>
      <c r="N54" s="15"/>
    </row>
    <row r="55" spans="1:23" ht="15" customHeight="1" x14ac:dyDescent="0.2">
      <c r="A55" s="78" t="str">
        <f>LOOKUP(A41,'Auxiliar 1'!$T$7:$T$35,'Auxiliar 1'!$B$7:$B$35)</f>
        <v>EC10</v>
      </c>
      <c r="B55" s="6" t="str">
        <f>LOOKUP(A55,'Auxiliar 1'!$B$7:$B$35,'Auxiliar 1'!$C$7:$C$35)</f>
        <v>Energía Eléctrica</v>
      </c>
      <c r="C55" s="330">
        <f t="shared" si="7"/>
        <v>21.81818181818182</v>
      </c>
      <c r="D55" s="332">
        <f>VLOOKUP(A55,'Proceso I'!$A$41:$O$69,4,0)</f>
        <v>21.81818181818182</v>
      </c>
      <c r="E55" s="32"/>
      <c r="F55" s="32"/>
      <c r="G55" s="32"/>
      <c r="H55" s="32"/>
      <c r="I55" s="32"/>
      <c r="J55" s="32"/>
      <c r="K55" s="15"/>
      <c r="L55" s="15"/>
      <c r="M55" s="15"/>
      <c r="N55" s="15"/>
    </row>
    <row r="56" spans="1:23" s="32" customFormat="1" ht="15" customHeight="1" x14ac:dyDescent="0.2">
      <c r="A56" s="78" t="str">
        <f>LOOKUP(A42,'Auxiliar 1'!$T$7:$T$35,'Auxiliar 1'!$B$7:$B$35)</f>
        <v>EC11</v>
      </c>
      <c r="B56" s="6" t="str">
        <f>LOOKUP(A56,'Auxiliar 1'!$B$7:$B$35,'Auxiliar 1'!$C$7:$C$35)</f>
        <v>Agua</v>
      </c>
      <c r="C56" s="330">
        <f t="shared" si="7"/>
        <v>32.142857142857139</v>
      </c>
      <c r="D56" s="332">
        <f>VLOOKUP(A56,'Proceso I'!$A$41:$O$69,4,0)</f>
        <v>32.142857142857139</v>
      </c>
      <c r="K56"/>
      <c r="L56"/>
      <c r="M56"/>
      <c r="N56"/>
      <c r="O56"/>
      <c r="P56"/>
      <c r="Q56"/>
      <c r="R56"/>
      <c r="S56"/>
      <c r="T56"/>
      <c r="U56"/>
      <c r="V56"/>
      <c r="W56"/>
    </row>
    <row r="57" spans="1:23" s="46" customFormat="1" ht="15" customHeight="1" x14ac:dyDescent="0.2">
      <c r="A57" s="78" t="str">
        <f>LOOKUP(A43,'Auxiliar 1'!$T$7:$T$35,'Auxiliar 1'!$B$7:$B$35)</f>
        <v>EC12</v>
      </c>
      <c r="B57" s="6" t="str">
        <f>LOOKUP(A57,'Auxiliar 1'!$B$7:$B$35,'Auxiliar 1'!$C$7:$C$35)</f>
        <v>Teléfono</v>
      </c>
      <c r="C57" s="330">
        <f t="shared" si="7"/>
        <v>85.714285714285708</v>
      </c>
      <c r="D57" s="332">
        <f>VLOOKUP(A57,'Proceso I'!$A$41:$O$69,4,0)</f>
        <v>85.714285714285708</v>
      </c>
      <c r="E57" s="32"/>
      <c r="F57" s="32"/>
      <c r="G57" s="32"/>
      <c r="H57" s="32"/>
      <c r="I57" s="32"/>
      <c r="J57" s="32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 spans="1:23" s="34" customFormat="1" ht="15" customHeight="1" x14ac:dyDescent="0.2">
      <c r="A58" s="78" t="str">
        <f>LOOKUP(A44,'Auxiliar 1'!$T$7:$T$35,'Auxiliar 1'!$B$7:$B$35)</f>
        <v>EC13</v>
      </c>
      <c r="B58" s="6" t="str">
        <f>LOOKUP(A58,'Auxiliar 1'!$B$7:$B$35,'Auxiliar 1'!$C$7:$C$35)</f>
        <v xml:space="preserve">Servicio de internet </v>
      </c>
      <c r="C58" s="330">
        <f t="shared" si="7"/>
        <v>64.285714285714278</v>
      </c>
      <c r="D58" s="332">
        <f>VLOOKUP(A58,'Proceso I'!$A$41:$O$69,4,0)</f>
        <v>64.285714285714278</v>
      </c>
      <c r="E58" s="32"/>
      <c r="F58" s="32"/>
      <c r="G58" s="32"/>
      <c r="H58" s="32"/>
      <c r="I58" s="32"/>
      <c r="J58" s="32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1:23" s="26" customFormat="1" ht="15" customHeight="1" x14ac:dyDescent="0.2">
      <c r="A59" s="78" t="str">
        <f>LOOKUP(A45,'Auxiliar 1'!$T$7:$T$35,'Auxiliar 1'!$B$7:$B$35)</f>
        <v>EC25</v>
      </c>
      <c r="B59" s="6" t="str">
        <f>LOOKUP(A59,'Auxiliar 1'!$B$7:$B$35,'Auxiliar 1'!$C$7:$C$35)</f>
        <v>Alquiler del Local</v>
      </c>
      <c r="C59" s="330">
        <f t="shared" si="7"/>
        <v>82.5</v>
      </c>
      <c r="D59" s="332">
        <f>VLOOKUP(A59,'Proceso I'!$A$41:$O$69,4,0)</f>
        <v>82.5</v>
      </c>
      <c r="E59" s="32"/>
      <c r="F59" s="32"/>
      <c r="G59" s="32"/>
      <c r="H59" s="32"/>
      <c r="I59" s="32"/>
      <c r="J59" s="32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</row>
    <row r="60" spans="1:23" s="26" customFormat="1" ht="16.5" customHeight="1" x14ac:dyDescent="0.2">
      <c r="A60" s="78" t="str">
        <f>LOOKUP(A46,'Auxiliar 1'!$T$7:$T$35,'Auxiliar 1'!$B$7:$B$35)</f>
        <v>EC26</v>
      </c>
      <c r="B60" s="6" t="str">
        <f>LOOKUP(A60,'Auxiliar 1'!$B$7:$B$35,'Auxiliar 1'!$C$7:$C$35)</f>
        <v>Útiles de escritorio</v>
      </c>
      <c r="C60" s="330">
        <f t="shared" si="7"/>
        <v>4.2857142857142856</v>
      </c>
      <c r="D60" s="332">
        <f>VLOOKUP(A60,'Proceso I'!$A$41:$O$69,4,0)</f>
        <v>4.2857142857142856</v>
      </c>
      <c r="E60" s="32"/>
      <c r="F60" s="32"/>
      <c r="G60" s="32"/>
      <c r="H60" s="32"/>
      <c r="I60" s="32"/>
      <c r="J60" s="32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</row>
    <row r="61" spans="1:23" s="26" customFormat="1" ht="16.5" customHeight="1" x14ac:dyDescent="0.2">
      <c r="A61" s="78" t="str">
        <f>LOOKUP(A47,'Auxiliar 1'!$T$7:$T$35,'Auxiliar 1'!$B$7:$B$35)</f>
        <v>EC29</v>
      </c>
      <c r="B61" s="6" t="str">
        <f>LOOKUP(A61,'Auxiliar 1'!$B$7:$B$35,'Auxiliar 1'!$C$7:$C$35)</f>
        <v>Formato de Contrato</v>
      </c>
      <c r="C61" s="330">
        <f t="shared" si="7"/>
        <v>13.2</v>
      </c>
      <c r="D61" s="332">
        <f>VLOOKUP(A61,'Proceso I'!$A$41:$O$69,4,0)</f>
        <v>13.2</v>
      </c>
      <c r="E61" s="32"/>
      <c r="F61" s="32"/>
      <c r="G61" s="32"/>
      <c r="H61" s="32"/>
      <c r="I61" s="32"/>
      <c r="J61" s="32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</row>
    <row r="62" spans="1:23" s="26" customFormat="1" ht="12.75" x14ac:dyDescent="0.2">
      <c r="A62" s="32"/>
      <c r="B62" s="377" t="s">
        <v>536</v>
      </c>
      <c r="C62" s="376">
        <f>SUM(C53:C61)</f>
        <v>782.07175324675325</v>
      </c>
      <c r="D62" s="376">
        <f>SUM(D53:D61)</f>
        <v>782.07175324675325</v>
      </c>
      <c r="E62" s="340"/>
      <c r="F62" s="340"/>
      <c r="G62" s="32"/>
      <c r="H62" s="32"/>
      <c r="I62" s="32"/>
      <c r="J62" s="32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</row>
    <row r="63" spans="1:23" ht="15" customHeight="1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</row>
    <row r="64" spans="1:23" ht="15" customHeight="1" x14ac:dyDescent="0.2">
      <c r="A64" s="32" t="s">
        <v>175</v>
      </c>
      <c r="B64" s="32" t="s">
        <v>523</v>
      </c>
      <c r="C64" s="32"/>
      <c r="D64" s="32"/>
      <c r="E64" s="32"/>
      <c r="F64" s="32"/>
      <c r="G64" s="32"/>
      <c r="H64" s="32"/>
      <c r="I64" s="32"/>
      <c r="J64" s="32"/>
    </row>
    <row r="65" spans="1:23" ht="15.75" customHeight="1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</row>
    <row r="66" spans="1:23" ht="15.75" customHeight="1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</row>
    <row r="67" spans="1:23" ht="15.75" customHeight="1" x14ac:dyDescent="0.2">
      <c r="A67" s="45"/>
      <c r="C67" s="306" t="s">
        <v>175</v>
      </c>
      <c r="D67" s="308"/>
      <c r="E67" s="32"/>
      <c r="F67" s="32"/>
      <c r="G67" s="32"/>
      <c r="H67" s="32"/>
      <c r="I67" s="32"/>
      <c r="J67" s="32"/>
    </row>
    <row r="68" spans="1:23" ht="15.75" customHeight="1" x14ac:dyDescent="0.2">
      <c r="A68" s="45"/>
      <c r="C68" s="304" t="s">
        <v>193</v>
      </c>
      <c r="D68" s="304" t="s">
        <v>195</v>
      </c>
      <c r="E68" s="529" t="s">
        <v>96</v>
      </c>
      <c r="F68" s="32"/>
      <c r="G68" s="32"/>
      <c r="H68" s="32"/>
      <c r="I68" s="32"/>
      <c r="J68" s="32"/>
    </row>
    <row r="69" spans="1:23" ht="38.25" x14ac:dyDescent="0.2">
      <c r="A69" s="507" t="s">
        <v>34</v>
      </c>
      <c r="B69" s="508"/>
      <c r="C69" s="309" t="str">
        <f>HLOOKUP(C68,'Centro de actividades'!$E$50:$AM$51,2,0)</f>
        <v>Realizar visitas a colegios, universidades y otras instituciones</v>
      </c>
      <c r="D69" s="309" t="str">
        <f>HLOOKUP(D68,'Centro de actividades'!$E$50:$AM$51,2,0)</f>
        <v>Realizar publicaciones en redes sociales</v>
      </c>
      <c r="E69" s="530"/>
      <c r="F69" s="32"/>
      <c r="G69" s="32"/>
      <c r="H69" s="32"/>
      <c r="I69" s="32"/>
      <c r="J69" s="32"/>
    </row>
    <row r="70" spans="1:23" ht="15.75" customHeight="1" x14ac:dyDescent="0.2">
      <c r="A70" s="79" t="s">
        <v>64</v>
      </c>
      <c r="B70" s="329" t="str">
        <f>LOOKUP(A70,'Auxiliar 1'!$T$7:$T$35,'Auxiliar 1'!$U$7:$U$35)</f>
        <v>Horas diarias dedicadas por Pavel a cada C.A.</v>
      </c>
      <c r="C70" s="27">
        <v>1</v>
      </c>
      <c r="D70" s="27">
        <v>1</v>
      </c>
      <c r="E70" s="27">
        <f>VLOOKUP(A70,'Proceso I'!$A$6:$O$34,5,0)</f>
        <v>2</v>
      </c>
      <c r="F70" s="32"/>
      <c r="G70" s="32"/>
      <c r="H70" s="32"/>
      <c r="I70" s="32"/>
      <c r="J70" s="32"/>
    </row>
    <row r="71" spans="1:23" ht="15.75" customHeight="1" x14ac:dyDescent="0.2">
      <c r="A71" s="79" t="s">
        <v>68</v>
      </c>
      <c r="B71" s="329" t="str">
        <f>LOOKUP(A71,'Auxiliar 1'!$T$7:$T$35,'Auxiliar 1'!$U$7:$U$35)</f>
        <v>% de uso</v>
      </c>
      <c r="C71" s="27"/>
      <c r="D71" s="337">
        <v>0.2</v>
      </c>
      <c r="E71" s="333">
        <f>VLOOKUP(A71,'Proceso I'!$A$6:$O$34,5,0)</f>
        <v>0.2</v>
      </c>
      <c r="F71" s="32"/>
      <c r="G71" s="32"/>
      <c r="H71" s="32"/>
      <c r="I71" s="32"/>
      <c r="J71" s="32"/>
    </row>
    <row r="72" spans="1:23" ht="15.75" customHeight="1" x14ac:dyDescent="0.2">
      <c r="A72" s="79" t="s">
        <v>57</v>
      </c>
      <c r="B72" s="329" t="str">
        <f>LOOKUP(A72,'Auxiliar 1'!$T$7:$T$35,'Auxiliar 1'!$U$7:$U$35)</f>
        <v>Proporción de Consumo de Kwh</v>
      </c>
      <c r="C72" s="27"/>
      <c r="D72" s="27">
        <f>E72</f>
        <v>10</v>
      </c>
      <c r="E72" s="27">
        <f>VLOOKUP(A72,'Proceso I'!$A$6:$O$34,5,0)</f>
        <v>10</v>
      </c>
      <c r="F72" s="32"/>
      <c r="G72" s="32"/>
      <c r="H72" s="32"/>
      <c r="I72" s="32"/>
      <c r="J72" s="32"/>
    </row>
    <row r="73" spans="1:23" ht="15.75" customHeight="1" x14ac:dyDescent="0.2">
      <c r="A73" s="79" t="s">
        <v>58</v>
      </c>
      <c r="B73" s="329" t="str">
        <f>LOOKUP(A73,'Auxiliar 1'!$T$7:$T$35,'Auxiliar 1'!$U$7:$U$35)</f>
        <v>N° de personas en el C.A.</v>
      </c>
      <c r="C73" s="27"/>
      <c r="D73" s="27">
        <f>E73</f>
        <v>1</v>
      </c>
      <c r="E73" s="27">
        <f>VLOOKUP(A73,'Proceso I'!$A$6:$O$34,5,0)</f>
        <v>1</v>
      </c>
      <c r="F73" s="32"/>
      <c r="G73" s="32"/>
      <c r="H73" s="32"/>
      <c r="I73" s="32"/>
      <c r="J73" s="32"/>
    </row>
    <row r="74" spans="1:23" ht="15.75" customHeight="1" x14ac:dyDescent="0.2">
      <c r="A74" s="79" t="s">
        <v>56</v>
      </c>
      <c r="B74" s="329" t="str">
        <f>LOOKUP(A74,'Auxiliar 1'!$T$7:$T$35,'Auxiliar 1'!$U$7:$U$35)</f>
        <v>N° de personas en el C.A.</v>
      </c>
      <c r="C74" s="27">
        <f>$E74/2</f>
        <v>0.5</v>
      </c>
      <c r="D74" s="27">
        <f>$E74/2</f>
        <v>0.5</v>
      </c>
      <c r="E74" s="27">
        <f>VLOOKUP(A74,'Proceso I'!$A$6:$O$34,5,0)</f>
        <v>1</v>
      </c>
      <c r="F74" s="32"/>
      <c r="G74" s="32"/>
      <c r="H74" s="32"/>
      <c r="I74" s="32"/>
      <c r="J74" s="32"/>
    </row>
    <row r="75" spans="1:23" ht="15.75" customHeight="1" x14ac:dyDescent="0.2">
      <c r="A75" s="79" t="s">
        <v>99</v>
      </c>
      <c r="B75" s="329" t="str">
        <f>LOOKUP(A75,'Auxiliar 1'!$T$7:$T$35,'Auxiliar 1'!$U$7:$U$35)</f>
        <v>Flat Parcial</v>
      </c>
      <c r="C75" s="27"/>
      <c r="D75" s="27">
        <f>E75</f>
        <v>1</v>
      </c>
      <c r="E75" s="27">
        <f>VLOOKUP(A75,'Proceso I'!$A$6:$O$34,5,0)</f>
        <v>1</v>
      </c>
      <c r="F75" s="32"/>
      <c r="G75" s="32"/>
      <c r="H75" s="32"/>
      <c r="I75" s="32"/>
      <c r="J75" s="32"/>
    </row>
    <row r="76" spans="1:23" s="32" customFormat="1" ht="15" customHeight="1" x14ac:dyDescent="0.2">
      <c r="A76" s="79" t="s">
        <v>86</v>
      </c>
      <c r="B76" s="329" t="str">
        <f>LOOKUP(A76,'Auxiliar 1'!$T$7:$T$35,'Auxiliar 1'!$U$7:$U$35)</f>
        <v>% Asignación</v>
      </c>
      <c r="C76" s="337">
        <f>E76</f>
        <v>1</v>
      </c>
      <c r="D76" s="27"/>
      <c r="E76" s="333">
        <f>VLOOKUP(A76,'Proceso I'!$A$6:$O$34,5,0)</f>
        <v>1</v>
      </c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1:23" s="32" customFormat="1" ht="15" customHeight="1" x14ac:dyDescent="0.2">
      <c r="A77" s="79" t="s">
        <v>88</v>
      </c>
      <c r="B77" s="329" t="str">
        <f>LOOKUP(A77,'Auxiliar 1'!$T$7:$T$35,'Auxiliar 1'!$U$7:$U$35)</f>
        <v>% Asignación</v>
      </c>
      <c r="C77" s="337">
        <f>E77</f>
        <v>1</v>
      </c>
      <c r="D77" s="27"/>
      <c r="E77" s="333">
        <f>VLOOKUP(A77,'Proceso I'!$A$6:$O$34,5,0)</f>
        <v>1</v>
      </c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1:23" s="37" customFormat="1" ht="15" customHeight="1" x14ac:dyDescent="0.2">
      <c r="A78" s="79" t="s">
        <v>91</v>
      </c>
      <c r="B78" s="329" t="str">
        <f>LOOKUP(A78,'Auxiliar 1'!$T$7:$T$35,'Auxiliar 1'!$U$7:$U$35)</f>
        <v>% Asignación</v>
      </c>
      <c r="C78" s="27"/>
      <c r="D78" s="337">
        <f>E78</f>
        <v>1</v>
      </c>
      <c r="E78" s="333">
        <f>VLOOKUP(A78,'Proceso I'!$A$6:$O$34,5,0)</f>
        <v>1</v>
      </c>
      <c r="F78" s="32"/>
      <c r="G78" s="32"/>
      <c r="H78" s="32"/>
      <c r="I78" s="32"/>
      <c r="J78" s="32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3" s="26" customFormat="1" ht="15" customHeight="1" x14ac:dyDescent="0.2">
      <c r="A79" s="79" t="s">
        <v>80</v>
      </c>
      <c r="B79" s="329" t="str">
        <f>LOOKUP(A79,'Auxiliar 1'!$T$7:$T$35,'Auxiliar 1'!$U$7:$U$35)</f>
        <v>% de Importancia</v>
      </c>
      <c r="C79" s="27"/>
      <c r="D79" s="337">
        <f t="shared" ref="D79:D80" si="8">E79</f>
        <v>0.05</v>
      </c>
      <c r="E79" s="333">
        <f>VLOOKUP(A79,'Proceso I'!$A$6:$O$34,5,0)</f>
        <v>0.05</v>
      </c>
      <c r="F79" s="32"/>
      <c r="G79" s="32"/>
      <c r="H79" s="32"/>
      <c r="I79" s="32"/>
      <c r="J79" s="32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</row>
    <row r="80" spans="1:23" s="26" customFormat="1" ht="13.5" customHeight="1" x14ac:dyDescent="0.2">
      <c r="A80" s="79" t="s">
        <v>81</v>
      </c>
      <c r="B80" s="329" t="str">
        <f>LOOKUP(A80,'Auxiliar 1'!$T$7:$T$35,'Auxiliar 1'!$U$7:$U$35)</f>
        <v>Flat Parcial</v>
      </c>
      <c r="C80" s="27"/>
      <c r="D80" s="337">
        <f t="shared" si="8"/>
        <v>1</v>
      </c>
      <c r="E80" s="27">
        <f>VLOOKUP(A80,'Proceso I'!$A$6:$O$34,5,0)</f>
        <v>1</v>
      </c>
      <c r="F80" s="32"/>
      <c r="G80" s="32"/>
      <c r="H80" s="32"/>
      <c r="I80" s="32"/>
      <c r="J80" s="32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</row>
    <row r="81" spans="1:23" s="26" customFormat="1" ht="12.75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</row>
    <row r="82" spans="1:23" ht="15" customHeight="1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</row>
    <row r="83" spans="1:23" ht="15" customHeight="1" x14ac:dyDescent="0.2">
      <c r="A83" s="45"/>
      <c r="C83" s="306" t="s">
        <v>175</v>
      </c>
      <c r="D83" s="308"/>
      <c r="E83" s="32"/>
      <c r="F83" s="32"/>
      <c r="G83" s="32"/>
      <c r="H83" s="32"/>
      <c r="I83" s="32"/>
      <c r="J83" s="32"/>
    </row>
    <row r="84" spans="1:23" ht="15" customHeight="1" x14ac:dyDescent="0.2">
      <c r="A84" s="45"/>
      <c r="C84" s="304" t="s">
        <v>193</v>
      </c>
      <c r="D84" s="304" t="s">
        <v>195</v>
      </c>
      <c r="E84" s="529" t="s">
        <v>96</v>
      </c>
      <c r="F84" s="32"/>
      <c r="G84" s="32"/>
      <c r="H84" s="32"/>
      <c r="I84" s="32"/>
      <c r="J84" s="32"/>
    </row>
    <row r="85" spans="1:23" ht="38.25" x14ac:dyDescent="0.2">
      <c r="A85" s="507" t="s">
        <v>55</v>
      </c>
      <c r="B85" s="508"/>
      <c r="C85" s="309" t="str">
        <f>HLOOKUP(C84,'Centro de actividades'!$E$50:$AM$51,2,0)</f>
        <v>Realizar visitas a colegios, universidades y otras instituciones</v>
      </c>
      <c r="D85" s="309" t="str">
        <f>HLOOKUP(D84,'Centro de actividades'!$E$50:$AM$51,2,0)</f>
        <v>Realizar publicaciones en redes sociales</v>
      </c>
      <c r="E85" s="530"/>
      <c r="F85" s="32"/>
      <c r="G85" s="32"/>
      <c r="H85" s="32"/>
      <c r="I85" s="32"/>
      <c r="J85" s="32"/>
    </row>
    <row r="86" spans="1:23" ht="15" customHeight="1" x14ac:dyDescent="0.2">
      <c r="A86" s="78" t="str">
        <f>LOOKUP(A70,'Auxiliar 1'!$T$7:$T$35,'Auxiliar 1'!$B$7:$B$35)</f>
        <v>EC02</v>
      </c>
      <c r="B86" s="6" t="str">
        <f>LOOKUP(A86,'Auxiliar 1'!$B$7:$B$35,'Auxiliar 1'!$C$7:$C$35)</f>
        <v>Sueldo de Pavel (Sin considerar CA Diseño)</v>
      </c>
      <c r="C86" s="330">
        <f>C70*$E86/$E70</f>
        <v>450</v>
      </c>
      <c r="D86" s="330">
        <f>D70*$E86/$E70</f>
        <v>450</v>
      </c>
      <c r="E86" s="332">
        <f>VLOOKUP(A86,'Proceso I'!$A$41:$O$69,5,0)</f>
        <v>900</v>
      </c>
      <c r="F86" s="32"/>
      <c r="G86" s="32"/>
      <c r="H86" s="32"/>
      <c r="I86" s="32"/>
      <c r="J86" s="32"/>
    </row>
    <row r="87" spans="1:23" ht="15" customHeight="1" x14ac:dyDescent="0.2">
      <c r="A87" s="78" t="str">
        <f>LOOKUP(A71,'Auxiliar 1'!$T$7:$T$35,'Auxiliar 1'!$B$7:$B$35)</f>
        <v>EC06</v>
      </c>
      <c r="B87" s="6" t="str">
        <f>LOOKUP(A87,'Auxiliar 1'!$B$7:$B$35,'Auxiliar 1'!$C$7:$C$35)</f>
        <v>Depreciación Computadora</v>
      </c>
      <c r="C87" s="330">
        <f t="shared" ref="C87:D87" si="9">C71*$E87/$E71</f>
        <v>0</v>
      </c>
      <c r="D87" s="330">
        <f t="shared" si="9"/>
        <v>56.25</v>
      </c>
      <c r="E87" s="332">
        <f>VLOOKUP(A87,'Proceso I'!$A$41:$O$69,5,0)</f>
        <v>56.25</v>
      </c>
      <c r="F87" s="32"/>
      <c r="G87" s="32"/>
      <c r="H87" s="32"/>
      <c r="I87" s="32"/>
      <c r="J87" s="32"/>
    </row>
    <row r="88" spans="1:23" ht="15" customHeight="1" x14ac:dyDescent="0.2">
      <c r="A88" s="78" t="str">
        <f>LOOKUP(A72,'Auxiliar 1'!$T$7:$T$35,'Auxiliar 1'!$B$7:$B$35)</f>
        <v>EC10</v>
      </c>
      <c r="B88" s="6" t="str">
        <f>LOOKUP(A88,'Auxiliar 1'!$B$7:$B$35,'Auxiliar 1'!$C$7:$C$35)</f>
        <v>Energía Eléctrica</v>
      </c>
      <c r="C88" s="330">
        <f t="shared" ref="C88:D88" si="10">C72*$E88/$E72</f>
        <v>0</v>
      </c>
      <c r="D88" s="330">
        <f t="shared" si="10"/>
        <v>43.63636363636364</v>
      </c>
      <c r="E88" s="332">
        <f>VLOOKUP(A88,'Proceso I'!$A$41:$O$69,5,0)</f>
        <v>43.63636363636364</v>
      </c>
      <c r="F88" s="32"/>
      <c r="G88" s="32"/>
      <c r="H88" s="32"/>
      <c r="I88" s="32"/>
      <c r="J88" s="32"/>
    </row>
    <row r="89" spans="1:23" ht="15" customHeight="1" x14ac:dyDescent="0.2">
      <c r="A89" s="78" t="str">
        <f>LOOKUP(A73,'Auxiliar 1'!$T$7:$T$35,'Auxiliar 1'!$B$7:$B$35)</f>
        <v>EC11</v>
      </c>
      <c r="B89" s="6" t="str">
        <f>LOOKUP(A89,'Auxiliar 1'!$B$7:$B$35,'Auxiliar 1'!$C$7:$C$35)</f>
        <v>Agua</v>
      </c>
      <c r="C89" s="330">
        <f t="shared" ref="C89:D89" si="11">C73*$E89/$E73</f>
        <v>0</v>
      </c>
      <c r="D89" s="330">
        <f t="shared" si="11"/>
        <v>32.142857142857139</v>
      </c>
      <c r="E89" s="332">
        <f>VLOOKUP(A89,'Proceso I'!$A$41:$O$69,5,0)</f>
        <v>32.142857142857139</v>
      </c>
      <c r="F89" s="32"/>
      <c r="G89" s="32"/>
      <c r="H89" s="32"/>
      <c r="I89" s="32"/>
      <c r="J89" s="32"/>
    </row>
    <row r="90" spans="1:23" ht="15" customHeight="1" x14ac:dyDescent="0.2">
      <c r="A90" s="78" t="str">
        <f>LOOKUP(A74,'Auxiliar 1'!$T$7:$T$35,'Auxiliar 1'!$B$7:$B$35)</f>
        <v>EC12</v>
      </c>
      <c r="B90" s="6" t="str">
        <f>LOOKUP(A90,'Auxiliar 1'!$B$7:$B$35,'Auxiliar 1'!$C$7:$C$35)</f>
        <v>Teléfono</v>
      </c>
      <c r="C90" s="330">
        <f t="shared" ref="C90:D90" si="12">C74*$E90/$E74</f>
        <v>42.857142857142854</v>
      </c>
      <c r="D90" s="330">
        <f t="shared" si="12"/>
        <v>42.857142857142854</v>
      </c>
      <c r="E90" s="332">
        <f>VLOOKUP(A90,'Proceso I'!$A$41:$O$69,5,0)</f>
        <v>85.714285714285708</v>
      </c>
      <c r="F90" s="32"/>
      <c r="G90" s="32"/>
      <c r="H90" s="32"/>
      <c r="I90" s="32"/>
      <c r="J90" s="32"/>
    </row>
    <row r="91" spans="1:23" ht="15" customHeight="1" x14ac:dyDescent="0.2">
      <c r="A91" s="78" t="str">
        <f>LOOKUP(A75,'Auxiliar 1'!$T$7:$T$35,'Auxiliar 1'!$B$7:$B$35)</f>
        <v>EC13</v>
      </c>
      <c r="B91" s="6" t="str">
        <f>LOOKUP(A91,'Auxiliar 1'!$B$7:$B$35,'Auxiliar 1'!$C$7:$C$35)</f>
        <v xml:space="preserve">Servicio de internet </v>
      </c>
      <c r="C91" s="330">
        <f t="shared" ref="C91:D91" si="13">C75*$E91/$E75</f>
        <v>0</v>
      </c>
      <c r="D91" s="330">
        <f t="shared" si="13"/>
        <v>64.285714285714278</v>
      </c>
      <c r="E91" s="332">
        <f>VLOOKUP(A91,'Proceso I'!$A$41:$O$69,5,0)</f>
        <v>64.285714285714278</v>
      </c>
      <c r="F91" s="32"/>
      <c r="G91" s="32"/>
      <c r="H91" s="32"/>
      <c r="I91" s="32"/>
      <c r="J91" s="32"/>
    </row>
    <row r="92" spans="1:23" ht="15" customHeight="1" x14ac:dyDescent="0.2">
      <c r="A92" s="78" t="str">
        <f>LOOKUP(A76,'Auxiliar 1'!$T$7:$T$35,'Auxiliar 1'!$B$7:$B$35)</f>
        <v>EC21</v>
      </c>
      <c r="B92" s="6" t="str">
        <f>LOOKUP(A92,'Auxiliar 1'!$B$7:$B$35,'Auxiliar 1'!$C$7:$C$35)</f>
        <v>Volantes</v>
      </c>
      <c r="C92" s="330">
        <f t="shared" ref="C92:D92" si="14">C76*$E92/$E76</f>
        <v>60</v>
      </c>
      <c r="D92" s="330">
        <f t="shared" si="14"/>
        <v>0</v>
      </c>
      <c r="E92" s="332">
        <f>VLOOKUP(A92,'Proceso I'!$A$41:$O$69,5,0)</f>
        <v>60</v>
      </c>
      <c r="F92" s="32"/>
      <c r="G92" s="32"/>
      <c r="H92" s="32"/>
      <c r="I92" s="32"/>
      <c r="J92" s="32"/>
    </row>
    <row r="93" spans="1:23" ht="15" customHeight="1" x14ac:dyDescent="0.2">
      <c r="A93" s="78" t="str">
        <f>LOOKUP(A77,'Auxiliar 1'!$T$7:$T$35,'Auxiliar 1'!$B$7:$B$35)</f>
        <v>EC22</v>
      </c>
      <c r="B93" s="6" t="str">
        <f>LOOKUP(A93,'Auxiliar 1'!$B$7:$B$35,'Auxiliar 1'!$C$7:$C$35)</f>
        <v>Afiches</v>
      </c>
      <c r="C93" s="330">
        <f t="shared" ref="C93:D93" si="15">C77*$E93/$E77</f>
        <v>280</v>
      </c>
      <c r="D93" s="330">
        <f t="shared" si="15"/>
        <v>0</v>
      </c>
      <c r="E93" s="332">
        <f>VLOOKUP(A93,'Proceso I'!$A$41:$O$69,5,0)</f>
        <v>280</v>
      </c>
      <c r="F93" s="32"/>
      <c r="G93" s="32"/>
      <c r="H93" s="32"/>
      <c r="I93" s="32"/>
      <c r="J93" s="32"/>
    </row>
    <row r="94" spans="1:23" ht="15" customHeight="1" x14ac:dyDescent="0.2">
      <c r="A94" s="78" t="str">
        <f>LOOKUP(A78,'Auxiliar 1'!$T$7:$T$35,'Auxiliar 1'!$B$7:$B$35)</f>
        <v>EC23</v>
      </c>
      <c r="B94" s="6" t="str">
        <f>LOOKUP(A94,'Auxiliar 1'!$B$7:$B$35,'Auxiliar 1'!$C$7:$C$35)</f>
        <v>Dominio y Hosting</v>
      </c>
      <c r="C94" s="330">
        <f t="shared" ref="C94:D94" si="16">C78*$E94/$E78</f>
        <v>0</v>
      </c>
      <c r="D94" s="330">
        <f t="shared" si="16"/>
        <v>300</v>
      </c>
      <c r="E94" s="332">
        <f>VLOOKUP(A94,'Proceso I'!$A$41:$O$69,5,0)</f>
        <v>300</v>
      </c>
      <c r="F94" s="32"/>
      <c r="G94" s="32"/>
      <c r="H94" s="32"/>
      <c r="I94" s="32"/>
      <c r="J94" s="32"/>
    </row>
    <row r="95" spans="1:23" ht="15" customHeight="1" x14ac:dyDescent="0.2">
      <c r="A95" s="78" t="str">
        <f>LOOKUP(A79,'Auxiliar 1'!$T$7:$T$35,'Auxiliar 1'!$B$7:$B$35)</f>
        <v>EC25</v>
      </c>
      <c r="B95" s="6" t="str">
        <f>LOOKUP(A95,'Auxiliar 1'!$B$7:$B$35,'Auxiliar 1'!$C$7:$C$35)</f>
        <v>Alquiler del Local</v>
      </c>
      <c r="C95" s="330">
        <f t="shared" ref="C95:D95" si="17">C79*$E95/$E79</f>
        <v>0</v>
      </c>
      <c r="D95" s="330">
        <f t="shared" si="17"/>
        <v>82.5</v>
      </c>
      <c r="E95" s="332">
        <f>VLOOKUP(A95,'Proceso I'!$A$41:$O$69,5,0)</f>
        <v>82.5</v>
      </c>
      <c r="F95" s="32"/>
      <c r="G95" s="32"/>
      <c r="H95" s="32"/>
      <c r="I95" s="32"/>
      <c r="J95" s="32"/>
    </row>
    <row r="96" spans="1:23" ht="15" customHeight="1" x14ac:dyDescent="0.2">
      <c r="A96" s="78" t="str">
        <f>LOOKUP(A80,'Auxiliar 1'!$T$7:$T$35,'Auxiliar 1'!$B$7:$B$35)</f>
        <v>EC26</v>
      </c>
      <c r="B96" s="6" t="str">
        <f>LOOKUP(A96,'Auxiliar 1'!$B$7:$B$35,'Auxiliar 1'!$C$7:$C$35)</f>
        <v>Útiles de escritorio</v>
      </c>
      <c r="C96" s="330">
        <f t="shared" ref="C96:D96" si="18">C80*$E96/$E80</f>
        <v>0</v>
      </c>
      <c r="D96" s="330">
        <f t="shared" si="18"/>
        <v>4.2857142857142856</v>
      </c>
      <c r="E96" s="332">
        <f>VLOOKUP(A96,'Proceso I'!$A$41:$O$69,5,0)</f>
        <v>4.2857142857142856</v>
      </c>
      <c r="F96" s="32"/>
      <c r="G96" s="32"/>
      <c r="H96" s="32"/>
      <c r="I96" s="32"/>
      <c r="J96" s="32"/>
    </row>
    <row r="97" spans="1:23" ht="15" customHeight="1" x14ac:dyDescent="0.2">
      <c r="A97" s="32"/>
      <c r="B97" s="377" t="s">
        <v>536</v>
      </c>
      <c r="C97" s="376">
        <f>SUM(C86:C96)</f>
        <v>832.85714285714289</v>
      </c>
      <c r="D97" s="376">
        <f t="shared" ref="D97:E97" si="19">SUM(D86:D96)</f>
        <v>1075.9577922077922</v>
      </c>
      <c r="E97" s="376">
        <f t="shared" si="19"/>
        <v>1908.8149350649351</v>
      </c>
      <c r="F97" s="32"/>
      <c r="G97" s="32"/>
      <c r="H97" s="32"/>
      <c r="I97" s="32"/>
      <c r="J97" s="32"/>
    </row>
    <row r="98" spans="1:23" s="32" customFormat="1" ht="15" customHeight="1" x14ac:dyDescent="0.2"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1:23" s="46" customFormat="1" ht="15" customHeight="1" x14ac:dyDescent="0.2">
      <c r="A99" s="32" t="s">
        <v>210</v>
      </c>
      <c r="B99" s="32" t="s">
        <v>524</v>
      </c>
      <c r="C99" s="32"/>
      <c r="D99" s="32"/>
      <c r="E99" s="32"/>
      <c r="F99" s="32"/>
      <c r="G99" s="32"/>
      <c r="H99" s="32"/>
      <c r="I99" s="32"/>
      <c r="J99" s="32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</row>
    <row r="100" spans="1:23" s="34" customFormat="1" ht="15" customHeight="1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1:23" s="26" customFormat="1" ht="15" customHeight="1" x14ac:dyDescent="0.2">
      <c r="A101" s="45"/>
      <c r="C101" s="306" t="s">
        <v>210</v>
      </c>
      <c r="D101" s="308"/>
      <c r="E101" s="32"/>
      <c r="F101" s="32"/>
      <c r="G101" s="32"/>
      <c r="H101" s="32"/>
      <c r="I101" s="32"/>
      <c r="J101" s="32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</row>
    <row r="102" spans="1:23" s="26" customFormat="1" ht="15" customHeight="1" x14ac:dyDescent="0.2">
      <c r="A102" s="45"/>
      <c r="C102" s="304" t="s">
        <v>212</v>
      </c>
      <c r="D102" s="304" t="s">
        <v>213</v>
      </c>
      <c r="E102" s="529" t="s">
        <v>96</v>
      </c>
      <c r="F102" s="32"/>
      <c r="G102" s="32"/>
      <c r="H102" s="32"/>
      <c r="I102" s="32"/>
      <c r="J102" s="32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</row>
    <row r="103" spans="1:23" s="26" customFormat="1" ht="38.25" x14ac:dyDescent="0.2">
      <c r="A103" s="507" t="s">
        <v>34</v>
      </c>
      <c r="B103" s="508"/>
      <c r="C103" s="309" t="str">
        <f>HLOOKUP(C102,'Centro de actividades'!$E$50:$AM$51,2,0)</f>
        <v>Analizar los indicadores de producción</v>
      </c>
      <c r="D103" s="309" t="str">
        <f>HLOOKUP(D102,'Centro de actividades'!$E$50:$AM$51,2,0)</f>
        <v>Analizar volúmenes de producción y emitir órdenes de producción</v>
      </c>
      <c r="E103" s="530"/>
      <c r="F103" s="32"/>
      <c r="G103" s="32"/>
      <c r="H103" s="32"/>
      <c r="I103" s="32"/>
      <c r="J103" s="32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</row>
    <row r="104" spans="1:23" s="26" customFormat="1" ht="45" customHeight="1" x14ac:dyDescent="0.2">
      <c r="A104" s="79" t="s">
        <v>63</v>
      </c>
      <c r="B104" s="329" t="str">
        <f>LOOKUP(A104,'Auxiliar 1'!$T$7:$T$35,'Auxiliar 1'!$U$7:$U$35)</f>
        <v>Horas diarias dedicadas por Groover a cada C.A.</v>
      </c>
      <c r="C104" s="27">
        <f>$E104/2</f>
        <v>0.5</v>
      </c>
      <c r="D104" s="27">
        <f>$E104/2</f>
        <v>0.5</v>
      </c>
      <c r="E104" s="27">
        <f>VLOOKUP(A104,'Proceso I'!$A$6:$O$34,6,0)</f>
        <v>1</v>
      </c>
      <c r="F104" s="32"/>
      <c r="G104" s="32"/>
      <c r="H104" s="32"/>
      <c r="I104" s="32"/>
      <c r="J104" s="32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</row>
    <row r="105" spans="1:23" ht="15" customHeight="1" x14ac:dyDescent="0.2">
      <c r="A105" s="79" t="s">
        <v>68</v>
      </c>
      <c r="B105" s="329" t="str">
        <f>LOOKUP(A105,'Auxiliar 1'!$T$7:$T$35,'Auxiliar 1'!$U$7:$U$35)</f>
        <v>% de uso</v>
      </c>
      <c r="C105" s="333">
        <f>$E105/2</f>
        <v>0.05</v>
      </c>
      <c r="D105" s="333">
        <f>$E105/2</f>
        <v>0.05</v>
      </c>
      <c r="E105" s="333">
        <f>VLOOKUP(A105,'Proceso I'!$A$6:$O$34,6,0)</f>
        <v>0.1</v>
      </c>
      <c r="F105" s="32"/>
      <c r="G105" s="32"/>
      <c r="H105" s="32"/>
      <c r="I105" s="32"/>
      <c r="J105" s="32"/>
      <c r="K105" s="30"/>
      <c r="L105" s="30"/>
      <c r="M105" s="30"/>
      <c r="N105" s="30"/>
      <c r="O105" s="30"/>
      <c r="P105" s="30"/>
    </row>
    <row r="106" spans="1:23" ht="15" customHeight="1" x14ac:dyDescent="0.2">
      <c r="A106" s="79" t="s">
        <v>57</v>
      </c>
      <c r="B106" s="329" t="str">
        <f>LOOKUP(A106,'Auxiliar 1'!$T$7:$T$35,'Auxiliar 1'!$U$7:$U$35)</f>
        <v>Proporción de Consumo de Kwh</v>
      </c>
      <c r="C106" s="27">
        <v>5</v>
      </c>
      <c r="D106" s="27">
        <v>5</v>
      </c>
      <c r="E106" s="27">
        <f>VLOOKUP(A106,'Proceso I'!$A$6:$O$34,6,0)</f>
        <v>10</v>
      </c>
      <c r="F106" s="32"/>
      <c r="G106" s="32"/>
      <c r="H106" s="32"/>
      <c r="I106" s="32"/>
      <c r="J106" s="32"/>
      <c r="K106" s="30"/>
      <c r="L106" s="30"/>
      <c r="M106" s="30"/>
      <c r="N106" s="30"/>
      <c r="O106" s="30"/>
      <c r="P106" s="30"/>
    </row>
    <row r="107" spans="1:23" ht="15" customHeight="1" x14ac:dyDescent="0.2">
      <c r="A107" s="79" t="s">
        <v>58</v>
      </c>
      <c r="B107" s="329" t="str">
        <f>LOOKUP(A107,'Auxiliar 1'!$T$7:$T$35,'Auxiliar 1'!$U$7:$U$35)</f>
        <v>N° de personas en el C.A.</v>
      </c>
      <c r="C107" s="27">
        <f>$E107/2</f>
        <v>0.5</v>
      </c>
      <c r="D107" s="27">
        <f>$E107/2</f>
        <v>0.5</v>
      </c>
      <c r="E107" s="27">
        <f>VLOOKUP(A107,'Proceso I'!$A$6:$O$34,6,0)</f>
        <v>1</v>
      </c>
      <c r="F107" s="32"/>
      <c r="G107" s="32"/>
      <c r="H107" s="32"/>
      <c r="I107" s="32"/>
      <c r="J107" s="32"/>
      <c r="K107" s="30"/>
      <c r="L107" s="30"/>
      <c r="M107" s="30"/>
      <c r="N107" s="30"/>
      <c r="O107" s="30"/>
      <c r="P107" s="30"/>
    </row>
    <row r="108" spans="1:23" ht="15" customHeight="1" x14ac:dyDescent="0.2">
      <c r="A108" s="79" t="s">
        <v>56</v>
      </c>
      <c r="B108" s="329" t="str">
        <f>LOOKUP(A108,'Auxiliar 1'!$T$7:$T$35,'Auxiliar 1'!$U$7:$U$35)</f>
        <v>N° de personas en el C.A.</v>
      </c>
      <c r="C108" s="27"/>
      <c r="D108" s="27">
        <f>E108</f>
        <v>1</v>
      </c>
      <c r="E108" s="27">
        <f>VLOOKUP(A108,'Proceso I'!$A$6:$O$34,6,0)</f>
        <v>1</v>
      </c>
      <c r="F108" s="32"/>
      <c r="G108" s="32"/>
      <c r="H108" s="32"/>
      <c r="I108" s="32"/>
      <c r="J108" s="32"/>
      <c r="K108" s="30"/>
      <c r="L108" s="30"/>
      <c r="M108" s="30"/>
      <c r="N108" s="30"/>
      <c r="O108" s="30"/>
      <c r="P108" s="30"/>
    </row>
    <row r="109" spans="1:23" ht="15" customHeight="1" x14ac:dyDescent="0.2">
      <c r="A109" s="79" t="s">
        <v>99</v>
      </c>
      <c r="B109" s="329" t="str">
        <f>LOOKUP(A109,'Auxiliar 1'!$T$7:$T$35,'Auxiliar 1'!$U$7:$U$35)</f>
        <v>Flat Parcial</v>
      </c>
      <c r="C109" s="27">
        <f>E109</f>
        <v>1</v>
      </c>
      <c r="D109" s="27"/>
      <c r="E109" s="27">
        <f>VLOOKUP(A109,'Proceso I'!$A$6:$O$34,6,0)</f>
        <v>1</v>
      </c>
      <c r="F109" s="32"/>
      <c r="G109" s="32"/>
      <c r="H109" s="32"/>
      <c r="I109" s="32"/>
      <c r="J109" s="32"/>
      <c r="K109" s="30"/>
      <c r="L109" s="30"/>
      <c r="M109" s="30"/>
      <c r="N109" s="30"/>
      <c r="O109" s="30"/>
      <c r="P109" s="30"/>
    </row>
    <row r="110" spans="1:23" ht="15" customHeight="1" x14ac:dyDescent="0.2">
      <c r="A110" s="79" t="s">
        <v>80</v>
      </c>
      <c r="B110" s="329" t="str">
        <f>LOOKUP(A110,'Auxiliar 1'!$T$7:$T$35,'Auxiliar 1'!$U$7:$U$35)</f>
        <v>% de Importancia</v>
      </c>
      <c r="C110" s="333">
        <v>0.02</v>
      </c>
      <c r="D110" s="333">
        <v>0.03</v>
      </c>
      <c r="E110" s="333">
        <f>VLOOKUP(A110,'Proceso I'!$A$6:$O$34,6,0)</f>
        <v>0.05</v>
      </c>
      <c r="F110" s="32"/>
      <c r="G110" s="32"/>
      <c r="H110" s="32"/>
      <c r="I110" s="32"/>
      <c r="J110" s="32"/>
      <c r="K110" s="30"/>
      <c r="L110" s="30"/>
      <c r="M110" s="30"/>
      <c r="N110" s="30"/>
      <c r="O110" s="30"/>
      <c r="P110" s="30"/>
    </row>
    <row r="111" spans="1:23" ht="15" customHeight="1" x14ac:dyDescent="0.2">
      <c r="A111" s="79" t="s">
        <v>81</v>
      </c>
      <c r="B111" s="329" t="str">
        <f>LOOKUP(A111,'Auxiliar 1'!$T$7:$T$35,'Auxiliar 1'!$U$7:$U$35)</f>
        <v>Flat Parcial</v>
      </c>
      <c r="C111" s="27">
        <f>$E111/2</f>
        <v>0.5</v>
      </c>
      <c r="D111" s="27">
        <f>$E111/2</f>
        <v>0.5</v>
      </c>
      <c r="E111" s="27">
        <f>VLOOKUP(A111,'Proceso I'!$A$6:$O$34,6,0)</f>
        <v>1</v>
      </c>
      <c r="F111" s="32"/>
      <c r="G111" s="32"/>
      <c r="H111" s="32"/>
      <c r="I111" s="32"/>
      <c r="J111" s="32"/>
      <c r="K111" s="30"/>
      <c r="L111" s="30"/>
      <c r="M111" s="30"/>
      <c r="N111" s="30"/>
      <c r="O111" s="30"/>
      <c r="P111" s="30"/>
    </row>
    <row r="112" spans="1:23" ht="15" customHeight="1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0"/>
      <c r="L112" s="30"/>
      <c r="M112" s="30"/>
      <c r="N112" s="30"/>
      <c r="O112" s="30"/>
      <c r="P112" s="30"/>
    </row>
    <row r="113" spans="1:23" ht="15" customHeight="1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0"/>
      <c r="L113" s="30"/>
      <c r="M113" s="30"/>
      <c r="N113" s="30"/>
      <c r="O113" s="30"/>
      <c r="P113" s="30"/>
    </row>
    <row r="114" spans="1:23" ht="15" customHeight="1" x14ac:dyDescent="0.2">
      <c r="A114" s="45"/>
      <c r="B114" s="26"/>
      <c r="C114" s="306" t="s">
        <v>210</v>
      </c>
      <c r="D114" s="308"/>
      <c r="E114" s="32"/>
      <c r="F114" s="32"/>
      <c r="G114" s="32"/>
      <c r="H114" s="32"/>
      <c r="I114" s="32"/>
      <c r="J114" s="32"/>
      <c r="K114" s="30"/>
      <c r="L114" s="30"/>
      <c r="M114" s="30"/>
      <c r="N114" s="30"/>
      <c r="O114" s="30"/>
      <c r="P114" s="30"/>
    </row>
    <row r="115" spans="1:23" ht="15" customHeight="1" x14ac:dyDescent="0.2">
      <c r="A115" s="45"/>
      <c r="B115" s="26"/>
      <c r="C115" s="304" t="s">
        <v>212</v>
      </c>
      <c r="D115" s="304" t="s">
        <v>213</v>
      </c>
      <c r="E115" s="529" t="s">
        <v>96</v>
      </c>
      <c r="F115" s="32"/>
      <c r="G115" s="32"/>
      <c r="H115" s="32"/>
      <c r="I115" s="32"/>
      <c r="J115" s="32"/>
      <c r="K115" s="30"/>
      <c r="L115" s="30"/>
      <c r="M115" s="30"/>
      <c r="N115" s="30"/>
      <c r="O115" s="30"/>
      <c r="P115" s="30"/>
    </row>
    <row r="116" spans="1:23" ht="38.25" x14ac:dyDescent="0.2">
      <c r="A116" s="507" t="s">
        <v>55</v>
      </c>
      <c r="B116" s="508"/>
      <c r="C116" s="309" t="str">
        <f>HLOOKUP(C115,'Centro de actividades'!$E$50:$AM$51,2,0)</f>
        <v>Analizar los indicadores de producción</v>
      </c>
      <c r="D116" s="309" t="str">
        <f>HLOOKUP(D115,'Centro de actividades'!$E$50:$AM$51,2,0)</f>
        <v>Analizar volúmenes de producción y emitir órdenes de producción</v>
      </c>
      <c r="E116" s="530"/>
      <c r="F116" s="32"/>
      <c r="G116" s="32"/>
      <c r="H116" s="32"/>
      <c r="I116" s="32"/>
      <c r="J116" s="32"/>
      <c r="K116" s="30"/>
      <c r="L116" s="30"/>
      <c r="M116" s="30"/>
      <c r="N116" s="30"/>
      <c r="O116" s="30"/>
      <c r="P116" s="30"/>
    </row>
    <row r="117" spans="1:23" ht="15" customHeight="1" x14ac:dyDescent="0.2">
      <c r="A117" s="78" t="str">
        <f>LOOKUP(A104,'Auxiliar 1'!$T$7:$T$35,'Auxiliar 1'!$B$7:$B$35)</f>
        <v>EC01</v>
      </c>
      <c r="B117" s="6" t="str">
        <f>LOOKUP(A117,'Auxiliar 1'!$B$7:$B$35,'Auxiliar 1'!$C$7:$C$35)</f>
        <v>Sueldo de Groover (Sin considerar CA Corte)</v>
      </c>
      <c r="C117" s="330">
        <f>C104*$E117/$E104</f>
        <v>375</v>
      </c>
      <c r="D117" s="330">
        <f>D104*$E117/$E104</f>
        <v>375</v>
      </c>
      <c r="E117" s="332">
        <f>VLOOKUP(A117,'Proceso I'!$A$41:$O$69,6,0)</f>
        <v>750</v>
      </c>
      <c r="F117" s="32"/>
      <c r="G117" s="32"/>
      <c r="H117" s="32"/>
      <c r="I117" s="32"/>
      <c r="J117" s="32"/>
      <c r="K117" s="30"/>
      <c r="L117" s="30"/>
      <c r="M117" s="30"/>
      <c r="N117" s="30"/>
      <c r="O117" s="30"/>
      <c r="P117" s="30"/>
    </row>
    <row r="118" spans="1:23" ht="15" customHeight="1" x14ac:dyDescent="0.2">
      <c r="A118" s="78" t="str">
        <f>LOOKUP(A105,'Auxiliar 1'!$T$7:$T$35,'Auxiliar 1'!$B$7:$B$35)</f>
        <v>EC06</v>
      </c>
      <c r="B118" s="6" t="str">
        <f>LOOKUP(A118,'Auxiliar 1'!$B$7:$B$35,'Auxiliar 1'!$C$7:$C$35)</f>
        <v>Depreciación Computadora</v>
      </c>
      <c r="C118" s="330">
        <f t="shared" ref="C118:D118" si="20">C105*$E118/$E105</f>
        <v>14.0625</v>
      </c>
      <c r="D118" s="330">
        <f t="shared" si="20"/>
        <v>14.0625</v>
      </c>
      <c r="E118" s="332">
        <f>VLOOKUP(A118,'Proceso I'!$A$41:$O$69,6,0)</f>
        <v>28.125</v>
      </c>
      <c r="F118" s="32"/>
      <c r="G118" s="32"/>
      <c r="H118" s="32"/>
      <c r="I118" s="32"/>
      <c r="J118" s="32"/>
      <c r="K118" s="30"/>
      <c r="L118" s="30"/>
      <c r="M118" s="30"/>
      <c r="N118" s="30"/>
      <c r="O118" s="30"/>
      <c r="P118" s="30"/>
    </row>
    <row r="119" spans="1:23" ht="15" customHeight="1" x14ac:dyDescent="0.2">
      <c r="A119" s="78" t="str">
        <f>LOOKUP(A106,'Auxiliar 1'!$T$7:$T$35,'Auxiliar 1'!$B$7:$B$35)</f>
        <v>EC10</v>
      </c>
      <c r="B119" s="6" t="str">
        <f>LOOKUP(A119,'Auxiliar 1'!$B$7:$B$35,'Auxiliar 1'!$C$7:$C$35)</f>
        <v>Energía Eléctrica</v>
      </c>
      <c r="C119" s="330">
        <f t="shared" ref="C119:D119" si="21">C106*$E119/$E106</f>
        <v>21.81818181818182</v>
      </c>
      <c r="D119" s="330">
        <f t="shared" si="21"/>
        <v>21.81818181818182</v>
      </c>
      <c r="E119" s="332">
        <f>VLOOKUP(A119,'Proceso I'!$A$41:$O$69,6,0)</f>
        <v>43.63636363636364</v>
      </c>
      <c r="F119" s="32"/>
      <c r="G119" s="32"/>
      <c r="H119" s="32"/>
      <c r="I119" s="32"/>
      <c r="J119" s="32"/>
      <c r="K119" s="30"/>
      <c r="L119" s="30"/>
      <c r="M119" s="30"/>
      <c r="N119" s="30"/>
      <c r="O119" s="30"/>
      <c r="P119" s="30"/>
    </row>
    <row r="120" spans="1:23" ht="15" customHeight="1" x14ac:dyDescent="0.2">
      <c r="A120" s="78" t="str">
        <f>LOOKUP(A107,'Auxiliar 1'!$T$7:$T$35,'Auxiliar 1'!$B$7:$B$35)</f>
        <v>EC11</v>
      </c>
      <c r="B120" s="6" t="str">
        <f>LOOKUP(A120,'Auxiliar 1'!$B$7:$B$35,'Auxiliar 1'!$C$7:$C$35)</f>
        <v>Agua</v>
      </c>
      <c r="C120" s="330">
        <f t="shared" ref="C120:D120" si="22">C107*$E120/$E107</f>
        <v>16.071428571428569</v>
      </c>
      <c r="D120" s="330">
        <f t="shared" si="22"/>
        <v>16.071428571428569</v>
      </c>
      <c r="E120" s="332">
        <f>VLOOKUP(A120,'Proceso I'!$A$41:$O$69,6,0)</f>
        <v>32.142857142857139</v>
      </c>
      <c r="F120" s="32"/>
      <c r="G120" s="32"/>
      <c r="H120" s="32"/>
      <c r="I120" s="32"/>
      <c r="J120" s="32"/>
      <c r="K120" s="30"/>
      <c r="L120" s="30"/>
      <c r="M120" s="30"/>
      <c r="N120" s="30"/>
      <c r="O120" s="30"/>
      <c r="P120" s="30"/>
    </row>
    <row r="121" spans="1:23" ht="15" customHeight="1" x14ac:dyDescent="0.2">
      <c r="A121" s="78" t="str">
        <f>LOOKUP(A108,'Auxiliar 1'!$T$7:$T$35,'Auxiliar 1'!$B$7:$B$35)</f>
        <v>EC12</v>
      </c>
      <c r="B121" s="6" t="str">
        <f>LOOKUP(A121,'Auxiliar 1'!$B$7:$B$35,'Auxiliar 1'!$C$7:$C$35)</f>
        <v>Teléfono</v>
      </c>
      <c r="C121" s="330">
        <f>C108*$E121/$E108</f>
        <v>0</v>
      </c>
      <c r="D121" s="330">
        <f>D108*$E121/$E108</f>
        <v>85.714285714285708</v>
      </c>
      <c r="E121" s="332">
        <f>VLOOKUP(A121,'Proceso I'!$A$41:$O$69,6,0)</f>
        <v>85.714285714285708</v>
      </c>
      <c r="F121" s="32"/>
      <c r="G121" s="32"/>
      <c r="H121" s="32"/>
      <c r="I121" s="32"/>
      <c r="J121" s="32"/>
      <c r="K121" s="30"/>
      <c r="L121" s="30"/>
      <c r="M121" s="30"/>
      <c r="N121" s="30"/>
      <c r="O121" s="30"/>
      <c r="P121" s="30"/>
    </row>
    <row r="122" spans="1:23" ht="15" customHeight="1" x14ac:dyDescent="0.2">
      <c r="A122" s="78" t="str">
        <f>LOOKUP(A109,'Auxiliar 1'!$T$7:$T$35,'Auxiliar 1'!$B$7:$B$35)</f>
        <v>EC13</v>
      </c>
      <c r="B122" s="6" t="str">
        <f>LOOKUP(A122,'Auxiliar 1'!$B$7:$B$35,'Auxiliar 1'!$C$7:$C$35)</f>
        <v xml:space="preserve">Servicio de internet </v>
      </c>
      <c r="C122" s="330">
        <f t="shared" ref="C122:D122" si="23">C109*$E122/$E109</f>
        <v>64.285714285714278</v>
      </c>
      <c r="D122" s="330">
        <f t="shared" si="23"/>
        <v>0</v>
      </c>
      <c r="E122" s="332">
        <f>VLOOKUP(A122,'Proceso I'!$A$41:$O$69,6,0)</f>
        <v>64.285714285714278</v>
      </c>
      <c r="F122" s="32"/>
      <c r="G122" s="32"/>
      <c r="H122" s="32"/>
      <c r="I122" s="32"/>
      <c r="J122" s="32"/>
      <c r="K122" s="30"/>
      <c r="L122" s="30"/>
      <c r="M122" s="30"/>
      <c r="N122" s="30"/>
      <c r="O122" s="30"/>
      <c r="P122" s="30"/>
    </row>
    <row r="123" spans="1:23" ht="15" customHeight="1" x14ac:dyDescent="0.2">
      <c r="A123" s="78" t="str">
        <f>LOOKUP(A110,'Auxiliar 1'!$T$7:$T$35,'Auxiliar 1'!$B$7:$B$35)</f>
        <v>EC25</v>
      </c>
      <c r="B123" s="6" t="str">
        <f>LOOKUP(A123,'Auxiliar 1'!$B$7:$B$35,'Auxiliar 1'!$C$7:$C$35)</f>
        <v>Alquiler del Local</v>
      </c>
      <c r="C123" s="330">
        <f t="shared" ref="C123:D123" si="24">C110*$E123/$E110</f>
        <v>33</v>
      </c>
      <c r="D123" s="330">
        <f t="shared" si="24"/>
        <v>49.5</v>
      </c>
      <c r="E123" s="332">
        <f>VLOOKUP(A123,'Proceso I'!$A$41:$O$69,6,0)</f>
        <v>82.5</v>
      </c>
      <c r="F123" s="32"/>
      <c r="G123" s="32"/>
      <c r="H123" s="32"/>
      <c r="I123" s="32"/>
      <c r="J123" s="32"/>
      <c r="K123" s="30"/>
      <c r="L123" s="30"/>
      <c r="M123" s="30"/>
      <c r="N123" s="30"/>
      <c r="O123" s="30"/>
      <c r="P123" s="30"/>
    </row>
    <row r="124" spans="1:23" ht="15" customHeight="1" x14ac:dyDescent="0.2">
      <c r="A124" s="78" t="str">
        <f>LOOKUP(A111,'Auxiliar 1'!$T$7:$T$35,'Auxiliar 1'!$B$7:$B$35)</f>
        <v>EC26</v>
      </c>
      <c r="B124" s="6" t="str">
        <f>LOOKUP(A124,'Auxiliar 1'!$B$7:$B$35,'Auxiliar 1'!$C$7:$C$35)</f>
        <v>Útiles de escritorio</v>
      </c>
      <c r="C124" s="330">
        <f>C111*$E124/$E111</f>
        <v>2.1428571428571428</v>
      </c>
      <c r="D124" s="330">
        <f>D111*$E124/$E111</f>
        <v>2.1428571428571428</v>
      </c>
      <c r="E124" s="332">
        <f>VLOOKUP(A124,'Proceso I'!$A$41:$O$69,6,0)</f>
        <v>4.2857142857142856</v>
      </c>
      <c r="F124" s="32"/>
      <c r="G124" s="32"/>
      <c r="H124" s="32"/>
      <c r="I124" s="32"/>
      <c r="J124" s="32"/>
      <c r="K124" s="30"/>
      <c r="L124" s="30"/>
      <c r="M124" s="30"/>
      <c r="N124" s="30"/>
      <c r="O124" s="30"/>
      <c r="P124" s="30"/>
    </row>
    <row r="125" spans="1:23" ht="15" customHeight="1" x14ac:dyDescent="0.2">
      <c r="A125" s="32"/>
      <c r="B125" s="377" t="s">
        <v>536</v>
      </c>
      <c r="C125" s="376">
        <f>SUM(C117:C124)</f>
        <v>526.38068181818176</v>
      </c>
      <c r="D125" s="376">
        <f t="shared" ref="D125:E125" si="25">SUM(D117:D124)</f>
        <v>564.3092532467532</v>
      </c>
      <c r="E125" s="376">
        <f t="shared" si="25"/>
        <v>1090.6899350649348</v>
      </c>
      <c r="F125" s="32"/>
      <c r="G125" s="32"/>
      <c r="H125" s="32"/>
      <c r="I125" s="32"/>
      <c r="J125" s="32"/>
      <c r="K125" s="39"/>
      <c r="L125" s="30"/>
      <c r="M125" s="30"/>
      <c r="N125" s="30"/>
      <c r="O125" s="30"/>
      <c r="P125" s="30"/>
    </row>
    <row r="126" spans="1:23" ht="15" customHeight="1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0"/>
      <c r="L126" s="30"/>
      <c r="M126" s="30"/>
      <c r="N126" s="30"/>
      <c r="O126" s="30"/>
      <c r="P126" s="30"/>
    </row>
    <row r="127" spans="1:23" s="32" customFormat="1" ht="15" customHeight="1" x14ac:dyDescent="0.2">
      <c r="A127" s="32" t="s">
        <v>49</v>
      </c>
      <c r="B127" s="32" t="s">
        <v>525</v>
      </c>
      <c r="K127" s="88"/>
      <c r="L127" s="30"/>
      <c r="M127" s="30"/>
      <c r="N127" s="30"/>
      <c r="O127" s="30"/>
      <c r="P127" s="30"/>
      <c r="Q127"/>
      <c r="R127"/>
      <c r="S127"/>
      <c r="T127"/>
      <c r="U127"/>
      <c r="V127"/>
      <c r="W127"/>
    </row>
    <row r="128" spans="1:23" s="32" customFormat="1" ht="15" customHeight="1" x14ac:dyDescent="0.2">
      <c r="K128" s="39"/>
      <c r="L128" s="30"/>
      <c r="M128" s="30"/>
      <c r="N128" s="30"/>
      <c r="O128" s="30"/>
      <c r="P128" s="30"/>
      <c r="Q128"/>
      <c r="R128"/>
      <c r="S128"/>
      <c r="T128"/>
      <c r="U128"/>
      <c r="V128"/>
      <c r="W128"/>
    </row>
    <row r="129" spans="1:23" s="32" customFormat="1" ht="15" customHeight="1" x14ac:dyDescent="0.2">
      <c r="K129" s="39"/>
      <c r="L129" s="30"/>
      <c r="M129" s="30"/>
      <c r="N129" s="30"/>
      <c r="O129" s="30"/>
      <c r="P129" s="30"/>
      <c r="Q129"/>
      <c r="R129"/>
      <c r="S129"/>
      <c r="T129"/>
      <c r="U129"/>
      <c r="V129"/>
      <c r="W129"/>
    </row>
    <row r="130" spans="1:23" ht="15" customHeight="1" x14ac:dyDescent="0.2">
      <c r="A130" s="45"/>
      <c r="C130" s="310" t="s">
        <v>49</v>
      </c>
      <c r="D130" s="311"/>
      <c r="E130" s="32"/>
      <c r="F130" s="32"/>
      <c r="G130" s="32"/>
      <c r="H130" s="32"/>
      <c r="I130" s="32"/>
      <c r="J130" s="32"/>
      <c r="K130" s="30"/>
      <c r="L130" s="39"/>
      <c r="M130" s="39"/>
      <c r="N130" s="39"/>
      <c r="O130" s="39"/>
      <c r="P130" s="39"/>
      <c r="Q130" s="32"/>
      <c r="R130" s="32"/>
      <c r="S130" s="32"/>
      <c r="T130" s="32"/>
      <c r="U130" s="32"/>
      <c r="V130" s="32"/>
      <c r="W130" s="32"/>
    </row>
    <row r="131" spans="1:23" ht="15" customHeight="1" x14ac:dyDescent="0.2">
      <c r="A131" s="45"/>
      <c r="C131" s="318" t="s">
        <v>9</v>
      </c>
      <c r="D131" s="318" t="s">
        <v>7</v>
      </c>
      <c r="E131" s="527" t="s">
        <v>96</v>
      </c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</row>
    <row r="132" spans="1:23" ht="25.5" x14ac:dyDescent="0.2">
      <c r="A132" s="509" t="s">
        <v>34</v>
      </c>
      <c r="B132" s="510"/>
      <c r="C132" s="336" t="str">
        <f>HLOOKUP(C131,'Centro de actividades'!$E$50:$AM$51,2,0)</f>
        <v>Realizar el pago de planilla</v>
      </c>
      <c r="D132" s="336" t="str">
        <f>HLOOKUP(D131,'Centro de actividades'!$E$50:$AM$51,2,0)</f>
        <v>Controlar asistencia de trabajadores</v>
      </c>
      <c r="E132" s="528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</row>
    <row r="133" spans="1:23" ht="45" customHeight="1" x14ac:dyDescent="0.2">
      <c r="A133" s="79" t="s">
        <v>63</v>
      </c>
      <c r="B133" s="329" t="str">
        <f>LOOKUP(A133,'Auxiliar 1'!$T$7:$T$35,'Auxiliar 1'!$U$7:$U$35)</f>
        <v>Horas diarias dedicadas por Groover a cada C.A.</v>
      </c>
      <c r="C133" s="27">
        <v>0.1</v>
      </c>
      <c r="D133" s="27">
        <v>0.9</v>
      </c>
      <c r="E133" s="27">
        <f>VLOOKUP(A133,'Proceso I'!$A$6:$O$34,7,0)</f>
        <v>1</v>
      </c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</row>
    <row r="134" spans="1:23" ht="15" customHeight="1" x14ac:dyDescent="0.2">
      <c r="A134" s="79" t="s">
        <v>68</v>
      </c>
      <c r="B134" s="329" t="str">
        <f>LOOKUP(A134,'Auxiliar 1'!$T$7:$T$35,'Auxiliar 1'!$U$7:$U$35)</f>
        <v>% de uso</v>
      </c>
      <c r="C134" s="27"/>
      <c r="D134" s="333">
        <v>0.1</v>
      </c>
      <c r="E134" s="333">
        <f>VLOOKUP(A134,'Proceso I'!$A$6:$O$34,7,0)</f>
        <v>0.1</v>
      </c>
      <c r="F134" s="32"/>
      <c r="G134" s="32"/>
      <c r="H134" s="32"/>
      <c r="I134" s="32"/>
      <c r="J134" s="32"/>
      <c r="K134" s="49"/>
    </row>
    <row r="135" spans="1:23" ht="15" customHeight="1" x14ac:dyDescent="0.2">
      <c r="A135" s="79" t="s">
        <v>57</v>
      </c>
      <c r="B135" s="329" t="str">
        <f>LOOKUP(A135,'Auxiliar 1'!$T$7:$T$35,'Auxiliar 1'!$U$7:$U$35)</f>
        <v>Proporción de Consumo de Kwh</v>
      </c>
      <c r="C135" s="27">
        <v>1</v>
      </c>
      <c r="D135" s="27">
        <v>9</v>
      </c>
      <c r="E135" s="27">
        <f>VLOOKUP(A135,'Proceso I'!$A$6:$O$34,7,0)</f>
        <v>10</v>
      </c>
      <c r="F135" s="32"/>
      <c r="G135" s="32"/>
      <c r="H135" s="32"/>
      <c r="I135" s="32"/>
      <c r="J135" s="32"/>
      <c r="K135" s="49"/>
    </row>
    <row r="136" spans="1:23" ht="15" customHeight="1" x14ac:dyDescent="0.2">
      <c r="A136" s="79" t="s">
        <v>58</v>
      </c>
      <c r="B136" s="329" t="str">
        <f>LOOKUP(A136,'Auxiliar 1'!$T$7:$T$35,'Auxiliar 1'!$U$7:$U$35)</f>
        <v>N° de personas en el C.A.</v>
      </c>
      <c r="C136" s="27">
        <v>0.5</v>
      </c>
      <c r="D136" s="27">
        <v>0.5</v>
      </c>
      <c r="E136" s="27">
        <f>VLOOKUP(A136,'Proceso I'!$A$6:$O$34,7,0)</f>
        <v>1</v>
      </c>
      <c r="F136" s="32"/>
      <c r="G136" s="32"/>
      <c r="H136" s="32"/>
      <c r="I136" s="32"/>
      <c r="J136" s="32"/>
      <c r="K136" s="49"/>
    </row>
    <row r="137" spans="1:23" ht="15" customHeight="1" x14ac:dyDescent="0.2">
      <c r="A137" s="79" t="s">
        <v>99</v>
      </c>
      <c r="B137" s="329" t="str">
        <f>LOOKUP(A137,'Auxiliar 1'!$T$7:$T$35,'Auxiliar 1'!$U$7:$U$35)</f>
        <v>Flat Parcial</v>
      </c>
      <c r="C137" s="27"/>
      <c r="D137" s="27">
        <v>1</v>
      </c>
      <c r="E137" s="27">
        <f>VLOOKUP(A137,'Proceso I'!$A$6:$O$34,7,0)</f>
        <v>1</v>
      </c>
      <c r="F137" s="32"/>
      <c r="G137" s="32"/>
      <c r="H137" s="32"/>
      <c r="I137" s="32"/>
      <c r="J137" s="32"/>
      <c r="K137" s="49"/>
    </row>
    <row r="138" spans="1:23" ht="15" customHeight="1" x14ac:dyDescent="0.2">
      <c r="A138" s="79" t="s">
        <v>80</v>
      </c>
      <c r="B138" s="329" t="str">
        <f>LOOKUP(A138,'Auxiliar 1'!$T$7:$T$35,'Auxiliar 1'!$U$7:$U$35)</f>
        <v>% de Importancia</v>
      </c>
      <c r="C138" s="333">
        <v>0.01</v>
      </c>
      <c r="D138" s="333">
        <v>0.04</v>
      </c>
      <c r="E138" s="333">
        <f>VLOOKUP(A138,'Proceso I'!$A$6:$O$34,7,0)</f>
        <v>0.05</v>
      </c>
      <c r="F138" s="32"/>
      <c r="G138" s="32"/>
      <c r="H138" s="32"/>
      <c r="I138" s="32"/>
      <c r="J138" s="32"/>
      <c r="K138" s="71"/>
    </row>
    <row r="139" spans="1:23" ht="15" customHeight="1" x14ac:dyDescent="0.2">
      <c r="A139" s="79" t="s">
        <v>81</v>
      </c>
      <c r="B139" s="329" t="str">
        <f>LOOKUP(A139,'Auxiliar 1'!$T$7:$T$35,'Auxiliar 1'!$U$7:$U$35)</f>
        <v>Flat Parcial</v>
      </c>
      <c r="C139" s="27">
        <v>0.5</v>
      </c>
      <c r="D139" s="27">
        <v>0.5</v>
      </c>
      <c r="E139" s="27">
        <f>VLOOKUP(A139,'Proceso I'!$A$6:$O$34,7,0)</f>
        <v>1</v>
      </c>
      <c r="F139" s="32"/>
      <c r="G139" s="32"/>
      <c r="H139" s="32"/>
      <c r="I139" s="32"/>
      <c r="J139" s="32"/>
      <c r="K139" s="71"/>
    </row>
    <row r="140" spans="1:23" ht="15" customHeight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71"/>
    </row>
    <row r="141" spans="1:23" ht="15" customHeight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71"/>
    </row>
    <row r="142" spans="1:23" ht="15" customHeight="1" x14ac:dyDescent="0.2">
      <c r="A142" s="45"/>
      <c r="C142" s="310" t="s">
        <v>49</v>
      </c>
      <c r="D142" s="311"/>
      <c r="E142" s="32"/>
      <c r="F142" s="32"/>
      <c r="G142" s="32"/>
      <c r="H142" s="32"/>
      <c r="I142" s="32"/>
      <c r="J142" s="32"/>
      <c r="K142" s="71"/>
    </row>
    <row r="143" spans="1:23" ht="15" customHeight="1" x14ac:dyDescent="0.2">
      <c r="A143" s="45"/>
      <c r="C143" s="318" t="s">
        <v>9</v>
      </c>
      <c r="D143" s="318" t="s">
        <v>7</v>
      </c>
      <c r="E143" s="527" t="s">
        <v>96</v>
      </c>
      <c r="F143" s="32"/>
      <c r="G143" s="32"/>
      <c r="H143" s="32"/>
      <c r="I143" s="32"/>
      <c r="J143" s="32"/>
      <c r="K143" s="71"/>
    </row>
    <row r="144" spans="1:23" ht="25.5" x14ac:dyDescent="0.2">
      <c r="A144" s="509" t="s">
        <v>55</v>
      </c>
      <c r="B144" s="510"/>
      <c r="C144" s="336" t="str">
        <f>HLOOKUP(C143,'Centro de actividades'!$E$50:$AM$51,2,0)</f>
        <v>Realizar el pago de planilla</v>
      </c>
      <c r="D144" s="336" t="str">
        <f>HLOOKUP(D143,'Centro de actividades'!$E$50:$AM$51,2,0)</f>
        <v>Controlar asistencia de trabajadores</v>
      </c>
      <c r="E144" s="528"/>
      <c r="F144" s="32"/>
      <c r="G144" s="32"/>
      <c r="H144" s="32"/>
      <c r="I144" s="32"/>
      <c r="J144" s="32"/>
      <c r="K144" s="71"/>
    </row>
    <row r="145" spans="1:256" ht="15" customHeight="1" x14ac:dyDescent="0.2">
      <c r="A145" s="78" t="str">
        <f>LOOKUP(A133,'Auxiliar 1'!$T$7:$T$35,'Auxiliar 1'!$B$7:$B$35)</f>
        <v>EC01</v>
      </c>
      <c r="B145" s="6" t="str">
        <f>LOOKUP(A145,'Auxiliar 1'!$B$7:$B$35,'Auxiliar 1'!$C$7:$C$35)</f>
        <v>Sueldo de Groover (Sin considerar CA Corte)</v>
      </c>
      <c r="C145" s="330">
        <f>C133*$E145/$E133</f>
        <v>75</v>
      </c>
      <c r="D145" s="330">
        <f>D133*$E145/$E133</f>
        <v>675</v>
      </c>
      <c r="E145" s="332">
        <f>VLOOKUP(A145,'Proceso I'!$A$41:$O$69,7,0)</f>
        <v>750</v>
      </c>
      <c r="F145" s="32"/>
      <c r="G145" s="32"/>
      <c r="H145" s="32"/>
      <c r="I145" s="32"/>
      <c r="J145" s="32"/>
      <c r="K145" s="71"/>
    </row>
    <row r="146" spans="1:256" ht="15" customHeight="1" x14ac:dyDescent="0.2">
      <c r="A146" s="78" t="str">
        <f>LOOKUP(A134,'Auxiliar 1'!$T$7:$T$35,'Auxiliar 1'!$B$7:$B$35)</f>
        <v>EC06</v>
      </c>
      <c r="B146" s="6" t="str">
        <f>LOOKUP(A146,'Auxiliar 1'!$B$7:$B$35,'Auxiliar 1'!$C$7:$C$35)</f>
        <v>Depreciación Computadora</v>
      </c>
      <c r="C146" s="330">
        <f t="shared" ref="C146:D146" si="26">C134*$E146/$E134</f>
        <v>0</v>
      </c>
      <c r="D146" s="330">
        <f t="shared" si="26"/>
        <v>28.125</v>
      </c>
      <c r="E146" s="332">
        <f>VLOOKUP(A146,'Proceso I'!$A$41:$O$69,7,0)</f>
        <v>28.125</v>
      </c>
      <c r="F146" s="32"/>
      <c r="G146" s="32"/>
      <c r="H146" s="32"/>
      <c r="I146" s="32"/>
      <c r="J146" s="32"/>
      <c r="K146" s="71"/>
    </row>
    <row r="147" spans="1:256" ht="15" customHeight="1" x14ac:dyDescent="0.2">
      <c r="A147" s="78" t="str">
        <f>LOOKUP(A135,'Auxiliar 1'!$T$7:$T$35,'Auxiliar 1'!$B$7:$B$35)</f>
        <v>EC10</v>
      </c>
      <c r="B147" s="6" t="str">
        <f>LOOKUP(A147,'Auxiliar 1'!$B$7:$B$35,'Auxiliar 1'!$C$7:$C$35)</f>
        <v>Energía Eléctrica</v>
      </c>
      <c r="C147" s="330">
        <f t="shared" ref="C147:D147" si="27">C135*$E147/$E135</f>
        <v>4.3636363636363642</v>
      </c>
      <c r="D147" s="330">
        <f t="shared" si="27"/>
        <v>39.272727272727273</v>
      </c>
      <c r="E147" s="332">
        <f>VLOOKUP(A147,'Proceso I'!$A$41:$O$69,7,0)</f>
        <v>43.63636363636364</v>
      </c>
      <c r="F147" s="32"/>
      <c r="G147" s="32"/>
      <c r="H147" s="32"/>
      <c r="I147" s="32"/>
      <c r="J147" s="32"/>
      <c r="K147" s="71"/>
    </row>
    <row r="148" spans="1:256" ht="15" customHeight="1" x14ac:dyDescent="0.2">
      <c r="A148" s="78" t="str">
        <f>LOOKUP(A136,'Auxiliar 1'!$T$7:$T$35,'Auxiliar 1'!$B$7:$B$35)</f>
        <v>EC11</v>
      </c>
      <c r="B148" s="6" t="str">
        <f>LOOKUP(A148,'Auxiliar 1'!$B$7:$B$35,'Auxiliar 1'!$C$7:$C$35)</f>
        <v>Agua</v>
      </c>
      <c r="C148" s="330">
        <f t="shared" ref="C148:D148" si="28">C136*$E148/$E136</f>
        <v>16.071428571428569</v>
      </c>
      <c r="D148" s="330">
        <f t="shared" si="28"/>
        <v>16.071428571428569</v>
      </c>
      <c r="E148" s="332">
        <f>VLOOKUP(A148,'Proceso I'!$A$41:$O$69,7,0)</f>
        <v>32.142857142857139</v>
      </c>
      <c r="F148" s="32"/>
      <c r="G148" s="32"/>
      <c r="H148" s="32"/>
      <c r="I148" s="32"/>
      <c r="J148" s="32"/>
      <c r="K148" s="71"/>
    </row>
    <row r="149" spans="1:256" ht="15" customHeight="1" x14ac:dyDescent="0.2">
      <c r="A149" s="78" t="str">
        <f>LOOKUP(A137,'Auxiliar 1'!$T$7:$T$35,'Auxiliar 1'!$B$7:$B$35)</f>
        <v>EC13</v>
      </c>
      <c r="B149" s="6" t="str">
        <f>LOOKUP(A149,'Auxiliar 1'!$B$7:$B$35,'Auxiliar 1'!$C$7:$C$35)</f>
        <v xml:space="preserve">Servicio de internet </v>
      </c>
      <c r="C149" s="330">
        <f t="shared" ref="C149:D149" si="29">C137*$E149/$E137</f>
        <v>0</v>
      </c>
      <c r="D149" s="330">
        <f t="shared" si="29"/>
        <v>64.285714285714278</v>
      </c>
      <c r="E149" s="332">
        <f>VLOOKUP(A149,'Proceso I'!$A$41:$O$69,7,0)</f>
        <v>64.285714285714278</v>
      </c>
      <c r="F149" s="32"/>
      <c r="G149" s="32"/>
      <c r="H149" s="32"/>
      <c r="I149" s="32"/>
      <c r="J149" s="32"/>
      <c r="K149" s="71"/>
    </row>
    <row r="150" spans="1:256" ht="15" customHeight="1" x14ac:dyDescent="0.2">
      <c r="A150" s="78" t="str">
        <f>LOOKUP(A138,'Auxiliar 1'!$T$7:$T$35,'Auxiliar 1'!$B$7:$B$35)</f>
        <v>EC25</v>
      </c>
      <c r="B150" s="6" t="str">
        <f>LOOKUP(A150,'Auxiliar 1'!$B$7:$B$35,'Auxiliar 1'!$C$7:$C$35)</f>
        <v>Alquiler del Local</v>
      </c>
      <c r="C150" s="330">
        <f t="shared" ref="C150:D150" si="30">C138*$E150/$E138</f>
        <v>16.5</v>
      </c>
      <c r="D150" s="330">
        <f t="shared" si="30"/>
        <v>66</v>
      </c>
      <c r="E150" s="332">
        <f>VLOOKUP(A150,'Proceso I'!$A$41:$O$69,7,0)</f>
        <v>82.5</v>
      </c>
      <c r="F150" s="32"/>
      <c r="G150" s="32"/>
      <c r="H150" s="32"/>
      <c r="I150" s="32"/>
      <c r="J150" s="32"/>
      <c r="K150" s="71"/>
    </row>
    <row r="151" spans="1:256" ht="15" customHeight="1" x14ac:dyDescent="0.2">
      <c r="A151" s="78" t="str">
        <f>LOOKUP(A139,'Auxiliar 1'!$T$7:$T$35,'Auxiliar 1'!$B$7:$B$35)</f>
        <v>EC26</v>
      </c>
      <c r="B151" s="6" t="str">
        <f>LOOKUP(A151,'Auxiliar 1'!$B$7:$B$35,'Auxiliar 1'!$C$7:$C$35)</f>
        <v>Útiles de escritorio</v>
      </c>
      <c r="C151" s="330">
        <f t="shared" ref="C151:D151" si="31">C139*$E151/$E139</f>
        <v>2.1428571428571428</v>
      </c>
      <c r="D151" s="330">
        <f t="shared" si="31"/>
        <v>2.1428571428571428</v>
      </c>
      <c r="E151" s="332">
        <f>VLOOKUP(A151,'Proceso I'!$A$41:$O$69,7,0)</f>
        <v>4.2857142857142856</v>
      </c>
      <c r="F151" s="32"/>
      <c r="G151" s="32"/>
      <c r="H151" s="32"/>
      <c r="I151" s="32"/>
      <c r="J151" s="32"/>
      <c r="K151" s="71"/>
    </row>
    <row r="152" spans="1:256" ht="15" customHeight="1" x14ac:dyDescent="0.2">
      <c r="A152" s="32"/>
      <c r="B152" s="375" t="s">
        <v>536</v>
      </c>
      <c r="C152" s="374">
        <f>SUM(C145:C151)</f>
        <v>114.07792207792207</v>
      </c>
      <c r="D152" s="374">
        <f t="shared" ref="D152:E152" si="32">SUM(D145:D151)</f>
        <v>890.89772727272725</v>
      </c>
      <c r="E152" s="374">
        <f t="shared" si="32"/>
        <v>1004.9756493506494</v>
      </c>
      <c r="F152" s="32"/>
      <c r="G152" s="32"/>
      <c r="H152" s="32"/>
      <c r="I152" s="32"/>
      <c r="J152" s="32"/>
      <c r="K152" s="71"/>
    </row>
    <row r="153" spans="1:256" ht="15" customHeight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71"/>
    </row>
    <row r="154" spans="1:256" ht="15" customHeight="1" x14ac:dyDescent="0.2">
      <c r="A154" s="32" t="s">
        <v>176</v>
      </c>
      <c r="B154" s="32" t="s">
        <v>526</v>
      </c>
      <c r="C154" s="32"/>
      <c r="D154" s="32"/>
      <c r="E154" s="32"/>
      <c r="F154" s="32"/>
      <c r="G154" s="32"/>
      <c r="H154" s="32"/>
      <c r="I154" s="32"/>
      <c r="J154" s="32"/>
      <c r="K154" s="71"/>
    </row>
    <row r="155" spans="1:256" ht="15" customHeight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71"/>
    </row>
    <row r="156" spans="1:256" ht="15" customHeight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</row>
    <row r="157" spans="1:256" ht="15" customHeight="1" x14ac:dyDescent="0.2">
      <c r="A157" s="45"/>
      <c r="C157" s="324" t="s">
        <v>176</v>
      </c>
      <c r="D157" s="325"/>
      <c r="E157" s="326"/>
      <c r="F157" s="32"/>
      <c r="G157" s="32"/>
      <c r="H157" s="32"/>
      <c r="I157" s="32"/>
      <c r="J157" s="32"/>
    </row>
    <row r="158" spans="1:256" ht="15" customHeight="1" x14ac:dyDescent="0.2">
      <c r="C158" s="318" t="s">
        <v>8</v>
      </c>
      <c r="D158" s="318" t="s">
        <v>166</v>
      </c>
      <c r="E158" s="318" t="s">
        <v>186</v>
      </c>
      <c r="F158" s="527" t="s">
        <v>96</v>
      </c>
      <c r="G158" s="32"/>
      <c r="H158" s="32"/>
      <c r="I158" s="32"/>
      <c r="J158" s="32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</row>
    <row r="159" spans="1:256" ht="25.5" x14ac:dyDescent="0.2">
      <c r="A159" s="509" t="s">
        <v>34</v>
      </c>
      <c r="B159" s="510"/>
      <c r="C159" s="336" t="str">
        <f>HLOOKUP(C158,'Centro de actividades'!$E$50:$AM$51,2,0)</f>
        <v>Realizar estados financieros</v>
      </c>
      <c r="D159" s="336" t="str">
        <f>HLOOKUP(D158,'Centro de actividades'!$E$50:$AM$51,2,0)</f>
        <v>Realizar los pagos a los proveedores</v>
      </c>
      <c r="E159" s="336" t="str">
        <f>HLOOKUP(E158,'Centro de actividades'!$E$50:$AM$51,2,0)</f>
        <v>Realizar el costeo</v>
      </c>
      <c r="F159" s="528"/>
      <c r="G159" s="32"/>
      <c r="H159" s="32"/>
      <c r="I159" s="32"/>
      <c r="J159" s="32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</row>
    <row r="160" spans="1:256" ht="15" customHeight="1" x14ac:dyDescent="0.2">
      <c r="A160" s="79" t="s">
        <v>63</v>
      </c>
      <c r="B160" s="329" t="str">
        <f>LOOKUP(A160,'Auxiliar 1'!$T$7:$T$35,'Auxiliar 1'!$U$7:$U$35)</f>
        <v>Horas diarias dedicadas por Groover a cada C.A.</v>
      </c>
      <c r="C160" s="27">
        <v>0.1</v>
      </c>
      <c r="D160" s="27">
        <v>0.3</v>
      </c>
      <c r="E160" s="27">
        <v>0.6</v>
      </c>
      <c r="F160" s="27">
        <f>VLOOKUP(A160,'Proceso I'!$A$6:$O$34,8,0)</f>
        <v>1</v>
      </c>
      <c r="G160" s="32"/>
      <c r="H160" s="32"/>
      <c r="I160" s="32"/>
      <c r="J160" s="32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</row>
    <row r="161" spans="1:256" s="32" customFormat="1" ht="15" customHeight="1" x14ac:dyDescent="0.2">
      <c r="A161" s="79" t="s">
        <v>68</v>
      </c>
      <c r="B161" s="329" t="str">
        <f>LOOKUP(A161,'Auxiliar 1'!$T$7:$T$35,'Auxiliar 1'!$U$7:$U$35)</f>
        <v>% de uso</v>
      </c>
      <c r="C161" s="333">
        <v>0.02</v>
      </c>
      <c r="D161" s="333"/>
      <c r="E161" s="333">
        <v>0.08</v>
      </c>
      <c r="F161" s="333">
        <f>VLOOKUP(A161,'Proceso I'!$A$6:$O$34,8,0)</f>
        <v>0.1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8"/>
      <c r="DN161" s="38"/>
      <c r="DO161" s="38"/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/>
      <c r="FD161" s="38"/>
      <c r="FE161" s="38"/>
      <c r="FF161" s="38"/>
      <c r="FG161" s="38"/>
      <c r="FH161" s="38"/>
      <c r="FI161" s="38"/>
      <c r="FJ161" s="38"/>
      <c r="FK161" s="38"/>
      <c r="FL161" s="38"/>
      <c r="FM161" s="38"/>
      <c r="FN161" s="38"/>
      <c r="FO161" s="38"/>
      <c r="FP161" s="38"/>
      <c r="FQ161" s="38"/>
      <c r="FR161" s="38"/>
      <c r="FS161" s="38"/>
      <c r="FT161" s="38"/>
      <c r="FU161" s="38"/>
      <c r="FV161" s="38"/>
      <c r="FW161" s="38"/>
      <c r="FX161" s="38"/>
      <c r="FY161" s="38"/>
      <c r="FZ161" s="38"/>
      <c r="GA161" s="38"/>
      <c r="GB161" s="38"/>
      <c r="GC161" s="38"/>
      <c r="GD161" s="38"/>
      <c r="GE161" s="38"/>
      <c r="GF161" s="38"/>
      <c r="GG161" s="38"/>
      <c r="GH161" s="38"/>
      <c r="GI161" s="38"/>
      <c r="GJ161" s="38"/>
      <c r="GK161" s="38"/>
      <c r="GL161" s="38"/>
      <c r="GM161" s="38"/>
      <c r="GN161" s="38"/>
      <c r="GO161" s="38"/>
      <c r="GP161" s="38"/>
      <c r="GQ161" s="38"/>
      <c r="GR161" s="38"/>
      <c r="GS161" s="38"/>
      <c r="GT161" s="38"/>
      <c r="GU161" s="38"/>
      <c r="GV161" s="38"/>
      <c r="GW161" s="38"/>
      <c r="GX161" s="38"/>
      <c r="GY161" s="38"/>
      <c r="GZ161" s="38"/>
      <c r="HA161" s="38"/>
      <c r="HB161" s="38"/>
      <c r="HC161" s="38"/>
      <c r="HD161" s="38"/>
      <c r="HE161" s="38"/>
      <c r="HF161" s="38"/>
      <c r="HG161" s="38"/>
      <c r="HH161" s="38"/>
      <c r="HI161" s="38"/>
      <c r="HJ161" s="38"/>
      <c r="HK161" s="38"/>
      <c r="HL161" s="38"/>
      <c r="HM161" s="38"/>
      <c r="HN161" s="38"/>
      <c r="HO161" s="38"/>
      <c r="HP161" s="38"/>
      <c r="HQ161" s="38"/>
      <c r="HR161" s="38"/>
      <c r="HS161" s="38"/>
      <c r="HT161" s="38"/>
      <c r="HU161" s="38"/>
      <c r="HV161" s="38"/>
      <c r="HW161" s="38"/>
      <c r="HX161" s="38"/>
      <c r="HY161" s="38"/>
      <c r="HZ161" s="38"/>
      <c r="IA161" s="38"/>
      <c r="IB161" s="38"/>
      <c r="IC161" s="38"/>
      <c r="ID161" s="38"/>
      <c r="IE161" s="38"/>
      <c r="IF161" s="38"/>
      <c r="IG161" s="38"/>
      <c r="IH161" s="38"/>
      <c r="II161" s="38"/>
      <c r="IJ161" s="38"/>
      <c r="IK161" s="38"/>
      <c r="IL161" s="38"/>
      <c r="IM161" s="38"/>
      <c r="IN161" s="38"/>
      <c r="IO161" s="38"/>
      <c r="IP161" s="38"/>
      <c r="IQ161" s="38"/>
      <c r="IR161" s="38"/>
      <c r="IS161" s="38"/>
      <c r="IT161" s="38"/>
      <c r="IU161" s="38"/>
      <c r="IV161" s="38"/>
    </row>
    <row r="162" spans="1:256" s="46" customFormat="1" ht="15" customHeight="1" x14ac:dyDescent="0.2">
      <c r="A162" s="79" t="s">
        <v>57</v>
      </c>
      <c r="B162" s="329" t="str">
        <f>LOOKUP(A162,'Auxiliar 1'!$T$7:$T$35,'Auxiliar 1'!$U$7:$U$35)</f>
        <v>Proporción de Consumo de Kwh</v>
      </c>
      <c r="C162" s="27">
        <v>1</v>
      </c>
      <c r="D162" s="27">
        <v>3</v>
      </c>
      <c r="E162" s="27">
        <v>6</v>
      </c>
      <c r="F162" s="27">
        <f>VLOOKUP(A162,'Proceso I'!$A$6:$O$34,8,0)</f>
        <v>10</v>
      </c>
      <c r="G162" s="32"/>
      <c r="H162" s="32"/>
      <c r="I162" s="32"/>
      <c r="J162" s="32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  <c r="CO162" s="47"/>
      <c r="CP162" s="47"/>
      <c r="CQ162" s="47"/>
      <c r="CR162" s="47"/>
      <c r="CS162" s="47"/>
      <c r="CT162" s="47"/>
      <c r="CU162" s="47"/>
      <c r="CV162" s="47"/>
      <c r="CW162" s="47"/>
      <c r="CX162" s="47"/>
      <c r="CY162" s="47"/>
      <c r="CZ162" s="47"/>
      <c r="DA162" s="47"/>
      <c r="DB162" s="47"/>
      <c r="DC162" s="47"/>
      <c r="DD162" s="47"/>
      <c r="DE162" s="47"/>
      <c r="DF162" s="47"/>
      <c r="DG162" s="47"/>
      <c r="DH162" s="47"/>
      <c r="DI162" s="47"/>
      <c r="DJ162" s="47"/>
      <c r="DK162" s="47"/>
      <c r="DL162" s="47"/>
      <c r="DM162" s="47"/>
      <c r="DN162" s="47"/>
      <c r="DO162" s="47"/>
      <c r="DP162" s="47"/>
      <c r="DQ162" s="47"/>
      <c r="DR162" s="47"/>
      <c r="DS162" s="47"/>
      <c r="DT162" s="47"/>
      <c r="DU162" s="47"/>
      <c r="DV162" s="47"/>
      <c r="DW162" s="47"/>
      <c r="DX162" s="47"/>
      <c r="DY162" s="47"/>
      <c r="DZ162" s="47"/>
      <c r="EA162" s="47"/>
      <c r="EB162" s="47"/>
      <c r="EC162" s="47"/>
      <c r="ED162" s="47"/>
      <c r="EE162" s="47"/>
      <c r="EF162" s="47"/>
      <c r="EG162" s="47"/>
      <c r="EH162" s="47"/>
      <c r="EI162" s="47"/>
      <c r="EJ162" s="47"/>
      <c r="EK162" s="47"/>
      <c r="EL162" s="47"/>
      <c r="EM162" s="47"/>
      <c r="EN162" s="47"/>
      <c r="EO162" s="47"/>
      <c r="EP162" s="47"/>
      <c r="EQ162" s="47"/>
      <c r="ER162" s="47"/>
      <c r="ES162" s="47"/>
      <c r="ET162" s="47"/>
      <c r="EU162" s="47"/>
      <c r="EV162" s="47"/>
      <c r="EW162" s="47"/>
      <c r="EX162" s="47"/>
      <c r="EY162" s="47"/>
      <c r="EZ162" s="47"/>
      <c r="FA162" s="47"/>
      <c r="FB162" s="47"/>
      <c r="FC162" s="47"/>
      <c r="FD162" s="47"/>
      <c r="FE162" s="47"/>
      <c r="FF162" s="47"/>
      <c r="FG162" s="47"/>
      <c r="FH162" s="47"/>
      <c r="FI162" s="47"/>
      <c r="FJ162" s="47"/>
      <c r="FK162" s="47"/>
      <c r="FL162" s="47"/>
      <c r="FM162" s="47"/>
      <c r="FN162" s="47"/>
      <c r="FO162" s="47"/>
      <c r="FP162" s="47"/>
      <c r="FQ162" s="47"/>
      <c r="FR162" s="47"/>
      <c r="FS162" s="47"/>
      <c r="FT162" s="47"/>
      <c r="FU162" s="47"/>
      <c r="FV162" s="47"/>
      <c r="FW162" s="47"/>
      <c r="FX162" s="47"/>
      <c r="FY162" s="47"/>
      <c r="FZ162" s="47"/>
      <c r="GA162" s="47"/>
      <c r="GB162" s="47"/>
      <c r="GC162" s="47"/>
      <c r="GD162" s="47"/>
      <c r="GE162" s="47"/>
      <c r="GF162" s="47"/>
      <c r="GG162" s="47"/>
      <c r="GH162" s="47"/>
      <c r="GI162" s="47"/>
      <c r="GJ162" s="47"/>
      <c r="GK162" s="47"/>
      <c r="GL162" s="47"/>
      <c r="GM162" s="47"/>
      <c r="GN162" s="47"/>
      <c r="GO162" s="47"/>
      <c r="GP162" s="47"/>
      <c r="GQ162" s="47"/>
      <c r="GR162" s="47"/>
      <c r="GS162" s="47"/>
      <c r="GT162" s="47"/>
      <c r="GU162" s="47"/>
      <c r="GV162" s="47"/>
      <c r="GW162" s="47"/>
      <c r="GX162" s="47"/>
      <c r="GY162" s="47"/>
      <c r="GZ162" s="47"/>
      <c r="HA162" s="47"/>
      <c r="HB162" s="47"/>
      <c r="HC162" s="47"/>
      <c r="HD162" s="47"/>
      <c r="HE162" s="47"/>
      <c r="HF162" s="47"/>
      <c r="HG162" s="47"/>
      <c r="HH162" s="47"/>
      <c r="HI162" s="47"/>
      <c r="HJ162" s="47"/>
      <c r="HK162" s="47"/>
      <c r="HL162" s="47"/>
      <c r="HM162" s="47"/>
      <c r="HN162" s="47"/>
      <c r="HO162" s="47"/>
      <c r="HP162" s="47"/>
      <c r="HQ162" s="47"/>
      <c r="HR162" s="47"/>
      <c r="HS162" s="47"/>
      <c r="HT162" s="47"/>
      <c r="HU162" s="47"/>
      <c r="HV162" s="47"/>
      <c r="HW162" s="47"/>
      <c r="HX162" s="47"/>
      <c r="HY162" s="47"/>
      <c r="HZ162" s="47"/>
      <c r="IA162" s="47"/>
      <c r="IB162" s="47"/>
      <c r="IC162" s="47"/>
      <c r="ID162" s="47"/>
      <c r="IE162" s="47"/>
      <c r="IF162" s="47"/>
      <c r="IG162" s="47"/>
      <c r="IH162" s="47"/>
      <c r="II162" s="47"/>
      <c r="IJ162" s="47"/>
      <c r="IK162" s="47"/>
      <c r="IL162" s="47"/>
      <c r="IM162" s="47"/>
      <c r="IN162" s="47"/>
      <c r="IO162" s="47"/>
      <c r="IP162" s="47"/>
      <c r="IQ162" s="47"/>
      <c r="IR162" s="47"/>
      <c r="IS162" s="47"/>
      <c r="IT162" s="47"/>
      <c r="IU162" s="47"/>
      <c r="IV162" s="47"/>
    </row>
    <row r="163" spans="1:256" s="34" customFormat="1" ht="15" customHeight="1" x14ac:dyDescent="0.2">
      <c r="A163" s="79" t="s">
        <v>58</v>
      </c>
      <c r="B163" s="329" t="str">
        <f>LOOKUP(A163,'Auxiliar 1'!$T$7:$T$35,'Auxiliar 1'!$U$7:$U$35)</f>
        <v>N° de personas en el C.A.</v>
      </c>
      <c r="C163" s="331">
        <f>$F163/3</f>
        <v>0.33333333333333331</v>
      </c>
      <c r="D163" s="331">
        <f t="shared" ref="D163:E163" si="33">$F163/3</f>
        <v>0.33333333333333331</v>
      </c>
      <c r="E163" s="331">
        <f t="shared" si="33"/>
        <v>0.33333333333333331</v>
      </c>
      <c r="F163" s="27">
        <f>VLOOKUP(A163,'Proceso I'!$A$6:$O$34,8,0)</f>
        <v>1</v>
      </c>
      <c r="G163" s="32"/>
      <c r="H163" s="32"/>
      <c r="I163" s="32"/>
      <c r="J163" s="32"/>
      <c r="K163"/>
      <c r="L163"/>
      <c r="M163"/>
      <c r="N163"/>
      <c r="O163"/>
      <c r="P163"/>
      <c r="Q163"/>
      <c r="R163"/>
      <c r="S163"/>
      <c r="T163"/>
      <c r="U163"/>
      <c r="V163"/>
      <c r="W163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 s="40"/>
      <c r="DT163" s="40"/>
      <c r="DU163" s="40"/>
      <c r="DV163" s="40"/>
      <c r="DW163" s="40"/>
      <c r="DX163" s="40"/>
      <c r="DY163" s="40"/>
      <c r="DZ163" s="40"/>
      <c r="EA163" s="40"/>
      <c r="EB163" s="40"/>
      <c r="EC163" s="40"/>
      <c r="ED163" s="40"/>
      <c r="EE163" s="40"/>
      <c r="EF163" s="40"/>
      <c r="EG163" s="40"/>
      <c r="EH163" s="40"/>
      <c r="EI163" s="40"/>
      <c r="EJ163" s="40"/>
      <c r="EK163" s="40"/>
      <c r="EL163" s="40"/>
      <c r="EM163" s="40"/>
      <c r="EN163" s="40"/>
      <c r="EO163" s="40"/>
      <c r="EP163" s="40"/>
      <c r="EQ163" s="40"/>
      <c r="ER163" s="40"/>
      <c r="ES163" s="40"/>
      <c r="ET163" s="40"/>
      <c r="EU163" s="40"/>
      <c r="EV163" s="40"/>
      <c r="EW163" s="40"/>
      <c r="EX163" s="40"/>
      <c r="EY163" s="40"/>
      <c r="EZ163" s="40"/>
      <c r="FA163" s="40"/>
      <c r="FB163" s="40"/>
      <c r="FC163" s="40"/>
      <c r="FD163" s="40"/>
      <c r="FE163" s="40"/>
      <c r="FF163" s="40"/>
      <c r="FG163" s="40"/>
      <c r="FH163" s="40"/>
      <c r="FI163" s="40"/>
      <c r="FJ163" s="40"/>
      <c r="FK163" s="40"/>
      <c r="FL163" s="40"/>
      <c r="FM163" s="40"/>
      <c r="FN163" s="40"/>
      <c r="FO163" s="40"/>
      <c r="FP163" s="40"/>
      <c r="FQ163" s="40"/>
      <c r="FR163" s="40"/>
      <c r="FS163" s="40"/>
      <c r="FT163" s="40"/>
      <c r="FU163" s="40"/>
      <c r="FV163" s="40"/>
      <c r="FW163" s="40"/>
      <c r="FX163" s="40"/>
      <c r="FY163" s="40"/>
      <c r="FZ163" s="40"/>
      <c r="GA163" s="40"/>
      <c r="GB163" s="40"/>
      <c r="GC163" s="40"/>
      <c r="GD163" s="40"/>
      <c r="GE163" s="40"/>
      <c r="GF163" s="40"/>
      <c r="GG163" s="40"/>
      <c r="GH163" s="40"/>
      <c r="GI163" s="40"/>
      <c r="GJ163" s="40"/>
      <c r="GK163" s="40"/>
      <c r="GL163" s="40"/>
      <c r="GM163" s="40"/>
      <c r="GN163" s="40"/>
      <c r="GO163" s="40"/>
      <c r="GP163" s="40"/>
      <c r="GQ163" s="40"/>
      <c r="GR163" s="40"/>
      <c r="GS163" s="40"/>
      <c r="GT163" s="40"/>
      <c r="GU163" s="40"/>
      <c r="GV163" s="40"/>
      <c r="GW163" s="40"/>
      <c r="GX163" s="40"/>
      <c r="GY163" s="40"/>
      <c r="GZ163" s="40"/>
      <c r="HA163" s="40"/>
      <c r="HB163" s="40"/>
      <c r="HC163" s="40"/>
      <c r="HD163" s="40"/>
      <c r="HE163" s="40"/>
      <c r="HF163" s="40"/>
      <c r="HG163" s="40"/>
      <c r="HH163" s="40"/>
      <c r="HI163" s="40"/>
      <c r="HJ163" s="40"/>
      <c r="HK163" s="40"/>
      <c r="HL163" s="40"/>
      <c r="HM163" s="40"/>
      <c r="HN163" s="40"/>
      <c r="HO163" s="40"/>
      <c r="HP163" s="40"/>
      <c r="HQ163" s="40"/>
      <c r="HR163" s="40"/>
      <c r="HS163" s="40"/>
      <c r="HT163" s="40"/>
      <c r="HU163" s="40"/>
      <c r="HV163" s="40"/>
      <c r="HW163" s="40"/>
      <c r="HX163" s="40"/>
      <c r="HY163" s="40"/>
      <c r="HZ163" s="40"/>
      <c r="IA163" s="40"/>
      <c r="IB163" s="40"/>
      <c r="IC163" s="40"/>
      <c r="ID163" s="40"/>
      <c r="IE163" s="40"/>
      <c r="IF163" s="40"/>
      <c r="IG163" s="40"/>
      <c r="IH163" s="40"/>
      <c r="II163" s="40"/>
      <c r="IJ163" s="40"/>
      <c r="IK163" s="40"/>
      <c r="IL163" s="40"/>
      <c r="IM163" s="40"/>
      <c r="IN163" s="40"/>
      <c r="IO163" s="40"/>
      <c r="IP163" s="40"/>
      <c r="IQ163" s="40"/>
      <c r="IR163" s="40"/>
      <c r="IS163" s="40"/>
      <c r="IT163" s="40"/>
      <c r="IU163" s="40"/>
      <c r="IV163" s="40"/>
    </row>
    <row r="164" spans="1:256" ht="15" customHeight="1" x14ac:dyDescent="0.2">
      <c r="A164" s="79" t="s">
        <v>99</v>
      </c>
      <c r="B164" s="329" t="str">
        <f>LOOKUP(A164,'Auxiliar 1'!$T$7:$T$35,'Auxiliar 1'!$U$7:$U$35)</f>
        <v>Flat Parcial</v>
      </c>
      <c r="C164" s="27"/>
      <c r="D164" s="27">
        <v>1</v>
      </c>
      <c r="E164" s="27"/>
      <c r="F164" s="27">
        <f>VLOOKUP(A164,'Proceso I'!$A$6:$O$34,8,0)</f>
        <v>1</v>
      </c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</row>
    <row r="165" spans="1:256" ht="15" customHeight="1" x14ac:dyDescent="0.2">
      <c r="A165" s="79" t="s">
        <v>80</v>
      </c>
      <c r="B165" s="329" t="str">
        <f>LOOKUP(A165,'Auxiliar 1'!$T$7:$T$35,'Auxiliar 1'!$U$7:$U$35)</f>
        <v>% de Importancia</v>
      </c>
      <c r="C165" s="338">
        <v>5.0000000000000001E-3</v>
      </c>
      <c r="D165" s="338">
        <v>0.02</v>
      </c>
      <c r="E165" s="338">
        <v>2.5000000000000001E-2</v>
      </c>
      <c r="F165" s="333">
        <f>VLOOKUP(A165,'Proceso I'!$A$6:$O$34,8,0)</f>
        <v>0.05</v>
      </c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</row>
    <row r="166" spans="1:256" ht="15" customHeight="1" x14ac:dyDescent="0.2">
      <c r="A166" s="79" t="s">
        <v>81</v>
      </c>
      <c r="B166" s="329" t="str">
        <f>LOOKUP(A166,'Auxiliar 1'!$T$7:$T$35,'Auxiliar 1'!$U$7:$U$35)</f>
        <v>Flat Parcial</v>
      </c>
      <c r="C166" s="27">
        <v>0.5</v>
      </c>
      <c r="D166" s="27"/>
      <c r="E166" s="27">
        <v>0.5</v>
      </c>
      <c r="F166" s="27">
        <f>VLOOKUP(A166,'Proceso I'!$A$6:$O$34,8,0)</f>
        <v>1</v>
      </c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</row>
    <row r="167" spans="1:256" ht="54" customHeight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</row>
    <row r="168" spans="1:256" s="18" customFormat="1" ht="15" customHeight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</row>
    <row r="169" spans="1:256" s="18" customFormat="1" ht="15" customHeight="1" x14ac:dyDescent="0.2">
      <c r="A169" s="45"/>
      <c r="B169"/>
      <c r="C169" s="324" t="s">
        <v>176</v>
      </c>
      <c r="D169" s="325"/>
      <c r="E169" s="326"/>
      <c r="F169" s="32"/>
      <c r="G169" s="32"/>
      <c r="H169" s="32"/>
      <c r="I169" s="32"/>
      <c r="J169" s="32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</row>
    <row r="170" spans="1:256" ht="15" customHeight="1" x14ac:dyDescent="0.2">
      <c r="C170" s="318" t="s">
        <v>8</v>
      </c>
      <c r="D170" s="318" t="s">
        <v>166</v>
      </c>
      <c r="E170" s="318" t="s">
        <v>186</v>
      </c>
      <c r="F170" s="527" t="s">
        <v>96</v>
      </c>
      <c r="G170" s="32"/>
      <c r="H170" s="32"/>
      <c r="I170" s="32"/>
      <c r="J170" s="32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</row>
    <row r="171" spans="1:256" ht="25.5" x14ac:dyDescent="0.2">
      <c r="A171" s="509" t="s">
        <v>55</v>
      </c>
      <c r="B171" s="510"/>
      <c r="C171" s="336" t="str">
        <f>HLOOKUP(C170,'Centro de actividades'!$E$50:$AM$51,2,0)</f>
        <v>Realizar estados financieros</v>
      </c>
      <c r="D171" s="336" t="str">
        <f>HLOOKUP(D170,'Centro de actividades'!$E$50:$AM$51,2,0)</f>
        <v>Realizar los pagos a los proveedores</v>
      </c>
      <c r="E171" s="336" t="str">
        <f>HLOOKUP(E170,'Centro de actividades'!$E$50:$AM$51,2,0)</f>
        <v>Realizar el costeo</v>
      </c>
      <c r="F171" s="528"/>
      <c r="G171" s="32"/>
      <c r="H171" s="32"/>
      <c r="I171" s="32"/>
      <c r="J171" s="32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</row>
    <row r="172" spans="1:256" ht="15" customHeight="1" x14ac:dyDescent="0.2">
      <c r="A172" s="78" t="str">
        <f>LOOKUP(A160,'Auxiliar 1'!$T$7:$T$35,'Auxiliar 1'!$B$7:$B$35)</f>
        <v>EC01</v>
      </c>
      <c r="B172" s="6" t="str">
        <f>LOOKUP(A172,'Auxiliar 1'!$B$7:$B$35,'Auxiliar 1'!$C$7:$C$35)</f>
        <v>Sueldo de Groover (Sin considerar CA Corte)</v>
      </c>
      <c r="C172" s="330">
        <f>C160*$F172/$F160</f>
        <v>75</v>
      </c>
      <c r="D172" s="330">
        <f t="shared" ref="D172:E172" si="34">D160*$F172/$F160</f>
        <v>225</v>
      </c>
      <c r="E172" s="330">
        <f t="shared" si="34"/>
        <v>450</v>
      </c>
      <c r="F172" s="332">
        <f>VLOOKUP(A172,'Proceso I'!$A$41:$O$69,8,0)</f>
        <v>750</v>
      </c>
      <c r="G172" s="32"/>
      <c r="H172" s="32"/>
      <c r="I172" s="32"/>
      <c r="J172" s="32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</row>
    <row r="173" spans="1:256" ht="15" customHeight="1" x14ac:dyDescent="0.2">
      <c r="A173" s="78" t="str">
        <f>LOOKUP(A161,'Auxiliar 1'!$T$7:$T$35,'Auxiliar 1'!$B$7:$B$35)</f>
        <v>EC06</v>
      </c>
      <c r="B173" s="6" t="str">
        <f>LOOKUP(A173,'Auxiliar 1'!$B$7:$B$35,'Auxiliar 1'!$C$7:$C$35)</f>
        <v>Depreciación Computadora</v>
      </c>
      <c r="C173" s="330">
        <f t="shared" ref="C173:E173" si="35">C161*$F173/$F161</f>
        <v>5.625</v>
      </c>
      <c r="D173" s="330">
        <f t="shared" si="35"/>
        <v>0</v>
      </c>
      <c r="E173" s="330">
        <f t="shared" si="35"/>
        <v>22.5</v>
      </c>
      <c r="F173" s="332">
        <f>VLOOKUP(A173,'Proceso I'!$A$41:$O$69,8,0)</f>
        <v>28.125</v>
      </c>
      <c r="G173" s="32"/>
      <c r="H173" s="32"/>
      <c r="I173" s="32"/>
      <c r="J173" s="32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</row>
    <row r="174" spans="1:256" ht="15" customHeight="1" x14ac:dyDescent="0.2">
      <c r="A174" s="78" t="str">
        <f>LOOKUP(A162,'Auxiliar 1'!$T$7:$T$35,'Auxiliar 1'!$B$7:$B$35)</f>
        <v>EC10</v>
      </c>
      <c r="B174" s="6" t="str">
        <f>LOOKUP(A174,'Auxiliar 1'!$B$7:$B$35,'Auxiliar 1'!$C$7:$C$35)</f>
        <v>Energía Eléctrica</v>
      </c>
      <c r="C174" s="330">
        <f t="shared" ref="C174:E174" si="36">C162*$F174/$F162</f>
        <v>4.3636363636363642</v>
      </c>
      <c r="D174" s="330">
        <f t="shared" si="36"/>
        <v>13.090909090909093</v>
      </c>
      <c r="E174" s="330">
        <f t="shared" si="36"/>
        <v>26.181818181818187</v>
      </c>
      <c r="F174" s="332">
        <f>VLOOKUP(A174,'Proceso I'!$A$41:$O$69,8,0)</f>
        <v>43.63636363636364</v>
      </c>
      <c r="G174" s="32"/>
      <c r="H174" s="32"/>
      <c r="I174" s="32"/>
      <c r="J174" s="32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</row>
    <row r="175" spans="1:256" ht="15" customHeight="1" x14ac:dyDescent="0.2">
      <c r="A175" s="78" t="str">
        <f>LOOKUP(A163,'Auxiliar 1'!$T$7:$T$35,'Auxiliar 1'!$B$7:$B$35)</f>
        <v>EC11</v>
      </c>
      <c r="B175" s="6" t="str">
        <f>LOOKUP(A175,'Auxiliar 1'!$B$7:$B$35,'Auxiliar 1'!$C$7:$C$35)</f>
        <v>Agua</v>
      </c>
      <c r="C175" s="330">
        <f t="shared" ref="C175:E175" si="37">C163*$F175/$F163</f>
        <v>10.714285714285712</v>
      </c>
      <c r="D175" s="330">
        <f t="shared" si="37"/>
        <v>10.714285714285712</v>
      </c>
      <c r="E175" s="330">
        <f t="shared" si="37"/>
        <v>10.714285714285712</v>
      </c>
      <c r="F175" s="332">
        <f>VLOOKUP(A175,'Proceso I'!$A$41:$O$69,8,0)</f>
        <v>32.142857142857139</v>
      </c>
      <c r="G175" s="32"/>
      <c r="H175" s="32"/>
      <c r="I175" s="32"/>
      <c r="J175" s="32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</row>
    <row r="176" spans="1:256" ht="15" customHeight="1" x14ac:dyDescent="0.2">
      <c r="A176" s="78" t="str">
        <f>LOOKUP(A164,'Auxiliar 1'!$T$7:$T$35,'Auxiliar 1'!$B$7:$B$35)</f>
        <v>EC13</v>
      </c>
      <c r="B176" s="6" t="str">
        <f>LOOKUP(A176,'Auxiliar 1'!$B$7:$B$35,'Auxiliar 1'!$C$7:$C$35)</f>
        <v xml:space="preserve">Servicio de internet </v>
      </c>
      <c r="C176" s="330">
        <f t="shared" ref="C176:E176" si="38">C164*$F176/$F164</f>
        <v>0</v>
      </c>
      <c r="D176" s="330">
        <f t="shared" si="38"/>
        <v>64.285714285714278</v>
      </c>
      <c r="E176" s="330">
        <f t="shared" si="38"/>
        <v>0</v>
      </c>
      <c r="F176" s="332">
        <f>VLOOKUP(A176,'Proceso I'!$A$41:$O$69,8,0)</f>
        <v>64.285714285714278</v>
      </c>
      <c r="G176" s="32"/>
      <c r="H176" s="32"/>
      <c r="I176" s="32"/>
      <c r="J176" s="32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</row>
    <row r="177" spans="1:256" ht="15" customHeight="1" x14ac:dyDescent="0.2">
      <c r="A177" s="78" t="str">
        <f>LOOKUP(A165,'Auxiliar 1'!$T$7:$T$35,'Auxiliar 1'!$B$7:$B$35)</f>
        <v>EC25</v>
      </c>
      <c r="B177" s="6" t="str">
        <f>LOOKUP(A177,'Auxiliar 1'!$B$7:$B$35,'Auxiliar 1'!$C$7:$C$35)</f>
        <v>Alquiler del Local</v>
      </c>
      <c r="C177" s="330">
        <f t="shared" ref="C177:E177" si="39">C165*$F177/$F165</f>
        <v>8.25</v>
      </c>
      <c r="D177" s="330">
        <f t="shared" si="39"/>
        <v>33</v>
      </c>
      <c r="E177" s="330">
        <f t="shared" si="39"/>
        <v>41.25</v>
      </c>
      <c r="F177" s="332">
        <f>VLOOKUP(A177,'Proceso I'!$A$41:$O$69,8,0)</f>
        <v>82.5</v>
      </c>
      <c r="G177" s="32"/>
      <c r="H177" s="32"/>
      <c r="I177" s="32"/>
      <c r="J177" s="32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</row>
    <row r="178" spans="1:256" ht="15" customHeight="1" x14ac:dyDescent="0.2">
      <c r="A178" s="78" t="str">
        <f>LOOKUP(A166,'Auxiliar 1'!$T$7:$T$35,'Auxiliar 1'!$B$7:$B$35)</f>
        <v>EC26</v>
      </c>
      <c r="B178" s="6" t="str">
        <f>LOOKUP(A178,'Auxiliar 1'!$B$7:$B$35,'Auxiliar 1'!$C$7:$C$35)</f>
        <v>Útiles de escritorio</v>
      </c>
      <c r="C178" s="330">
        <f t="shared" ref="C178:E178" si="40">C166*$F178/$F166</f>
        <v>2.1428571428571428</v>
      </c>
      <c r="D178" s="330">
        <f t="shared" si="40"/>
        <v>0</v>
      </c>
      <c r="E178" s="330">
        <f t="shared" si="40"/>
        <v>2.1428571428571428</v>
      </c>
      <c r="F178" s="332">
        <f>VLOOKUP(A178,'Proceso I'!$A$41:$O$69,8,0)</f>
        <v>4.2857142857142856</v>
      </c>
      <c r="G178" s="32"/>
      <c r="H178" s="32"/>
      <c r="I178" s="32"/>
      <c r="J178" s="32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</row>
    <row r="179" spans="1:256" ht="15" customHeight="1" x14ac:dyDescent="0.2">
      <c r="A179" s="32"/>
      <c r="B179" s="375" t="s">
        <v>536</v>
      </c>
      <c r="C179" s="374">
        <f>SUM(C172:C178)</f>
        <v>106.09577922077921</v>
      </c>
      <c r="D179" s="374">
        <f t="shared" ref="D179" si="41">SUM(D172:D178)</f>
        <v>346.09090909090912</v>
      </c>
      <c r="E179" s="374">
        <f t="shared" ref="E179:F179" si="42">SUM(E172:E178)</f>
        <v>552.78896103896102</v>
      </c>
      <c r="F179" s="374">
        <f t="shared" si="42"/>
        <v>1004.9756493506494</v>
      </c>
      <c r="G179" s="32"/>
      <c r="H179" s="32"/>
      <c r="I179" s="32"/>
      <c r="J179" s="32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</row>
    <row r="180" spans="1:256" s="32" customFormat="1" ht="15" customHeight="1" x14ac:dyDescent="0.2">
      <c r="K180"/>
      <c r="L180"/>
      <c r="M180"/>
      <c r="N180"/>
      <c r="O180"/>
      <c r="P180"/>
      <c r="Q180"/>
      <c r="R180"/>
      <c r="S180"/>
      <c r="T180"/>
      <c r="U180"/>
      <c r="V180"/>
      <c r="W180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  <c r="HY180" s="38"/>
      <c r="HZ180" s="38"/>
      <c r="IA180" s="38"/>
      <c r="IB180" s="38"/>
      <c r="IC180" s="38"/>
      <c r="ID180" s="38"/>
      <c r="IE180" s="38"/>
      <c r="IF180" s="38"/>
      <c r="IG180" s="38"/>
      <c r="IH180" s="38"/>
      <c r="II180" s="38"/>
      <c r="IJ180" s="38"/>
      <c r="IK180" s="38"/>
      <c r="IL180" s="38"/>
      <c r="IM180" s="38"/>
      <c r="IN180" s="38"/>
      <c r="IO180" s="38"/>
      <c r="IP180" s="38"/>
      <c r="IQ180" s="38"/>
      <c r="IR180" s="38"/>
      <c r="IS180" s="38"/>
      <c r="IT180" s="38"/>
      <c r="IU180" s="38"/>
      <c r="IV180" s="38"/>
    </row>
    <row r="181" spans="1:256" s="32" customFormat="1" ht="15" customHeight="1" x14ac:dyDescent="0.2">
      <c r="A181" s="32" t="s">
        <v>177</v>
      </c>
      <c r="B181" s="32" t="s">
        <v>527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  <c r="EI181" s="38"/>
      <c r="EJ181" s="38"/>
      <c r="EK181" s="38"/>
      <c r="EL181" s="38"/>
      <c r="EM181" s="38"/>
      <c r="EN181" s="38"/>
      <c r="EO181" s="38"/>
      <c r="EP181" s="38"/>
      <c r="EQ181" s="38"/>
      <c r="ER181" s="38"/>
      <c r="ES181" s="38"/>
      <c r="ET181" s="38"/>
      <c r="EU181" s="38"/>
      <c r="EV181" s="38"/>
      <c r="EW181" s="38"/>
      <c r="EX181" s="38"/>
      <c r="EY181" s="38"/>
      <c r="EZ181" s="38"/>
      <c r="FA181" s="38"/>
      <c r="FB181" s="38"/>
      <c r="FC181" s="38"/>
      <c r="FD181" s="38"/>
      <c r="FE181" s="38"/>
      <c r="FF181" s="38"/>
      <c r="FG181" s="38"/>
      <c r="FH181" s="38"/>
      <c r="FI181" s="38"/>
      <c r="FJ181" s="38"/>
      <c r="FK181" s="38"/>
      <c r="FL181" s="38"/>
      <c r="FM181" s="38"/>
      <c r="FN181" s="38"/>
      <c r="FO181" s="38"/>
      <c r="FP181" s="38"/>
      <c r="FQ181" s="38"/>
      <c r="FR181" s="38"/>
      <c r="FS181" s="38"/>
      <c r="FT181" s="38"/>
      <c r="FU181" s="38"/>
      <c r="FV181" s="38"/>
      <c r="FW181" s="38"/>
      <c r="FX181" s="38"/>
      <c r="FY181" s="38"/>
      <c r="FZ181" s="38"/>
      <c r="GA181" s="38"/>
      <c r="GB181" s="38"/>
      <c r="GC181" s="38"/>
      <c r="GD181" s="38"/>
      <c r="GE181" s="38"/>
      <c r="GF181" s="38"/>
      <c r="GG181" s="38"/>
      <c r="GH181" s="38"/>
      <c r="GI181" s="38"/>
      <c r="GJ181" s="38"/>
      <c r="GK181" s="38"/>
      <c r="GL181" s="38"/>
      <c r="GM181" s="38"/>
      <c r="GN181" s="38"/>
      <c r="GO181" s="38"/>
      <c r="GP181" s="38"/>
      <c r="GQ181" s="38"/>
      <c r="GR181" s="38"/>
      <c r="GS181" s="38"/>
      <c r="GT181" s="38"/>
      <c r="GU181" s="38"/>
      <c r="GV181" s="38"/>
      <c r="GW181" s="38"/>
      <c r="GX181" s="38"/>
      <c r="GY181" s="38"/>
      <c r="GZ181" s="38"/>
      <c r="HA181" s="38"/>
      <c r="HB181" s="38"/>
      <c r="HC181" s="38"/>
      <c r="HD181" s="38"/>
      <c r="HE181" s="38"/>
      <c r="HF181" s="38"/>
      <c r="HG181" s="38"/>
      <c r="HH181" s="38"/>
      <c r="HI181" s="38"/>
      <c r="HJ181" s="38"/>
      <c r="HK181" s="38"/>
      <c r="HL181" s="38"/>
      <c r="HM181" s="38"/>
      <c r="HN181" s="38"/>
      <c r="HO181" s="38"/>
      <c r="HP181" s="38"/>
      <c r="HQ181" s="38"/>
      <c r="HR181" s="38"/>
      <c r="HS181" s="38"/>
      <c r="HT181" s="38"/>
      <c r="HU181" s="38"/>
      <c r="HV181" s="38"/>
      <c r="HW181" s="38"/>
      <c r="HX181" s="38"/>
      <c r="HY181" s="38"/>
      <c r="HZ181" s="38"/>
      <c r="IA181" s="38"/>
      <c r="IB181" s="38"/>
      <c r="IC181" s="38"/>
      <c r="ID181" s="38"/>
      <c r="IE181" s="38"/>
      <c r="IF181" s="38"/>
      <c r="IG181" s="38"/>
      <c r="IH181" s="38"/>
      <c r="II181" s="38"/>
      <c r="IJ181" s="38"/>
      <c r="IK181" s="38"/>
      <c r="IL181" s="38"/>
      <c r="IM181" s="38"/>
      <c r="IN181" s="38"/>
      <c r="IO181" s="38"/>
      <c r="IP181" s="38"/>
      <c r="IQ181" s="38"/>
      <c r="IR181" s="38"/>
      <c r="IS181" s="38"/>
      <c r="IT181" s="38"/>
      <c r="IU181" s="38"/>
      <c r="IV181" s="38"/>
    </row>
    <row r="182" spans="1:256" s="37" customFormat="1" ht="15" customHeight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/>
      <c r="L182"/>
      <c r="M182"/>
      <c r="N182"/>
      <c r="O182"/>
      <c r="P182"/>
      <c r="Q182"/>
      <c r="R182"/>
      <c r="S182"/>
      <c r="T182"/>
      <c r="U182"/>
      <c r="V182"/>
      <c r="W182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</row>
    <row r="183" spans="1:256" s="37" customFormat="1" ht="15" customHeight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/>
      <c r="L183"/>
      <c r="M183"/>
      <c r="N183"/>
      <c r="O183"/>
      <c r="P183"/>
      <c r="Q183"/>
      <c r="R183"/>
      <c r="S183"/>
      <c r="T183"/>
      <c r="U183"/>
      <c r="V183"/>
      <c r="W183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</row>
    <row r="184" spans="1:256" ht="15" customHeight="1" x14ac:dyDescent="0.2">
      <c r="A184" s="45"/>
      <c r="C184" s="324" t="s">
        <v>177</v>
      </c>
      <c r="D184" s="325"/>
      <c r="E184" s="325"/>
      <c r="F184" s="326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</row>
    <row r="185" spans="1:256" ht="15" customHeight="1" x14ac:dyDescent="0.2">
      <c r="A185" s="45"/>
      <c r="C185" s="318" t="s">
        <v>187</v>
      </c>
      <c r="D185" s="318" t="s">
        <v>200</v>
      </c>
      <c r="E185" s="318" t="s">
        <v>201</v>
      </c>
      <c r="F185" s="318" t="s">
        <v>202</v>
      </c>
      <c r="G185" s="527" t="s">
        <v>96</v>
      </c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</row>
    <row r="186" spans="1:256" ht="38.25" x14ac:dyDescent="0.2">
      <c r="A186" s="509" t="s">
        <v>34</v>
      </c>
      <c r="B186" s="510"/>
      <c r="C186" s="336" t="str">
        <f>HLOOKUP(C185,'Centro de actividades'!$E$50:$AM$51,2,0)</f>
        <v>Revisar medidas del molde</v>
      </c>
      <c r="D186" s="336" t="str">
        <f>HLOOKUP(D185,'Centro de actividades'!$E$50:$AM$51,2,0)</f>
        <v>Revisar los bordados de cada prenda (si es que lo lleva)</v>
      </c>
      <c r="E186" s="336" t="str">
        <f>HLOOKUP(E185,'Centro de actividades'!$E$50:$AM$51,2,0)</f>
        <v>Revisar los estampados de cada prenda (si es que lo lleva)</v>
      </c>
      <c r="F186" s="336" t="str">
        <f>HLOOKUP(F185,'Centro de actividades'!$E$50:$AM$51,2,0)</f>
        <v>Revisar confección y uniones</v>
      </c>
      <c r="G186" s="528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</row>
    <row r="187" spans="1:256" ht="54" customHeight="1" x14ac:dyDescent="0.2">
      <c r="A187" s="79" t="s">
        <v>65</v>
      </c>
      <c r="B187" s="329" t="str">
        <f>LOOKUP(A187,'Auxiliar 1'!$T$7:$T$35,'Auxiliar 1'!$U$7:$U$35)</f>
        <v>Horas diarias dedicadas por Yessica a cada C.A.</v>
      </c>
      <c r="C187" s="27">
        <v>2</v>
      </c>
      <c r="D187" s="27">
        <v>2</v>
      </c>
      <c r="E187" s="27">
        <v>2</v>
      </c>
      <c r="F187" s="27">
        <v>2</v>
      </c>
      <c r="G187" s="27">
        <f>VLOOKUP(A187,'Proceso I'!$A$6:$O$34,9,0)</f>
        <v>8</v>
      </c>
      <c r="H187" s="32"/>
      <c r="I187" s="32"/>
      <c r="J187" s="32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</row>
    <row r="188" spans="1:256" s="18" customFormat="1" ht="15" customHeight="1" x14ac:dyDescent="0.2">
      <c r="A188" s="79" t="s">
        <v>57</v>
      </c>
      <c r="B188" s="329" t="str">
        <f>LOOKUP(A188,'Auxiliar 1'!$T$7:$T$35,'Auxiliar 1'!$U$7:$U$35)</f>
        <v>Proporción de Consumo de Kwh</v>
      </c>
      <c r="C188" s="27">
        <v>1</v>
      </c>
      <c r="D188" s="27">
        <v>1</v>
      </c>
      <c r="E188" s="27">
        <v>1</v>
      </c>
      <c r="F188" s="27">
        <v>2</v>
      </c>
      <c r="G188" s="27">
        <f>VLOOKUP(A188,'Proceso I'!$A$6:$O$34,9,0)</f>
        <v>5</v>
      </c>
      <c r="H188" s="32"/>
      <c r="I188" s="32"/>
      <c r="J188" s="32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</row>
    <row r="189" spans="1:256" ht="15" customHeight="1" x14ac:dyDescent="0.2">
      <c r="A189" s="79" t="s">
        <v>58</v>
      </c>
      <c r="B189" s="329" t="str">
        <f>LOOKUP(A189,'Auxiliar 1'!$T$7:$T$35,'Auxiliar 1'!$U$7:$U$35)</f>
        <v>N° de personas en el C.A.</v>
      </c>
      <c r="C189" s="27">
        <v>0.25</v>
      </c>
      <c r="D189" s="27">
        <v>0.25</v>
      </c>
      <c r="E189" s="27">
        <v>0.25</v>
      </c>
      <c r="F189" s="27">
        <v>0.25</v>
      </c>
      <c r="G189" s="27">
        <f>VLOOKUP(A189,'Proceso I'!$A$6:$O$34,9,0)</f>
        <v>1</v>
      </c>
      <c r="H189" s="32"/>
      <c r="I189" s="32"/>
      <c r="J189" s="32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</row>
    <row r="190" spans="1:256" ht="15" customHeight="1" x14ac:dyDescent="0.2">
      <c r="A190" s="79" t="s">
        <v>80</v>
      </c>
      <c r="B190" s="329" t="str">
        <f>LOOKUP(A190,'Auxiliar 1'!$T$7:$T$35,'Auxiliar 1'!$U$7:$U$35)</f>
        <v>% de Importancia</v>
      </c>
      <c r="C190" s="333">
        <v>0.02</v>
      </c>
      <c r="D190" s="333">
        <v>0.03</v>
      </c>
      <c r="E190" s="333">
        <v>0.02</v>
      </c>
      <c r="F190" s="333">
        <v>0.03</v>
      </c>
      <c r="G190" s="333">
        <f>VLOOKUP(A190,'Proceso I'!$A$6:$O$34,9,0)</f>
        <v>0.1</v>
      </c>
      <c r="H190" s="32"/>
      <c r="I190" s="32"/>
      <c r="J190" s="32"/>
    </row>
    <row r="191" spans="1:256" ht="15" customHeight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</row>
    <row r="192" spans="1:256" ht="15" customHeight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</row>
    <row r="193" spans="1:10" ht="15" customHeight="1" x14ac:dyDescent="0.2">
      <c r="A193" s="45"/>
      <c r="C193" s="324" t="s">
        <v>177</v>
      </c>
      <c r="D193" s="325"/>
      <c r="E193" s="325"/>
      <c r="F193" s="326"/>
      <c r="G193" s="32"/>
      <c r="H193" s="32"/>
      <c r="I193" s="32"/>
      <c r="J193" s="32"/>
    </row>
    <row r="194" spans="1:10" ht="15" customHeight="1" x14ac:dyDescent="0.2">
      <c r="A194" s="45"/>
      <c r="C194" s="318" t="s">
        <v>187</v>
      </c>
      <c r="D194" s="318" t="s">
        <v>200</v>
      </c>
      <c r="E194" s="318" t="s">
        <v>201</v>
      </c>
      <c r="F194" s="318" t="s">
        <v>202</v>
      </c>
      <c r="G194" s="527" t="s">
        <v>96</v>
      </c>
      <c r="H194" s="32"/>
      <c r="I194" s="32"/>
      <c r="J194" s="32"/>
    </row>
    <row r="195" spans="1:10" ht="38.25" x14ac:dyDescent="0.2">
      <c r="A195" s="509" t="s">
        <v>55</v>
      </c>
      <c r="B195" s="510"/>
      <c r="C195" s="336" t="str">
        <f>HLOOKUP(C194,'Centro de actividades'!$E$50:$AM$51,2,0)</f>
        <v>Revisar medidas del molde</v>
      </c>
      <c r="D195" s="336" t="str">
        <f>HLOOKUP(D194,'Centro de actividades'!$E$50:$AM$51,2,0)</f>
        <v>Revisar los bordados de cada prenda (si es que lo lleva)</v>
      </c>
      <c r="E195" s="336" t="str">
        <f>HLOOKUP(E194,'Centro de actividades'!$E$50:$AM$51,2,0)</f>
        <v>Revisar los estampados de cada prenda (si es que lo lleva)</v>
      </c>
      <c r="F195" s="336" t="str">
        <f>HLOOKUP(F194,'Centro de actividades'!$E$50:$AM$51,2,0)</f>
        <v>Revisar confección y uniones</v>
      </c>
      <c r="G195" s="528"/>
      <c r="H195" s="32"/>
      <c r="I195" s="32"/>
      <c r="J195" s="32"/>
    </row>
    <row r="196" spans="1:10" ht="15" customHeight="1" x14ac:dyDescent="0.2">
      <c r="A196" s="78" t="str">
        <f>LOOKUP(A187,'Auxiliar 1'!$T$7:$T$35,'Auxiliar 1'!$B$7:$B$35)</f>
        <v>EC03</v>
      </c>
      <c r="B196" s="6" t="str">
        <f>LOOKUP(A196,'Auxiliar 1'!$B$7:$B$35,'Auxiliar 1'!$C$7:$C$35)</f>
        <v>Sueldo de Yessica</v>
      </c>
      <c r="C196" s="330">
        <f>C187*$G196/$G187</f>
        <v>825</v>
      </c>
      <c r="D196" s="330">
        <f t="shared" ref="D196:F196" si="43">D187*$G196/$G187</f>
        <v>825</v>
      </c>
      <c r="E196" s="330">
        <f t="shared" si="43"/>
        <v>825</v>
      </c>
      <c r="F196" s="330">
        <f t="shared" si="43"/>
        <v>825</v>
      </c>
      <c r="G196" s="332">
        <f>VLOOKUP(A196,'Proceso I'!$A$41:$O$69,9,0)</f>
        <v>3300</v>
      </c>
      <c r="H196" s="32"/>
      <c r="I196" s="32"/>
      <c r="J196" s="32"/>
    </row>
    <row r="197" spans="1:10" ht="15" customHeight="1" x14ac:dyDescent="0.2">
      <c r="A197" s="78" t="str">
        <f>LOOKUP(A188,'Auxiliar 1'!$T$7:$T$35,'Auxiliar 1'!$B$7:$B$35)</f>
        <v>EC10</v>
      </c>
      <c r="B197" s="6" t="str">
        <f>LOOKUP(A197,'Auxiliar 1'!$B$7:$B$35,'Auxiliar 1'!$C$7:$C$35)</f>
        <v>Energía Eléctrica</v>
      </c>
      <c r="C197" s="330">
        <f t="shared" ref="C197:F197" si="44">C188*$G197/$G188</f>
        <v>4.3636363636363642</v>
      </c>
      <c r="D197" s="330">
        <f t="shared" si="44"/>
        <v>4.3636363636363642</v>
      </c>
      <c r="E197" s="330">
        <f t="shared" si="44"/>
        <v>4.3636363636363642</v>
      </c>
      <c r="F197" s="330">
        <f t="shared" si="44"/>
        <v>8.7272727272727284</v>
      </c>
      <c r="G197" s="332">
        <f>VLOOKUP(A197,'Proceso I'!$A$41:$O$69,9,0)</f>
        <v>21.81818181818182</v>
      </c>
      <c r="H197" s="32"/>
      <c r="I197" s="32"/>
      <c r="J197" s="32"/>
    </row>
    <row r="198" spans="1:10" ht="15" customHeight="1" x14ac:dyDescent="0.2">
      <c r="A198" s="78" t="str">
        <f>LOOKUP(A189,'Auxiliar 1'!$T$7:$T$35,'Auxiliar 1'!$B$7:$B$35)</f>
        <v>EC11</v>
      </c>
      <c r="B198" s="6" t="str">
        <f>LOOKUP(A198,'Auxiliar 1'!$B$7:$B$35,'Auxiliar 1'!$C$7:$C$35)</f>
        <v>Agua</v>
      </c>
      <c r="C198" s="330">
        <f t="shared" ref="C198:F198" si="45">C189*$G198/$G189</f>
        <v>8.0357142857142847</v>
      </c>
      <c r="D198" s="330">
        <f t="shared" si="45"/>
        <v>8.0357142857142847</v>
      </c>
      <c r="E198" s="330">
        <f t="shared" si="45"/>
        <v>8.0357142857142847</v>
      </c>
      <c r="F198" s="330">
        <f t="shared" si="45"/>
        <v>8.0357142857142847</v>
      </c>
      <c r="G198" s="332">
        <f>VLOOKUP(A198,'Proceso I'!$A$41:$O$69,9,0)</f>
        <v>32.142857142857139</v>
      </c>
      <c r="H198" s="32"/>
      <c r="I198" s="32"/>
      <c r="J198" s="32"/>
    </row>
    <row r="199" spans="1:10" ht="15" customHeight="1" x14ac:dyDescent="0.2">
      <c r="A199" s="78" t="str">
        <f>LOOKUP(A190,'Auxiliar 1'!$T$7:$T$35,'Auxiliar 1'!$B$7:$B$35)</f>
        <v>EC25</v>
      </c>
      <c r="B199" s="6" t="str">
        <f>LOOKUP(A199,'Auxiliar 1'!$B$7:$B$35,'Auxiliar 1'!$C$7:$C$35)</f>
        <v>Alquiler del Local</v>
      </c>
      <c r="C199" s="330">
        <f t="shared" ref="C199:F199" si="46">C190*$G199/$G190</f>
        <v>33</v>
      </c>
      <c r="D199" s="330">
        <f t="shared" si="46"/>
        <v>49.5</v>
      </c>
      <c r="E199" s="330">
        <f t="shared" si="46"/>
        <v>33</v>
      </c>
      <c r="F199" s="330">
        <f t="shared" si="46"/>
        <v>49.5</v>
      </c>
      <c r="G199" s="332">
        <f>VLOOKUP(A199,'Proceso I'!$A$41:$O$69,9,0)</f>
        <v>165</v>
      </c>
      <c r="H199" s="32"/>
      <c r="I199" s="32"/>
      <c r="J199" s="32"/>
    </row>
    <row r="200" spans="1:10" ht="15" customHeight="1" x14ac:dyDescent="0.2">
      <c r="A200" s="32"/>
      <c r="B200" s="375" t="s">
        <v>536</v>
      </c>
      <c r="C200" s="374">
        <f>SUM(C196:C199)</f>
        <v>870.39935064935071</v>
      </c>
      <c r="D200" s="374">
        <f t="shared" ref="D200:G200" si="47">SUM(D196:D199)</f>
        <v>886.89935064935071</v>
      </c>
      <c r="E200" s="374">
        <f t="shared" si="47"/>
        <v>870.39935064935071</v>
      </c>
      <c r="F200" s="374">
        <f t="shared" si="47"/>
        <v>891.26298701298708</v>
      </c>
      <c r="G200" s="374">
        <f t="shared" si="47"/>
        <v>3518.9610389610393</v>
      </c>
      <c r="H200" s="32"/>
      <c r="I200" s="32"/>
      <c r="J200" s="32"/>
    </row>
    <row r="201" spans="1:10" ht="15" customHeight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</row>
    <row r="202" spans="1:10" ht="15" customHeight="1" x14ac:dyDescent="0.2">
      <c r="A202" s="32" t="s">
        <v>160</v>
      </c>
      <c r="B202" s="32" t="s">
        <v>528</v>
      </c>
      <c r="C202" s="32"/>
      <c r="D202" s="32"/>
      <c r="E202" s="32"/>
      <c r="F202" s="32"/>
      <c r="G202" s="32"/>
      <c r="H202" s="32"/>
      <c r="I202" s="32"/>
      <c r="J202" s="32"/>
    </row>
    <row r="203" spans="1:10" ht="15" customHeight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</row>
    <row r="204" spans="1:10" ht="15" customHeight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</row>
    <row r="205" spans="1:10" ht="15" customHeight="1" x14ac:dyDescent="0.2">
      <c r="A205" s="45"/>
      <c r="C205" s="310" t="s">
        <v>160</v>
      </c>
      <c r="D205" s="327"/>
      <c r="E205" s="311"/>
      <c r="F205" s="32"/>
      <c r="G205" s="32"/>
      <c r="H205" s="32"/>
      <c r="I205" s="32"/>
      <c r="J205" s="32"/>
    </row>
    <row r="206" spans="1:10" ht="15" customHeight="1" x14ac:dyDescent="0.2">
      <c r="A206" s="45"/>
      <c r="C206" s="318" t="s">
        <v>203</v>
      </c>
      <c r="D206" s="318" t="s">
        <v>204</v>
      </c>
      <c r="E206" s="318" t="s">
        <v>207</v>
      </c>
      <c r="F206" s="527" t="s">
        <v>96</v>
      </c>
      <c r="G206" s="32"/>
      <c r="H206" s="32"/>
      <c r="I206" s="32"/>
      <c r="J206" s="32"/>
    </row>
    <row r="207" spans="1:10" ht="38.25" x14ac:dyDescent="0.2">
      <c r="A207" s="509" t="s">
        <v>34</v>
      </c>
      <c r="B207" s="510"/>
      <c r="C207" s="336" t="str">
        <f>HLOOKUP(C206,'Centro de actividades'!$E$50:$AM$51,2,0)</f>
        <v>Realizar la compra de materiales</v>
      </c>
      <c r="D207" s="336" t="str">
        <f>HLOOKUP(D206,'Centro de actividades'!$E$50:$AM$51,2,0)</f>
        <v>Trasladar los materiales hacia la planta de producción</v>
      </c>
      <c r="E207" s="336" t="str">
        <f>HLOOKUP(E206,'Centro de actividades'!$E$50:$AM$51,2,0)</f>
        <v>Realizar el traslado del producto en proceso al servicio directo</v>
      </c>
      <c r="F207" s="528"/>
      <c r="G207" s="32"/>
      <c r="H207" s="32"/>
      <c r="I207" s="32"/>
      <c r="J207" s="32"/>
    </row>
    <row r="208" spans="1:10" ht="15" customHeight="1" x14ac:dyDescent="0.2">
      <c r="A208" s="79" t="s">
        <v>63</v>
      </c>
      <c r="B208" s="329" t="str">
        <f>LOOKUP(A208,'Auxiliar 1'!$T$7:$T$35,'Auxiliar 1'!$U$7:$U$35)</f>
        <v>Horas diarias dedicadas por Groover a cada C.A.</v>
      </c>
      <c r="C208" s="27">
        <v>0.25</v>
      </c>
      <c r="D208" s="27">
        <v>0.25</v>
      </c>
      <c r="E208" s="27">
        <v>0.5</v>
      </c>
      <c r="F208" s="27">
        <f>VLOOKUP(A208,'Proceso I'!$A$6:$O$34,10,0)</f>
        <v>1</v>
      </c>
      <c r="G208" s="32"/>
      <c r="H208" s="32"/>
      <c r="I208" s="32"/>
      <c r="J208" s="32"/>
    </row>
    <row r="209" spans="1:10" ht="15" customHeight="1" x14ac:dyDescent="0.2">
      <c r="A209" s="79" t="s">
        <v>64</v>
      </c>
      <c r="B209" s="329" t="str">
        <f>LOOKUP(A209,'Auxiliar 1'!$T$7:$T$35,'Auxiliar 1'!$U$7:$U$35)</f>
        <v>Horas diarias dedicadas por Pavel a cada C.A.</v>
      </c>
      <c r="C209" s="27">
        <v>0.5</v>
      </c>
      <c r="D209" s="27">
        <v>0.5</v>
      </c>
      <c r="E209" s="27">
        <v>1</v>
      </c>
      <c r="F209" s="27">
        <f>VLOOKUP(A209,'Proceso I'!$A$6:$O$34,10,0)</f>
        <v>2</v>
      </c>
      <c r="G209" s="32"/>
      <c r="H209" s="32"/>
      <c r="I209" s="32"/>
      <c r="J209" s="32"/>
    </row>
    <row r="210" spans="1:10" ht="15" customHeight="1" x14ac:dyDescent="0.2">
      <c r="A210" s="79" t="s">
        <v>57</v>
      </c>
      <c r="B210" s="329" t="str">
        <f>LOOKUP(A210,'Auxiliar 1'!$T$7:$T$35,'Auxiliar 1'!$U$7:$U$35)</f>
        <v>Proporción de Consumo de Kwh</v>
      </c>
      <c r="C210" s="27">
        <v>10</v>
      </c>
      <c r="D210" s="27"/>
      <c r="E210" s="27"/>
      <c r="F210" s="27">
        <f>VLOOKUP(A210,'Proceso I'!$A$6:$O$34,10,0)</f>
        <v>10</v>
      </c>
      <c r="G210" s="32"/>
      <c r="H210" s="32"/>
      <c r="I210" s="32"/>
      <c r="J210" s="32"/>
    </row>
    <row r="211" spans="1:10" ht="15" customHeight="1" x14ac:dyDescent="0.2">
      <c r="A211" s="79" t="s">
        <v>58</v>
      </c>
      <c r="B211" s="329" t="str">
        <f>LOOKUP(A211,'Auxiliar 1'!$T$7:$T$35,'Auxiliar 1'!$U$7:$U$35)</f>
        <v>N° de personas en el C.A.</v>
      </c>
      <c r="C211" s="27">
        <v>2</v>
      </c>
      <c r="D211" s="27"/>
      <c r="E211" s="27"/>
      <c r="F211" s="27">
        <f>VLOOKUP(A211,'Proceso I'!$A$6:$O$34,10,0)</f>
        <v>2</v>
      </c>
      <c r="G211" s="32"/>
      <c r="H211" s="32"/>
      <c r="I211" s="32"/>
      <c r="J211" s="32"/>
    </row>
    <row r="212" spans="1:10" ht="15" customHeight="1" x14ac:dyDescent="0.2">
      <c r="A212" s="79" t="s">
        <v>56</v>
      </c>
      <c r="B212" s="329" t="str">
        <f>LOOKUP(A212,'Auxiliar 1'!$T$7:$T$35,'Auxiliar 1'!$U$7:$U$35)</f>
        <v>N° de personas en el C.A.</v>
      </c>
      <c r="C212" s="27">
        <v>2</v>
      </c>
      <c r="D212" s="27"/>
      <c r="E212" s="27"/>
      <c r="F212" s="27">
        <f>VLOOKUP(A212,'Proceso I'!$A$6:$O$34,10,0)</f>
        <v>2</v>
      </c>
      <c r="G212" s="32"/>
      <c r="H212" s="32"/>
    </row>
    <row r="213" spans="1:10" ht="15" customHeight="1" x14ac:dyDescent="0.2">
      <c r="A213" s="79" t="s">
        <v>100</v>
      </c>
      <c r="B213" s="329" t="str">
        <f>LOOKUP(A213,'Auxiliar 1'!$T$7:$T$35,'Auxiliar 1'!$U$7:$U$35)</f>
        <v>% Asignación</v>
      </c>
      <c r="C213" s="333">
        <v>0.5</v>
      </c>
      <c r="D213" s="333">
        <v>0.5</v>
      </c>
      <c r="E213" s="333"/>
      <c r="F213" s="333">
        <f>VLOOKUP(A213,'Proceso I'!$A$6:$O$34,10,0)</f>
        <v>1</v>
      </c>
      <c r="G213" s="32"/>
      <c r="H213" s="32"/>
    </row>
    <row r="214" spans="1:10" ht="15" customHeight="1" x14ac:dyDescent="0.2">
      <c r="A214" s="79" t="s">
        <v>101</v>
      </c>
      <c r="B214" s="329" t="str">
        <f>LOOKUP(A214,'Auxiliar 1'!$T$7:$T$35,'Auxiliar 1'!$U$7:$U$35)</f>
        <v>% Asignación</v>
      </c>
      <c r="C214" s="333"/>
      <c r="D214" s="333"/>
      <c r="E214" s="333">
        <v>1</v>
      </c>
      <c r="F214" s="333">
        <f>VLOOKUP(A214,'Proceso I'!$A$6:$O$34,10,0)</f>
        <v>1</v>
      </c>
      <c r="G214" s="32"/>
      <c r="H214" s="32"/>
    </row>
    <row r="215" spans="1:10" ht="15" customHeight="1" x14ac:dyDescent="0.2">
      <c r="A215" s="79" t="s">
        <v>80</v>
      </c>
      <c r="B215" s="329" t="str">
        <f>LOOKUP(A215,'Auxiliar 1'!$T$7:$T$35,'Auxiliar 1'!$U$7:$U$35)</f>
        <v>% de Importancia</v>
      </c>
      <c r="C215" s="333">
        <v>0.05</v>
      </c>
      <c r="D215" s="333"/>
      <c r="E215" s="333"/>
      <c r="F215" s="333">
        <f>VLOOKUP(A215,'Proceso I'!$A$6:$O$34,10,0)</f>
        <v>0.05</v>
      </c>
      <c r="G215" s="32"/>
      <c r="H215" s="32"/>
    </row>
    <row r="216" spans="1:10" ht="15" customHeight="1" x14ac:dyDescent="0.2">
      <c r="A216" s="32"/>
      <c r="B216" s="32"/>
      <c r="C216" s="32"/>
      <c r="D216" s="32"/>
      <c r="E216" s="32"/>
      <c r="F216" s="32"/>
      <c r="G216" s="32"/>
      <c r="H216" s="32"/>
    </row>
    <row r="217" spans="1:10" ht="15" customHeight="1" x14ac:dyDescent="0.2">
      <c r="A217" s="32"/>
      <c r="B217" s="32"/>
      <c r="C217" s="32"/>
      <c r="D217" s="32"/>
      <c r="E217" s="32"/>
      <c r="F217" s="32"/>
      <c r="G217" s="32"/>
      <c r="H217" s="32"/>
    </row>
    <row r="218" spans="1:10" ht="15" customHeight="1" x14ac:dyDescent="0.2">
      <c r="A218" s="45"/>
      <c r="C218" s="310" t="s">
        <v>160</v>
      </c>
      <c r="D218" s="327"/>
      <c r="E218" s="311"/>
      <c r="F218" s="32"/>
      <c r="G218" s="32"/>
      <c r="H218" s="32"/>
    </row>
    <row r="219" spans="1:10" ht="15" customHeight="1" x14ac:dyDescent="0.2">
      <c r="A219" s="45"/>
      <c r="C219" s="318" t="s">
        <v>203</v>
      </c>
      <c r="D219" s="318" t="s">
        <v>204</v>
      </c>
      <c r="E219" s="318" t="s">
        <v>207</v>
      </c>
      <c r="F219" s="527" t="s">
        <v>96</v>
      </c>
      <c r="G219" s="32"/>
      <c r="H219" s="32"/>
    </row>
    <row r="220" spans="1:10" ht="38.25" x14ac:dyDescent="0.2">
      <c r="A220" s="509" t="s">
        <v>55</v>
      </c>
      <c r="B220" s="510"/>
      <c r="C220" s="336" t="str">
        <f>HLOOKUP(C219,'Centro de actividades'!$E$50:$AM$51,2,0)</f>
        <v>Realizar la compra de materiales</v>
      </c>
      <c r="D220" s="336" t="str">
        <f>HLOOKUP(D219,'Centro de actividades'!$E$50:$AM$51,2,0)</f>
        <v>Trasladar los materiales hacia la planta de producción</v>
      </c>
      <c r="E220" s="336" t="str">
        <f>HLOOKUP(E219,'Centro de actividades'!$E$50:$AM$51,2,0)</f>
        <v>Realizar el traslado del producto en proceso al servicio directo</v>
      </c>
      <c r="F220" s="528"/>
      <c r="G220" s="32"/>
      <c r="H220" s="32"/>
    </row>
    <row r="221" spans="1:10" ht="15" customHeight="1" x14ac:dyDescent="0.2">
      <c r="A221" s="78" t="str">
        <f>LOOKUP(A208,'Auxiliar 1'!$T$7:$T$35,'Auxiliar 1'!$B$7:$B$35)</f>
        <v>EC01</v>
      </c>
      <c r="B221" s="6" t="str">
        <f>LOOKUP(A221,'Auxiliar 1'!$B$7:$B$35,'Auxiliar 1'!$C$7:$C$35)</f>
        <v>Sueldo de Groover (Sin considerar CA Corte)</v>
      </c>
      <c r="C221" s="330">
        <f>C208*$F221/$F208</f>
        <v>187.5</v>
      </c>
      <c r="D221" s="330">
        <f t="shared" ref="D221:E222" si="48">D208*$F221/$F208</f>
        <v>187.5</v>
      </c>
      <c r="E221" s="330">
        <f t="shared" si="48"/>
        <v>375</v>
      </c>
      <c r="F221" s="332">
        <f>VLOOKUP(A221,'Proceso I'!$A$41:$O$69,10,0)</f>
        <v>750</v>
      </c>
      <c r="G221" s="32"/>
      <c r="H221" s="32"/>
    </row>
    <row r="222" spans="1:10" ht="15" customHeight="1" x14ac:dyDescent="0.2">
      <c r="A222" s="78" t="str">
        <f>LOOKUP(A209,'Auxiliar 1'!$T$7:$T$35,'Auxiliar 1'!$B$7:$B$35)</f>
        <v>EC02</v>
      </c>
      <c r="B222" s="6" t="str">
        <f>LOOKUP(A222,'Auxiliar 1'!$B$7:$B$35,'Auxiliar 1'!$C$7:$C$35)</f>
        <v>Sueldo de Pavel (Sin considerar CA Diseño)</v>
      </c>
      <c r="C222" s="330">
        <f>C209*$F222/$F209</f>
        <v>225</v>
      </c>
      <c r="D222" s="330">
        <f t="shared" si="48"/>
        <v>225</v>
      </c>
      <c r="E222" s="330">
        <f t="shared" si="48"/>
        <v>450</v>
      </c>
      <c r="F222" s="332">
        <f>VLOOKUP(A222,'Proceso I'!$A$41:$O$69,10,0)</f>
        <v>900</v>
      </c>
      <c r="G222" s="32"/>
      <c r="H222" s="32"/>
    </row>
    <row r="223" spans="1:10" ht="15" customHeight="1" x14ac:dyDescent="0.2">
      <c r="A223" s="78" t="str">
        <f>LOOKUP(A210,'Auxiliar 1'!$T$7:$T$35,'Auxiliar 1'!$B$7:$B$35)</f>
        <v>EC10</v>
      </c>
      <c r="B223" s="6" t="str">
        <f>LOOKUP(A223,'Auxiliar 1'!$B$7:$B$35,'Auxiliar 1'!$C$7:$C$35)</f>
        <v>Energía Eléctrica</v>
      </c>
      <c r="C223" s="330">
        <f t="shared" ref="C223:E223" si="49">C210*$F223/$F210</f>
        <v>43.63636363636364</v>
      </c>
      <c r="D223" s="330">
        <f t="shared" si="49"/>
        <v>0</v>
      </c>
      <c r="E223" s="330">
        <f t="shared" si="49"/>
        <v>0</v>
      </c>
      <c r="F223" s="332">
        <f>VLOOKUP(A223,'Proceso I'!$A$41:$O$69,10,0)</f>
        <v>43.63636363636364</v>
      </c>
      <c r="G223" s="32"/>
      <c r="H223" s="32"/>
    </row>
    <row r="224" spans="1:10" ht="15" customHeight="1" x14ac:dyDescent="0.2">
      <c r="A224" s="78" t="str">
        <f>LOOKUP(A211,'Auxiliar 1'!$T$7:$T$35,'Auxiliar 1'!$B$7:$B$35)</f>
        <v>EC11</v>
      </c>
      <c r="B224" s="6" t="str">
        <f>LOOKUP(A224,'Auxiliar 1'!$B$7:$B$35,'Auxiliar 1'!$C$7:$C$35)</f>
        <v>Agua</v>
      </c>
      <c r="C224" s="330">
        <f t="shared" ref="C224:E224" si="50">C211*$F224/$F211</f>
        <v>64.285714285714278</v>
      </c>
      <c r="D224" s="330">
        <f t="shared" si="50"/>
        <v>0</v>
      </c>
      <c r="E224" s="330">
        <f t="shared" si="50"/>
        <v>0</v>
      </c>
      <c r="F224" s="332">
        <f>VLOOKUP(A224,'Proceso I'!$A$41:$O$69,10,0)</f>
        <v>64.285714285714278</v>
      </c>
      <c r="G224" s="32"/>
      <c r="H224" s="32"/>
    </row>
    <row r="225" spans="1:8" ht="15" customHeight="1" x14ac:dyDescent="0.2">
      <c r="A225" s="78" t="str">
        <f>LOOKUP(A212,'Auxiliar 1'!$T$7:$T$35,'Auxiliar 1'!$B$7:$B$35)</f>
        <v>EC12</v>
      </c>
      <c r="B225" s="6" t="str">
        <f>LOOKUP(A225,'Auxiliar 1'!$B$7:$B$35,'Auxiliar 1'!$C$7:$C$35)</f>
        <v>Teléfono</v>
      </c>
      <c r="C225" s="330">
        <f t="shared" ref="C225:E225" si="51">C212*$F225/$F212</f>
        <v>171.42857142857142</v>
      </c>
      <c r="D225" s="330">
        <f t="shared" si="51"/>
        <v>0</v>
      </c>
      <c r="E225" s="330">
        <f t="shared" si="51"/>
        <v>0</v>
      </c>
      <c r="F225" s="332">
        <f>VLOOKUP(A225,'Proceso I'!$A$41:$O$69,10,0)</f>
        <v>171.42857142857142</v>
      </c>
      <c r="G225" s="32"/>
      <c r="H225" s="32"/>
    </row>
    <row r="226" spans="1:8" ht="15" customHeight="1" x14ac:dyDescent="0.2">
      <c r="A226" s="78" t="str">
        <f>LOOKUP(A213,'Auxiliar 1'!$T$7:$T$35,'Auxiliar 1'!$B$7:$B$35)</f>
        <v>EC14</v>
      </c>
      <c r="B226" s="6" t="str">
        <f>LOOKUP(A226,'Auxiliar 1'!$B$7:$B$35,'Auxiliar 1'!$C$7:$C$35)</f>
        <v>Transporte de materia prima</v>
      </c>
      <c r="C226" s="330">
        <f t="shared" ref="C226:E226" si="52">C213*$F226/$F213</f>
        <v>160</v>
      </c>
      <c r="D226" s="330">
        <f t="shared" si="52"/>
        <v>160</v>
      </c>
      <c r="E226" s="330">
        <f t="shared" si="52"/>
        <v>0</v>
      </c>
      <c r="F226" s="332">
        <f>VLOOKUP(A226,'Proceso I'!$A$41:$O$69,10,0)</f>
        <v>320</v>
      </c>
      <c r="G226" s="32"/>
      <c r="H226" s="32"/>
    </row>
    <row r="227" spans="1:8" ht="15" customHeight="1" x14ac:dyDescent="0.2">
      <c r="A227" s="78" t="str">
        <f>LOOKUP(A214,'Auxiliar 1'!$T$7:$T$35,'Auxiliar 1'!$B$7:$B$35)</f>
        <v>EC15</v>
      </c>
      <c r="B227" s="6" t="str">
        <f>LOOKUP(A227,'Auxiliar 1'!$B$7:$B$35,'Auxiliar 1'!$C$7:$C$35)</f>
        <v>Transporte de producto en proceso a servicio de terceros</v>
      </c>
      <c r="C227" s="330">
        <f t="shared" ref="C227:E228" si="53">C214*$F227/$F214</f>
        <v>0</v>
      </c>
      <c r="D227" s="330">
        <f t="shared" si="53"/>
        <v>0</v>
      </c>
      <c r="E227" s="330">
        <f t="shared" si="53"/>
        <v>480</v>
      </c>
      <c r="F227" s="332">
        <f>VLOOKUP(A227,'Proceso I'!$A$41:$O$69,10,0)</f>
        <v>480</v>
      </c>
      <c r="G227" s="32"/>
      <c r="H227" s="32"/>
    </row>
    <row r="228" spans="1:8" ht="15" customHeight="1" x14ac:dyDescent="0.2">
      <c r="A228" s="78" t="str">
        <f>LOOKUP(A215,'Auxiliar 1'!$T$7:$T$35,'Auxiliar 1'!$B$7:$B$35)</f>
        <v>EC25</v>
      </c>
      <c r="B228" s="6" t="str">
        <f>LOOKUP(A228,'Auxiliar 1'!$B$7:$B$35,'Auxiliar 1'!$C$7:$C$35)</f>
        <v>Alquiler del Local</v>
      </c>
      <c r="C228" s="330">
        <f t="shared" si="53"/>
        <v>82.5</v>
      </c>
      <c r="D228" s="330">
        <f t="shared" si="53"/>
        <v>0</v>
      </c>
      <c r="E228" s="330">
        <f t="shared" si="53"/>
        <v>0</v>
      </c>
      <c r="F228" s="332">
        <f>VLOOKUP(A228,'Proceso I'!$A$41:$O$69,10,0)</f>
        <v>82.5</v>
      </c>
      <c r="G228" s="32"/>
      <c r="H228" s="32"/>
    </row>
    <row r="229" spans="1:8" ht="15" customHeight="1" x14ac:dyDescent="0.2">
      <c r="A229" s="32"/>
      <c r="B229" s="375" t="s">
        <v>536</v>
      </c>
      <c r="C229" s="374">
        <f>SUM(C221:C228)</f>
        <v>934.35064935064941</v>
      </c>
      <c r="D229" s="374">
        <f t="shared" ref="D229:F229" si="54">SUM(D221:D228)</f>
        <v>572.5</v>
      </c>
      <c r="E229" s="374">
        <f t="shared" si="54"/>
        <v>1305</v>
      </c>
      <c r="F229" s="374">
        <f t="shared" si="54"/>
        <v>2811.8506493506493</v>
      </c>
      <c r="G229" s="32"/>
      <c r="H229" s="32"/>
    </row>
    <row r="230" spans="1:8" ht="15" customHeight="1" x14ac:dyDescent="0.2">
      <c r="A230" s="32"/>
      <c r="B230" s="32"/>
      <c r="C230" s="32"/>
      <c r="D230" s="32"/>
      <c r="E230" s="32"/>
      <c r="F230" s="32"/>
      <c r="G230" s="32"/>
      <c r="H230" s="32"/>
    </row>
    <row r="231" spans="1:8" ht="15" customHeight="1" x14ac:dyDescent="0.2">
      <c r="A231" s="32" t="s">
        <v>38</v>
      </c>
      <c r="B231" s="32" t="s">
        <v>529</v>
      </c>
      <c r="C231" s="32"/>
      <c r="D231" s="32"/>
      <c r="E231" s="32"/>
      <c r="F231" s="32"/>
      <c r="G231" s="32"/>
      <c r="H231" s="32"/>
    </row>
    <row r="232" spans="1:8" ht="15" customHeight="1" x14ac:dyDescent="0.2">
      <c r="A232" s="32"/>
      <c r="B232" s="32"/>
      <c r="C232" s="32"/>
      <c r="D232" s="32"/>
      <c r="E232" s="32"/>
      <c r="F232" s="32"/>
      <c r="G232" s="32"/>
      <c r="H232" s="32"/>
    </row>
    <row r="233" spans="1:8" ht="15" customHeight="1" x14ac:dyDescent="0.2">
      <c r="A233" s="45"/>
      <c r="C233" s="322" t="s">
        <v>38</v>
      </c>
      <c r="D233" s="323"/>
      <c r="E233" s="328"/>
      <c r="F233" s="32"/>
      <c r="G233" s="32"/>
      <c r="H233" s="32"/>
    </row>
    <row r="234" spans="1:8" ht="15" customHeight="1" x14ac:dyDescent="0.2">
      <c r="A234" s="45"/>
      <c r="C234" s="317" t="s">
        <v>84</v>
      </c>
      <c r="D234" s="317" t="s">
        <v>87</v>
      </c>
      <c r="E234" s="317" t="s">
        <v>90</v>
      </c>
      <c r="F234" s="525" t="s">
        <v>96</v>
      </c>
      <c r="G234" s="32"/>
      <c r="H234" s="32"/>
    </row>
    <row r="235" spans="1:8" ht="25.5" x14ac:dyDescent="0.2">
      <c r="A235" s="523" t="s">
        <v>34</v>
      </c>
      <c r="B235" s="524"/>
      <c r="C235" s="313" t="str">
        <f>HLOOKUP(C234,'Centro de actividades'!$E$50:$AM$51,2,0)</f>
        <v>Digitalizar firmas y símbolos</v>
      </c>
      <c r="D235" s="313" t="str">
        <f>HLOOKUP(D234,'Centro de actividades'!$E$50:$AM$51,2,0)</f>
        <v>Unir firmas e imprimir</v>
      </c>
      <c r="E235" s="313" t="str">
        <f>HLOOKUP(E234,'Centro de actividades'!$E$50:$AM$51,2,0)</f>
        <v>Diseñar en CorelDraw símbolos pedidos</v>
      </c>
      <c r="F235" s="526"/>
      <c r="G235" s="32"/>
      <c r="H235" s="32"/>
    </row>
    <row r="236" spans="1:8" ht="15" customHeight="1" x14ac:dyDescent="0.2">
      <c r="A236" s="79" t="s">
        <v>68</v>
      </c>
      <c r="B236" s="329" t="str">
        <f>LOOKUP(A236,'Auxiliar 1'!$T$7:$T$35,'Auxiliar 1'!$U$7:$U$35)</f>
        <v>% de uso</v>
      </c>
      <c r="C236" s="333">
        <v>7.4999999999999997E-2</v>
      </c>
      <c r="D236" s="333">
        <v>7.4999999999999997E-2</v>
      </c>
      <c r="E236" s="333">
        <v>0.15</v>
      </c>
      <c r="F236" s="333">
        <f>VLOOKUP(A236,'Proceso I'!$A$6:$O$34,11,0)</f>
        <v>0.3</v>
      </c>
      <c r="G236" s="32"/>
      <c r="H236" s="32"/>
    </row>
    <row r="237" spans="1:8" ht="15" customHeight="1" x14ac:dyDescent="0.2">
      <c r="A237" s="79" t="s">
        <v>57</v>
      </c>
      <c r="B237" s="329" t="str">
        <f>LOOKUP(A237,'Auxiliar 1'!$T$7:$T$35,'Auxiliar 1'!$U$7:$U$35)</f>
        <v>Proporción de Consumo de Kwh</v>
      </c>
      <c r="C237" s="27">
        <f t="shared" ref="C237:D237" si="55">$F237*C236/$F236</f>
        <v>5</v>
      </c>
      <c r="D237" s="27">
        <f t="shared" si="55"/>
        <v>5</v>
      </c>
      <c r="E237" s="27">
        <f>$F237*E236/$F236</f>
        <v>10</v>
      </c>
      <c r="F237" s="27">
        <f>VLOOKUP(A237,'Proceso I'!$A$6:$O$34,11,0)</f>
        <v>20</v>
      </c>
      <c r="G237" s="32"/>
      <c r="H237" s="32"/>
    </row>
    <row r="238" spans="1:8" ht="15" customHeight="1" x14ac:dyDescent="0.2">
      <c r="A238" s="79" t="s">
        <v>58</v>
      </c>
      <c r="B238" s="329" t="str">
        <f>LOOKUP(A238,'Auxiliar 1'!$T$7:$T$35,'Auxiliar 1'!$U$7:$U$35)</f>
        <v>N° de personas en el C.A.</v>
      </c>
      <c r="C238" s="330">
        <f t="shared" ref="C238:D239" si="56">$F238/3</f>
        <v>0.33333333333333331</v>
      </c>
      <c r="D238" s="330">
        <f t="shared" si="56"/>
        <v>0.33333333333333331</v>
      </c>
      <c r="E238" s="330">
        <f>$F238/3</f>
        <v>0.33333333333333331</v>
      </c>
      <c r="F238" s="27">
        <f>VLOOKUP(A238,'Proceso I'!$A$6:$O$34,11,0)</f>
        <v>1</v>
      </c>
      <c r="G238" s="32"/>
      <c r="H238" s="32"/>
    </row>
    <row r="239" spans="1:8" ht="15" customHeight="1" x14ac:dyDescent="0.2">
      <c r="A239" s="79" t="s">
        <v>99</v>
      </c>
      <c r="B239" s="329" t="str">
        <f>LOOKUP(A239,'Auxiliar 1'!$T$7:$T$35,'Auxiliar 1'!$U$7:$U$35)</f>
        <v>Flat Parcial</v>
      </c>
      <c r="C239" s="330">
        <f t="shared" si="56"/>
        <v>0.33333333333333331</v>
      </c>
      <c r="D239" s="330">
        <f t="shared" si="56"/>
        <v>0.33333333333333331</v>
      </c>
      <c r="E239" s="330">
        <f>$F239/3</f>
        <v>0.33333333333333331</v>
      </c>
      <c r="F239" s="27">
        <f>VLOOKUP(A239,'Proceso I'!$A$6:$O$34,11,0)</f>
        <v>1</v>
      </c>
      <c r="G239" s="32"/>
      <c r="H239" s="32"/>
    </row>
    <row r="240" spans="1:8" ht="15" customHeight="1" x14ac:dyDescent="0.2">
      <c r="A240" s="79" t="s">
        <v>80</v>
      </c>
      <c r="B240" s="329" t="str">
        <f>LOOKUP(A240,'Auxiliar 1'!$T$7:$T$35,'Auxiliar 1'!$U$7:$U$35)</f>
        <v>% de Importancia</v>
      </c>
      <c r="C240" s="338">
        <v>2.5000000000000001E-2</v>
      </c>
      <c r="D240" s="338">
        <v>2.5000000000000001E-2</v>
      </c>
      <c r="E240" s="338">
        <v>0.06</v>
      </c>
      <c r="F240" s="333">
        <f>VLOOKUP(A240,'Proceso I'!$A$6:$O$34,11,0)</f>
        <v>0.11</v>
      </c>
      <c r="G240" s="32"/>
      <c r="H240" s="32"/>
    </row>
    <row r="241" spans="1:8" ht="15" customHeight="1" x14ac:dyDescent="0.2">
      <c r="A241" s="79" t="s">
        <v>81</v>
      </c>
      <c r="B241" s="329" t="str">
        <f>LOOKUP(A241,'Auxiliar 1'!$T$7:$T$35,'Auxiliar 1'!$U$7:$U$35)</f>
        <v>Flat Parcial</v>
      </c>
      <c r="C241" s="27"/>
      <c r="D241" s="27">
        <v>1</v>
      </c>
      <c r="E241" s="27"/>
      <c r="F241" s="27">
        <f>VLOOKUP(A241,'Proceso I'!$A$6:$O$34,11,0)</f>
        <v>1</v>
      </c>
      <c r="G241" s="32"/>
      <c r="H241" s="32"/>
    </row>
    <row r="242" spans="1:8" ht="15" customHeight="1" x14ac:dyDescent="0.2">
      <c r="A242" s="79" t="s">
        <v>83</v>
      </c>
      <c r="B242" s="329" t="str">
        <f>LOOKUP(A242,'Auxiliar 1'!$T$7:$T$35,'Auxiliar 1'!$U$7:$U$35)</f>
        <v>% Asignación</v>
      </c>
      <c r="C242" s="333"/>
      <c r="D242" s="333"/>
      <c r="E242" s="333">
        <v>1</v>
      </c>
      <c r="F242" s="333">
        <f>VLOOKUP(A242,'Proceso I'!$A$6:$O$34,11,0)</f>
        <v>1</v>
      </c>
      <c r="G242" s="32"/>
      <c r="H242" s="32"/>
    </row>
    <row r="243" spans="1:8" ht="15" customHeight="1" x14ac:dyDescent="0.2">
      <c r="A243" s="32"/>
      <c r="B243" s="32"/>
      <c r="C243" s="32"/>
      <c r="D243" s="32"/>
      <c r="E243" s="32"/>
      <c r="F243" s="32"/>
      <c r="G243" s="32"/>
      <c r="H243" s="32"/>
    </row>
    <row r="244" spans="1:8" ht="15" customHeight="1" x14ac:dyDescent="0.2">
      <c r="A244" s="32"/>
      <c r="B244" s="32"/>
      <c r="C244" s="32"/>
      <c r="D244" s="32"/>
      <c r="E244" s="32"/>
      <c r="F244" s="32"/>
      <c r="G244" s="32"/>
      <c r="H244" s="32"/>
    </row>
    <row r="245" spans="1:8" ht="15" customHeight="1" x14ac:dyDescent="0.2">
      <c r="A245" s="45"/>
      <c r="C245" s="322" t="s">
        <v>38</v>
      </c>
      <c r="D245" s="323"/>
      <c r="E245" s="328"/>
      <c r="F245" s="32"/>
      <c r="G245" s="32"/>
      <c r="H245" s="32"/>
    </row>
    <row r="246" spans="1:8" ht="15" customHeight="1" x14ac:dyDescent="0.2">
      <c r="A246" s="45"/>
      <c r="C246" s="317" t="s">
        <v>84</v>
      </c>
      <c r="D246" s="317" t="s">
        <v>87</v>
      </c>
      <c r="E246" s="317" t="s">
        <v>90</v>
      </c>
      <c r="F246" s="525" t="s">
        <v>96</v>
      </c>
      <c r="G246" s="32"/>
      <c r="H246" s="32"/>
    </row>
    <row r="247" spans="1:8" ht="25.5" x14ac:dyDescent="0.2">
      <c r="A247" s="523" t="s">
        <v>55</v>
      </c>
      <c r="B247" s="524"/>
      <c r="C247" s="313" t="str">
        <f>HLOOKUP(C246,'Centro de actividades'!$E$50:$AM$51,2,0)</f>
        <v>Digitalizar firmas y símbolos</v>
      </c>
      <c r="D247" s="313" t="str">
        <f>HLOOKUP(D246,'Centro de actividades'!$E$50:$AM$51,2,0)</f>
        <v>Unir firmas e imprimir</v>
      </c>
      <c r="E247" s="313" t="str">
        <f>HLOOKUP(E246,'Centro de actividades'!$E$50:$AM$51,2,0)</f>
        <v>Diseñar en CorelDraw símbolos pedidos</v>
      </c>
      <c r="F247" s="526"/>
      <c r="G247" s="32"/>
      <c r="H247" s="32"/>
    </row>
    <row r="248" spans="1:8" ht="15" customHeight="1" x14ac:dyDescent="0.2">
      <c r="A248" s="78" t="str">
        <f>LOOKUP(A236,'Auxiliar 1'!$T$7:$T$35,'Auxiliar 1'!$B$7:$B$35)</f>
        <v>EC06</v>
      </c>
      <c r="B248" s="6" t="str">
        <f>LOOKUP(A248,'Auxiliar 1'!$B$7:$B$35,'Auxiliar 1'!$C$7:$C$35)</f>
        <v>Depreciación Computadora</v>
      </c>
      <c r="C248" s="330">
        <f>C236*$F248/$F236</f>
        <v>21.09375</v>
      </c>
      <c r="D248" s="330">
        <f t="shared" ref="D248:E248" si="57">D236*$F248/$F236</f>
        <v>21.09375</v>
      </c>
      <c r="E248" s="330">
        <f t="shared" si="57"/>
        <v>42.1875</v>
      </c>
      <c r="F248" s="332">
        <f>VLOOKUP(A248,'Proceso I'!$A$41:$O$69,11,0)</f>
        <v>84.375</v>
      </c>
      <c r="G248" s="32"/>
      <c r="H248" s="32"/>
    </row>
    <row r="249" spans="1:8" ht="15" customHeight="1" x14ac:dyDescent="0.2">
      <c r="A249" s="78" t="str">
        <f>LOOKUP(A237,'Auxiliar 1'!$T$7:$T$35,'Auxiliar 1'!$B$7:$B$35)</f>
        <v>EC10</v>
      </c>
      <c r="B249" s="6" t="str">
        <f>LOOKUP(A249,'Auxiliar 1'!$B$7:$B$35,'Auxiliar 1'!$C$7:$C$35)</f>
        <v>Energía Eléctrica</v>
      </c>
      <c r="C249" s="330">
        <f t="shared" ref="C249:E249" si="58">C237*$F249/$F237</f>
        <v>21.81818181818182</v>
      </c>
      <c r="D249" s="330">
        <f t="shared" si="58"/>
        <v>21.81818181818182</v>
      </c>
      <c r="E249" s="330">
        <f t="shared" si="58"/>
        <v>43.63636363636364</v>
      </c>
      <c r="F249" s="332">
        <f>VLOOKUP(A249,'Proceso I'!$A$41:$O$69,11,0)</f>
        <v>87.27272727272728</v>
      </c>
      <c r="G249" s="32"/>
      <c r="H249" s="32"/>
    </row>
    <row r="250" spans="1:8" ht="15" customHeight="1" x14ac:dyDescent="0.2">
      <c r="A250" s="78" t="str">
        <f>LOOKUP(A238,'Auxiliar 1'!$T$7:$T$35,'Auxiliar 1'!$B$7:$B$35)</f>
        <v>EC11</v>
      </c>
      <c r="B250" s="6" t="str">
        <f>LOOKUP(A250,'Auxiliar 1'!$B$7:$B$35,'Auxiliar 1'!$C$7:$C$35)</f>
        <v>Agua</v>
      </c>
      <c r="C250" s="330">
        <f t="shared" ref="C250:E250" si="59">C238*$F250/$F238</f>
        <v>10.714285714285712</v>
      </c>
      <c r="D250" s="330">
        <f t="shared" si="59"/>
        <v>10.714285714285712</v>
      </c>
      <c r="E250" s="330">
        <f t="shared" si="59"/>
        <v>10.714285714285712</v>
      </c>
      <c r="F250" s="332">
        <f>VLOOKUP(A250,'Proceso I'!$A$41:$O$69,11,0)</f>
        <v>32.142857142857139</v>
      </c>
      <c r="G250" s="32"/>
      <c r="H250" s="32"/>
    </row>
    <row r="251" spans="1:8" ht="15" customHeight="1" x14ac:dyDescent="0.2">
      <c r="A251" s="78" t="str">
        <f>LOOKUP(A239,'Auxiliar 1'!$T$7:$T$35,'Auxiliar 1'!$B$7:$B$35)</f>
        <v>EC13</v>
      </c>
      <c r="B251" s="6" t="str">
        <f>LOOKUP(A251,'Auxiliar 1'!$B$7:$B$35,'Auxiliar 1'!$C$7:$C$35)</f>
        <v xml:space="preserve">Servicio de internet </v>
      </c>
      <c r="C251" s="330">
        <f t="shared" ref="C251:E251" si="60">C239*$F251/$F239</f>
        <v>21.428571428571423</v>
      </c>
      <c r="D251" s="330">
        <f t="shared" si="60"/>
        <v>21.428571428571423</v>
      </c>
      <c r="E251" s="330">
        <f t="shared" si="60"/>
        <v>21.428571428571423</v>
      </c>
      <c r="F251" s="332">
        <f>VLOOKUP(A251,'Proceso I'!$A$41:$O$69,11,0)</f>
        <v>64.285714285714278</v>
      </c>
      <c r="G251" s="32"/>
      <c r="H251" s="32"/>
    </row>
    <row r="252" spans="1:8" ht="15" customHeight="1" x14ac:dyDescent="0.2">
      <c r="A252" s="78" t="str">
        <f>LOOKUP(A240,'Auxiliar 1'!$T$7:$T$35,'Auxiliar 1'!$B$7:$B$35)</f>
        <v>EC25</v>
      </c>
      <c r="B252" s="6" t="str">
        <f>LOOKUP(A252,'Auxiliar 1'!$B$7:$B$35,'Auxiliar 1'!$C$7:$C$35)</f>
        <v>Alquiler del Local</v>
      </c>
      <c r="C252" s="330">
        <f t="shared" ref="C252:E252" si="61">C240*$F252/$F240</f>
        <v>41.250000000000007</v>
      </c>
      <c r="D252" s="330">
        <f t="shared" si="61"/>
        <v>41.250000000000007</v>
      </c>
      <c r="E252" s="330">
        <f t="shared" si="61"/>
        <v>98.999999999999986</v>
      </c>
      <c r="F252" s="332">
        <f>VLOOKUP(A252,'Proceso I'!$A$41:$O$69,11,0)</f>
        <v>181.5</v>
      </c>
      <c r="G252" s="32"/>
      <c r="H252" s="32"/>
    </row>
    <row r="253" spans="1:8" ht="15" customHeight="1" x14ac:dyDescent="0.2">
      <c r="A253" s="78" t="str">
        <f>LOOKUP(A241,'Auxiliar 1'!$T$7:$T$35,'Auxiliar 1'!$B$7:$B$35)</f>
        <v>EC26</v>
      </c>
      <c r="B253" s="6" t="str">
        <f>LOOKUP(A253,'Auxiliar 1'!$B$7:$B$35,'Auxiliar 1'!$C$7:$C$35)</f>
        <v>Útiles de escritorio</v>
      </c>
      <c r="C253" s="330">
        <f t="shared" ref="C253:E253" si="62">C241*$F253/$F241</f>
        <v>0</v>
      </c>
      <c r="D253" s="330">
        <f t="shared" si="62"/>
        <v>4.2857142857142856</v>
      </c>
      <c r="E253" s="330">
        <f t="shared" si="62"/>
        <v>0</v>
      </c>
      <c r="F253" s="332">
        <f>VLOOKUP(A253,'Proceso I'!$A$41:$O$69,11,0)</f>
        <v>4.2857142857142856</v>
      </c>
      <c r="G253" s="32"/>
      <c r="H253" s="32"/>
    </row>
    <row r="254" spans="1:8" ht="15" customHeight="1" x14ac:dyDescent="0.2">
      <c r="A254" s="78" t="str">
        <f>LOOKUP(A242,'Auxiliar 1'!$T$7:$T$35,'Auxiliar 1'!$B$7:$B$35)</f>
        <v>EC28</v>
      </c>
      <c r="B254" s="6" t="str">
        <f>LOOKUP(A254,'Auxiliar 1'!$B$7:$B$35,'Auxiliar 1'!$C$7:$C$35)</f>
        <v>Impresión de firmas</v>
      </c>
      <c r="C254" s="330">
        <f t="shared" ref="C254:E254" si="63">C242*$F254/$F242</f>
        <v>0</v>
      </c>
      <c r="D254" s="330">
        <f t="shared" si="63"/>
        <v>0</v>
      </c>
      <c r="E254" s="330">
        <f t="shared" si="63"/>
        <v>80</v>
      </c>
      <c r="F254" s="332">
        <f>VLOOKUP(A254,'Proceso I'!$A$41:$O$69,11,0)</f>
        <v>80</v>
      </c>
      <c r="G254" s="32"/>
      <c r="H254" s="32"/>
    </row>
    <row r="255" spans="1:8" ht="15" customHeight="1" x14ac:dyDescent="0.2">
      <c r="A255" s="32"/>
      <c r="B255" s="373" t="s">
        <v>536</v>
      </c>
      <c r="C255" s="372">
        <f>SUM(C248:C254)</f>
        <v>116.30478896103895</v>
      </c>
      <c r="D255" s="372">
        <f t="shared" ref="D255:F255" si="64">SUM(D248:D254)</f>
        <v>120.59050324675324</v>
      </c>
      <c r="E255" s="372">
        <f t="shared" si="64"/>
        <v>296.96672077922074</v>
      </c>
      <c r="F255" s="372">
        <f t="shared" si="64"/>
        <v>533.86201298701303</v>
      </c>
      <c r="G255" s="32"/>
      <c r="H255" s="32"/>
    </row>
    <row r="256" spans="1:8" ht="15" customHeight="1" x14ac:dyDescent="0.2">
      <c r="A256" s="32"/>
      <c r="B256" s="32"/>
      <c r="C256" s="32"/>
      <c r="D256" s="32"/>
      <c r="E256" s="32"/>
      <c r="F256" s="32"/>
      <c r="G256" s="32"/>
      <c r="H256" s="32"/>
    </row>
    <row r="257" spans="1:8" ht="15" customHeight="1" x14ac:dyDescent="0.2">
      <c r="A257" s="32" t="s">
        <v>37</v>
      </c>
      <c r="B257" s="32" t="s">
        <v>530</v>
      </c>
      <c r="C257" s="32"/>
      <c r="D257" s="32"/>
      <c r="E257" s="32"/>
      <c r="F257" s="32"/>
      <c r="G257" s="32"/>
      <c r="H257" s="32"/>
    </row>
    <row r="258" spans="1:8" ht="15" customHeight="1" x14ac:dyDescent="0.2">
      <c r="A258" s="32"/>
      <c r="B258" s="32"/>
      <c r="C258" s="32"/>
      <c r="D258" s="32"/>
      <c r="E258" s="32"/>
      <c r="F258" s="32"/>
      <c r="G258" s="32"/>
      <c r="H258" s="32"/>
    </row>
    <row r="259" spans="1:8" ht="15" customHeight="1" x14ac:dyDescent="0.2">
      <c r="A259" s="32"/>
      <c r="B259" s="32"/>
      <c r="C259" s="32"/>
      <c r="D259" s="32"/>
      <c r="E259" s="32"/>
      <c r="F259" s="32"/>
      <c r="G259" s="32"/>
      <c r="H259" s="32"/>
    </row>
    <row r="260" spans="1:8" ht="15" customHeight="1" x14ac:dyDescent="0.2">
      <c r="A260" s="45"/>
      <c r="C260" s="322" t="s">
        <v>37</v>
      </c>
      <c r="D260" s="323"/>
      <c r="E260" s="323"/>
      <c r="F260" s="323"/>
      <c r="G260" s="328"/>
      <c r="H260" s="32"/>
    </row>
    <row r="261" spans="1:8" ht="15" customHeight="1" x14ac:dyDescent="0.2">
      <c r="A261" s="45"/>
      <c r="C261" s="317" t="s">
        <v>92</v>
      </c>
      <c r="D261" s="317" t="s">
        <v>94</v>
      </c>
      <c r="E261" s="317" t="s">
        <v>73</v>
      </c>
      <c r="F261" s="317" t="s">
        <v>75</v>
      </c>
      <c r="G261" s="317" t="s">
        <v>76</v>
      </c>
      <c r="H261" s="525" t="s">
        <v>96</v>
      </c>
    </row>
    <row r="262" spans="1:8" ht="38.25" x14ac:dyDescent="0.2">
      <c r="A262" s="523" t="s">
        <v>34</v>
      </c>
      <c r="B262" s="524"/>
      <c r="C262" s="313" t="str">
        <f>HLOOKUP(C261,'Centro de actividades'!$E$50:$AM$51,2,0)</f>
        <v>Tender las telas sobre mesa de corte</v>
      </c>
      <c r="D262" s="313" t="str">
        <f>HLOOKUP(D261,'Centro de actividades'!$E$50:$AM$51,2,0)</f>
        <v>Marcar la tela superficial con tiza de sastre</v>
      </c>
      <c r="E262" s="313" t="str">
        <f>HLOOKUP(E261,'Centro de actividades'!$E$50:$AM$51,2,0)</f>
        <v>Cortar con la máquina cada conjunto de telas</v>
      </c>
      <c r="F262" s="313" t="str">
        <f>HLOOKUP(F261,'Centro de actividades'!$E$50:$AM$51,2,0)</f>
        <v>Etiquetar por prenda, talla y cliente con etiqueta de seguimiento</v>
      </c>
      <c r="G262" s="313" t="str">
        <f>HLOOKUP(G261,'Centro de actividades'!$E$50:$AM$51,2,0)</f>
        <v>Embolsar para envío a Bordado y/o Estampado (externo)</v>
      </c>
      <c r="H262" s="526"/>
    </row>
    <row r="263" spans="1:8" ht="15" customHeight="1" x14ac:dyDescent="0.2">
      <c r="A263" s="79" t="s">
        <v>66</v>
      </c>
      <c r="B263" s="329" t="str">
        <f>LOOKUP(A263,'Auxiliar 1'!$T$7:$T$35,'Auxiliar 1'!$U$7:$U$35)</f>
        <v>% Asignación</v>
      </c>
      <c r="C263" s="27"/>
      <c r="D263" s="27">
        <v>1</v>
      </c>
      <c r="E263" s="27"/>
      <c r="F263" s="27"/>
      <c r="G263" s="27"/>
      <c r="H263" s="27">
        <f>VLOOKUP(A263,'Proceso I'!$A$6:$O$34,12,0)</f>
        <v>1</v>
      </c>
    </row>
    <row r="264" spans="1:8" ht="15" customHeight="1" x14ac:dyDescent="0.2">
      <c r="A264" s="79" t="s">
        <v>67</v>
      </c>
      <c r="B264" s="329" t="str">
        <f>LOOKUP(A264,'Auxiliar 1'!$T$7:$T$35,'Auxiliar 1'!$U$7:$U$35)</f>
        <v>% de uso</v>
      </c>
      <c r="C264" s="333">
        <v>0.03</v>
      </c>
      <c r="D264" s="333">
        <v>0.03</v>
      </c>
      <c r="E264" s="333">
        <v>0.05</v>
      </c>
      <c r="F264" s="333">
        <v>7.0000000000000007E-2</v>
      </c>
      <c r="G264" s="333">
        <v>7.0000000000000007E-2</v>
      </c>
      <c r="H264" s="333">
        <f>VLOOKUP(A264,'Proceso I'!$A$6:$O$34,12,0)</f>
        <v>0.25</v>
      </c>
    </row>
    <row r="265" spans="1:8" ht="15" customHeight="1" x14ac:dyDescent="0.2">
      <c r="A265" s="79" t="s">
        <v>70</v>
      </c>
      <c r="B265" s="329" t="str">
        <f>LOOKUP(A265,'Auxiliar 1'!$T$7:$T$35,'Auxiliar 1'!$U$7:$U$35)</f>
        <v>% de uso</v>
      </c>
      <c r="C265" s="333"/>
      <c r="D265" s="333"/>
      <c r="E265" s="333">
        <v>1</v>
      </c>
      <c r="F265" s="333"/>
      <c r="G265" s="333"/>
      <c r="H265" s="333">
        <f>VLOOKUP(A265,'Proceso I'!$A$6:$O$34,12,0)</f>
        <v>1</v>
      </c>
    </row>
    <row r="266" spans="1:8" ht="15" customHeight="1" x14ac:dyDescent="0.2">
      <c r="A266" s="79" t="s">
        <v>69</v>
      </c>
      <c r="B266" s="329" t="str">
        <f>LOOKUP(A266,'Auxiliar 1'!$T$7:$T$35,'Auxiliar 1'!$U$7:$U$35)</f>
        <v>% de uso</v>
      </c>
      <c r="C266" s="333"/>
      <c r="D266" s="333"/>
      <c r="E266" s="333"/>
      <c r="F266" s="333">
        <v>0.8</v>
      </c>
      <c r="G266" s="333"/>
      <c r="H266" s="333">
        <f>VLOOKUP(A266,'Proceso I'!$A$6:$O$34,12,0)</f>
        <v>0.8</v>
      </c>
    </row>
    <row r="267" spans="1:8" ht="15" customHeight="1" x14ac:dyDescent="0.2">
      <c r="A267" s="79" t="s">
        <v>71</v>
      </c>
      <c r="B267" s="329" t="str">
        <f>LOOKUP(A267,'Auxiliar 1'!$T$7:$T$35,'Auxiliar 1'!$U$7:$U$35)</f>
        <v>% Asignación</v>
      </c>
      <c r="C267" s="333"/>
      <c r="D267" s="333">
        <v>1</v>
      </c>
      <c r="E267" s="333"/>
      <c r="F267" s="333"/>
      <c r="G267" s="333"/>
      <c r="H267" s="333">
        <f>VLOOKUP(A267,'Proceso I'!$A$6:$O$34,12,0)</f>
        <v>1</v>
      </c>
    </row>
    <row r="268" spans="1:8" ht="15" customHeight="1" x14ac:dyDescent="0.2">
      <c r="A268" s="79" t="s">
        <v>57</v>
      </c>
      <c r="B268" s="329" t="str">
        <f>LOOKUP(A268,'Auxiliar 1'!$T$7:$T$35,'Auxiliar 1'!$U$7:$U$35)</f>
        <v>Proporción de Consumo de Kwh</v>
      </c>
      <c r="C268" s="27">
        <f t="shared" ref="C268:F268" si="65">$H$268*C264/$H$264</f>
        <v>6</v>
      </c>
      <c r="D268" s="27">
        <f t="shared" si="65"/>
        <v>6</v>
      </c>
      <c r="E268" s="27">
        <f t="shared" si="65"/>
        <v>10</v>
      </c>
      <c r="F268" s="27">
        <f t="shared" si="65"/>
        <v>14.000000000000002</v>
      </c>
      <c r="G268" s="27">
        <f>$H$268*G264/$H$264</f>
        <v>14.000000000000002</v>
      </c>
      <c r="H268" s="27">
        <f>VLOOKUP(A268,'Proceso I'!$A$6:$O$34,12,0)</f>
        <v>50</v>
      </c>
    </row>
    <row r="269" spans="1:8" ht="15" customHeight="1" x14ac:dyDescent="0.2">
      <c r="A269" s="79" t="s">
        <v>58</v>
      </c>
      <c r="B269" s="329" t="str">
        <f>LOOKUP(A269,'Auxiliar 1'!$T$7:$T$35,'Auxiliar 1'!$U$7:$U$35)</f>
        <v>N° de personas en el C.A.</v>
      </c>
      <c r="C269" s="27">
        <f t="shared" ref="C269:F269" si="66">$H$269*C264/$H$264</f>
        <v>0.12</v>
      </c>
      <c r="D269" s="27">
        <f t="shared" si="66"/>
        <v>0.12</v>
      </c>
      <c r="E269" s="27">
        <f t="shared" si="66"/>
        <v>0.2</v>
      </c>
      <c r="F269" s="27">
        <f t="shared" si="66"/>
        <v>0.28000000000000003</v>
      </c>
      <c r="G269" s="27">
        <f>$H$269*G264/$H$264</f>
        <v>0.28000000000000003</v>
      </c>
      <c r="H269" s="27">
        <f>VLOOKUP(A269,'Proceso I'!$A$6:$O$34,12,0)</f>
        <v>1</v>
      </c>
    </row>
    <row r="270" spans="1:8" ht="15" customHeight="1" x14ac:dyDescent="0.2">
      <c r="A270" s="79" t="s">
        <v>61</v>
      </c>
      <c r="B270" s="329" t="str">
        <f>LOOKUP(A270,'Auxiliar 1'!$T$7:$T$35,'Auxiliar 1'!$U$7:$U$35)</f>
        <v>% de uso</v>
      </c>
      <c r="C270" s="333"/>
      <c r="D270" s="333"/>
      <c r="E270" s="333"/>
      <c r="F270" s="333"/>
      <c r="G270" s="333">
        <v>1</v>
      </c>
      <c r="H270" s="333">
        <f>VLOOKUP(A270,'Proceso I'!$A$6:$O$34,12,0)</f>
        <v>1</v>
      </c>
    </row>
    <row r="271" spans="1:8" ht="15" customHeight="1" x14ac:dyDescent="0.2">
      <c r="A271" s="79" t="s">
        <v>77</v>
      </c>
      <c r="B271" s="329" t="str">
        <f>LOOKUP(A271,'Auxiliar 1'!$T$7:$T$35,'Auxiliar 1'!$U$7:$U$35)</f>
        <v>% de uso</v>
      </c>
      <c r="C271" s="333"/>
      <c r="D271" s="333"/>
      <c r="E271" s="333"/>
      <c r="F271" s="333"/>
      <c r="G271" s="333">
        <v>1</v>
      </c>
      <c r="H271" s="333">
        <f>VLOOKUP(A271,'Proceso I'!$A$6:$O$34,12,0)</f>
        <v>1</v>
      </c>
    </row>
    <row r="272" spans="1:8" ht="15" customHeight="1" x14ac:dyDescent="0.2">
      <c r="A272" s="79" t="s">
        <v>80</v>
      </c>
      <c r="B272" s="329" t="str">
        <f>LOOKUP(A272,'Auxiliar 1'!$T$7:$T$35,'Auxiliar 1'!$U$7:$U$35)</f>
        <v>% de Importancia</v>
      </c>
      <c r="C272" s="338">
        <f t="shared" ref="C272:F272" si="67">$H$272/5</f>
        <v>2.1999999999999999E-2</v>
      </c>
      <c r="D272" s="338">
        <f t="shared" si="67"/>
        <v>2.1999999999999999E-2</v>
      </c>
      <c r="E272" s="338">
        <f t="shared" si="67"/>
        <v>2.1999999999999999E-2</v>
      </c>
      <c r="F272" s="338">
        <f t="shared" si="67"/>
        <v>2.1999999999999999E-2</v>
      </c>
      <c r="G272" s="338">
        <f>$H$272/5</f>
        <v>2.1999999999999999E-2</v>
      </c>
      <c r="H272" s="333">
        <f>VLOOKUP(A272,'Proceso I'!$A$6:$O$34,12,0)</f>
        <v>0.11</v>
      </c>
    </row>
    <row r="273" spans="1:8" ht="15" customHeight="1" x14ac:dyDescent="0.2">
      <c r="A273" s="79" t="s">
        <v>82</v>
      </c>
      <c r="B273" s="329" t="str">
        <f>LOOKUP(A273,'Auxiliar 1'!$T$7:$T$35,'Auxiliar 1'!$U$7:$U$35)</f>
        <v>% Asignación</v>
      </c>
      <c r="C273" s="333"/>
      <c r="D273" s="333"/>
      <c r="E273" s="333">
        <v>0.3</v>
      </c>
      <c r="F273" s="333">
        <v>0.15</v>
      </c>
      <c r="G273" s="333"/>
      <c r="H273" s="333">
        <f>VLOOKUP(A273,'Proceso I'!$A$6:$O$34,12,0)</f>
        <v>0.45</v>
      </c>
    </row>
    <row r="274" spans="1:8" ht="15" customHeight="1" x14ac:dyDescent="0.2">
      <c r="A274" s="32"/>
      <c r="B274" s="32"/>
      <c r="C274" s="32"/>
      <c r="D274" s="32"/>
      <c r="E274" s="32"/>
      <c r="F274" s="32"/>
      <c r="G274" s="32"/>
      <c r="H274" s="32"/>
    </row>
    <row r="275" spans="1:8" ht="15" customHeight="1" x14ac:dyDescent="0.2">
      <c r="A275" s="32"/>
      <c r="B275" s="32"/>
      <c r="C275" s="32"/>
      <c r="D275" s="32"/>
      <c r="E275" s="32"/>
      <c r="F275" s="32"/>
      <c r="G275" s="32"/>
      <c r="H275" s="32"/>
    </row>
    <row r="276" spans="1:8" ht="15" customHeight="1" x14ac:dyDescent="0.2">
      <c r="A276" s="45"/>
      <c r="C276" s="322" t="s">
        <v>37</v>
      </c>
      <c r="D276" s="323"/>
      <c r="E276" s="323"/>
      <c r="F276" s="323"/>
      <c r="G276" s="328"/>
      <c r="H276" s="32"/>
    </row>
    <row r="277" spans="1:8" ht="15" customHeight="1" x14ac:dyDescent="0.2">
      <c r="A277" s="45"/>
      <c r="C277" s="317" t="s">
        <v>92</v>
      </c>
      <c r="D277" s="317" t="s">
        <v>94</v>
      </c>
      <c r="E277" s="317" t="s">
        <v>73</v>
      </c>
      <c r="F277" s="317" t="s">
        <v>75</v>
      </c>
      <c r="G277" s="317" t="s">
        <v>76</v>
      </c>
      <c r="H277" s="525" t="s">
        <v>96</v>
      </c>
    </row>
    <row r="278" spans="1:8" ht="40.5" customHeight="1" x14ac:dyDescent="0.2">
      <c r="A278" s="523" t="s">
        <v>55</v>
      </c>
      <c r="B278" s="524"/>
      <c r="C278" s="313" t="str">
        <f>HLOOKUP(C277,'Centro de actividades'!$E$50:$AM$51,2,0)</f>
        <v>Tender las telas sobre mesa de corte</v>
      </c>
      <c r="D278" s="313" t="str">
        <f>HLOOKUP(D277,'Centro de actividades'!$E$50:$AM$51,2,0)</f>
        <v>Marcar la tela superficial con tiza de sastre</v>
      </c>
      <c r="E278" s="313" t="str">
        <f>HLOOKUP(E277,'Centro de actividades'!$E$50:$AM$51,2,0)</f>
        <v>Cortar con la máquina cada conjunto de telas</v>
      </c>
      <c r="F278" s="313" t="str">
        <f>HLOOKUP(F277,'Centro de actividades'!$E$50:$AM$51,2,0)</f>
        <v>Etiquetar por prenda, talla y cliente con etiqueta de seguimiento</v>
      </c>
      <c r="G278" s="313" t="str">
        <f>HLOOKUP(G277,'Centro de actividades'!$E$50:$AM$51,2,0)</f>
        <v>Embolsar para envío a Bordado y/o Estampado (externo)</v>
      </c>
      <c r="H278" s="526"/>
    </row>
    <row r="279" spans="1:8" ht="12.75" x14ac:dyDescent="0.2">
      <c r="A279" s="78" t="str">
        <f>LOOKUP(A263,'Auxiliar 1'!$T$7:$T$35,'Auxiliar 1'!$B$7:$B$35)</f>
        <v>EC04</v>
      </c>
      <c r="B279" s="6" t="str">
        <f>LOOKUP(A279,'Auxiliar 1'!$B$7:$B$35,'Auxiliar 1'!$C$7:$C$35)</f>
        <v>Tiza para corte</v>
      </c>
      <c r="C279" s="330">
        <f>C263*$H279/$H263</f>
        <v>0</v>
      </c>
      <c r="D279" s="330">
        <f t="shared" ref="D279:G279" si="68">D263*$H279/$H263</f>
        <v>6</v>
      </c>
      <c r="E279" s="330">
        <f t="shared" si="68"/>
        <v>0</v>
      </c>
      <c r="F279" s="330">
        <f t="shared" si="68"/>
        <v>0</v>
      </c>
      <c r="G279" s="330">
        <f t="shared" si="68"/>
        <v>0</v>
      </c>
      <c r="H279" s="332">
        <f>VLOOKUP(A279,'Proceso I'!$A$41:$O$69,12,0)</f>
        <v>6</v>
      </c>
    </row>
    <row r="280" spans="1:8" ht="15" customHeight="1" x14ac:dyDescent="0.2">
      <c r="A280" s="78" t="str">
        <f>LOOKUP(A264,'Auxiliar 1'!$T$7:$T$35,'Auxiliar 1'!$B$7:$B$35)</f>
        <v>EC05</v>
      </c>
      <c r="B280" s="6" t="str">
        <f>LOOKUP(A280,'Auxiliar 1'!$B$7:$B$35,'Auxiliar 1'!$C$7:$C$35)</f>
        <v>Depreciación Mesa para Corte</v>
      </c>
      <c r="C280" s="330">
        <f t="shared" ref="C280:G280" si="69">C264*$H280/$H264</f>
        <v>1.0125</v>
      </c>
      <c r="D280" s="330">
        <f t="shared" si="69"/>
        <v>1.0125</v>
      </c>
      <c r="E280" s="330">
        <f t="shared" si="69"/>
        <v>1.6875</v>
      </c>
      <c r="F280" s="330">
        <f t="shared" si="69"/>
        <v>2.3625000000000003</v>
      </c>
      <c r="G280" s="330">
        <f t="shared" si="69"/>
        <v>2.3625000000000003</v>
      </c>
      <c r="H280" s="332">
        <f>VLOOKUP(A280,'Proceso I'!$A$41:$O$69,12,0)</f>
        <v>8.4375</v>
      </c>
    </row>
    <row r="281" spans="1:8" ht="15" customHeight="1" x14ac:dyDescent="0.2">
      <c r="A281" s="78" t="str">
        <f>LOOKUP(A265,'Auxiliar 1'!$T$7:$T$35,'Auxiliar 1'!$B$7:$B$35)</f>
        <v>EC07</v>
      </c>
      <c r="B281" s="6" t="str">
        <f>LOOKUP(A281,'Auxiliar 1'!$B$7:$B$35,'Auxiliar 1'!$C$7:$C$35)</f>
        <v>Depreciación Cortadora</v>
      </c>
      <c r="C281" s="330">
        <f t="shared" ref="C281:G281" si="70">C265*$H281/$H265</f>
        <v>0</v>
      </c>
      <c r="D281" s="330">
        <f t="shared" si="70"/>
        <v>0</v>
      </c>
      <c r="E281" s="330">
        <f t="shared" si="70"/>
        <v>150.03000000000003</v>
      </c>
      <c r="F281" s="330">
        <f t="shared" si="70"/>
        <v>0</v>
      </c>
      <c r="G281" s="330">
        <f t="shared" si="70"/>
        <v>0</v>
      </c>
      <c r="H281" s="332">
        <f>VLOOKUP(A281,'Proceso I'!$A$41:$O$69,12,0)</f>
        <v>150.03000000000003</v>
      </c>
    </row>
    <row r="282" spans="1:8" ht="15" customHeight="1" x14ac:dyDescent="0.2">
      <c r="A282" s="78" t="str">
        <f>LOOKUP(A266,'Auxiliar 1'!$T$7:$T$35,'Auxiliar 1'!$B$7:$B$35)</f>
        <v>EC08</v>
      </c>
      <c r="B282" s="6" t="str">
        <f>LOOKUP(A282,'Auxiliar 1'!$B$7:$B$35,'Auxiliar 1'!$C$7:$C$35)</f>
        <v>Depreciación Etiquetadora</v>
      </c>
      <c r="C282" s="330">
        <f t="shared" ref="C282:G282" si="71">C266*$H282/$H266</f>
        <v>0</v>
      </c>
      <c r="D282" s="330">
        <f t="shared" si="71"/>
        <v>0</v>
      </c>
      <c r="E282" s="330">
        <f t="shared" si="71"/>
        <v>0</v>
      </c>
      <c r="F282" s="330">
        <f t="shared" si="71"/>
        <v>23.975999999999999</v>
      </c>
      <c r="G282" s="330">
        <f t="shared" si="71"/>
        <v>0</v>
      </c>
      <c r="H282" s="332">
        <f>VLOOKUP(A282,'Proceso I'!$A$41:$O$69,12,0)</f>
        <v>23.975999999999999</v>
      </c>
    </row>
    <row r="283" spans="1:8" ht="15" customHeight="1" x14ac:dyDescent="0.2">
      <c r="A283" s="78" t="str">
        <f>LOOKUP(A267,'Auxiliar 1'!$T$7:$T$35,'Auxiliar 1'!$B$7:$B$35)</f>
        <v>EC09</v>
      </c>
      <c r="B283" s="6" t="str">
        <f>LOOKUP(A283,'Auxiliar 1'!$B$7:$B$35,'Auxiliar 1'!$C$7:$C$35)</f>
        <v>Depreciación de molde</v>
      </c>
      <c r="C283" s="330">
        <f t="shared" ref="C283:G283" si="72">C267*$H283/$H267</f>
        <v>0</v>
      </c>
      <c r="D283" s="330">
        <f t="shared" si="72"/>
        <v>150</v>
      </c>
      <c r="E283" s="330">
        <f t="shared" si="72"/>
        <v>0</v>
      </c>
      <c r="F283" s="330">
        <f t="shared" si="72"/>
        <v>0</v>
      </c>
      <c r="G283" s="330">
        <f t="shared" si="72"/>
        <v>0</v>
      </c>
      <c r="H283" s="332">
        <f>VLOOKUP(A283,'Proceso I'!$A$41:$O$69,12,0)</f>
        <v>150</v>
      </c>
    </row>
    <row r="284" spans="1:8" ht="15" customHeight="1" x14ac:dyDescent="0.2">
      <c r="A284" s="78" t="str">
        <f>LOOKUP(A268,'Auxiliar 1'!$T$7:$T$35,'Auxiliar 1'!$B$7:$B$35)</f>
        <v>EC10</v>
      </c>
      <c r="B284" s="6" t="str">
        <f>LOOKUP(A284,'Auxiliar 1'!$B$7:$B$35,'Auxiliar 1'!$C$7:$C$35)</f>
        <v>Energía Eléctrica</v>
      </c>
      <c r="C284" s="330">
        <f t="shared" ref="C284:G284" si="73">C268*$H284/$H268</f>
        <v>26.18181818181818</v>
      </c>
      <c r="D284" s="330">
        <f t="shared" si="73"/>
        <v>26.18181818181818</v>
      </c>
      <c r="E284" s="330">
        <f t="shared" si="73"/>
        <v>43.63636363636364</v>
      </c>
      <c r="F284" s="330">
        <f t="shared" si="73"/>
        <v>61.090909090909101</v>
      </c>
      <c r="G284" s="330">
        <f t="shared" si="73"/>
        <v>61.090909090909101</v>
      </c>
      <c r="H284" s="332">
        <f>VLOOKUP(A284,'Proceso I'!$A$41:$O$69,12,0)</f>
        <v>218.18181818181819</v>
      </c>
    </row>
    <row r="285" spans="1:8" ht="15" customHeight="1" x14ac:dyDescent="0.2">
      <c r="A285" s="78" t="str">
        <f>LOOKUP(A269,'Auxiliar 1'!$T$7:$T$35,'Auxiliar 1'!$B$7:$B$35)</f>
        <v>EC11</v>
      </c>
      <c r="B285" s="6" t="str">
        <f>LOOKUP(A285,'Auxiliar 1'!$B$7:$B$35,'Auxiliar 1'!$C$7:$C$35)</f>
        <v>Agua</v>
      </c>
      <c r="C285" s="330">
        <f t="shared" ref="C285:G285" si="74">C269*$H285/$H269</f>
        <v>3.8571428571428563</v>
      </c>
      <c r="D285" s="330">
        <f t="shared" si="74"/>
        <v>3.8571428571428563</v>
      </c>
      <c r="E285" s="330">
        <f t="shared" si="74"/>
        <v>6.4285714285714279</v>
      </c>
      <c r="F285" s="330">
        <f t="shared" si="74"/>
        <v>9</v>
      </c>
      <c r="G285" s="330">
        <f t="shared" si="74"/>
        <v>9</v>
      </c>
      <c r="H285" s="332">
        <f>VLOOKUP(A285,'Proceso I'!$A$41:$O$69,12,0)</f>
        <v>32.142857142857139</v>
      </c>
    </row>
    <row r="286" spans="1:8" ht="15" customHeight="1" x14ac:dyDescent="0.2">
      <c r="A286" s="78" t="str">
        <f>LOOKUP(A270,'Auxiliar 1'!$T$7:$T$35,'Auxiliar 1'!$B$7:$B$35)</f>
        <v>EC19</v>
      </c>
      <c r="B286" s="6" t="str">
        <f>LOOKUP(A286,'Auxiliar 1'!$B$7:$B$35,'Auxiliar 1'!$C$7:$C$35)</f>
        <v>Bolsas (empaque para confección)</v>
      </c>
      <c r="C286" s="330">
        <f t="shared" ref="C286:G286" si="75">C270*$H286/$H270</f>
        <v>0</v>
      </c>
      <c r="D286" s="330">
        <f t="shared" si="75"/>
        <v>0</v>
      </c>
      <c r="E286" s="330">
        <f t="shared" si="75"/>
        <v>0</v>
      </c>
      <c r="F286" s="330">
        <f t="shared" si="75"/>
        <v>0</v>
      </c>
      <c r="G286" s="330">
        <f t="shared" si="75"/>
        <v>40</v>
      </c>
      <c r="H286" s="332">
        <f>VLOOKUP(A286,'Proceso I'!$A$41:$O$69,12,0)</f>
        <v>40</v>
      </c>
    </row>
    <row r="287" spans="1:8" ht="15" customHeight="1" x14ac:dyDescent="0.2">
      <c r="A287" s="78" t="str">
        <f>LOOKUP(A271,'Auxiliar 1'!$T$7:$T$35,'Auxiliar 1'!$B$7:$B$35)</f>
        <v>EC20</v>
      </c>
      <c r="B287" s="6" t="str">
        <f>LOOKUP(A287,'Auxiliar 1'!$B$7:$B$35,'Auxiliar 1'!$C$7:$C$35)</f>
        <v>Bolsas (empaque para bordado)</v>
      </c>
      <c r="C287" s="330">
        <f t="shared" ref="C287:G287" si="76">C271*$H287/$H271</f>
        <v>0</v>
      </c>
      <c r="D287" s="330">
        <f t="shared" si="76"/>
        <v>0</v>
      </c>
      <c r="E287" s="330">
        <f t="shared" si="76"/>
        <v>0</v>
      </c>
      <c r="F287" s="330">
        <f t="shared" si="76"/>
        <v>0</v>
      </c>
      <c r="G287" s="330">
        <f t="shared" si="76"/>
        <v>40</v>
      </c>
      <c r="H287" s="332">
        <f>VLOOKUP(A287,'Proceso I'!$A$41:$O$69,12,0)</f>
        <v>40</v>
      </c>
    </row>
    <row r="288" spans="1:8" ht="15" customHeight="1" x14ac:dyDescent="0.2">
      <c r="A288" s="78" t="str">
        <f>LOOKUP(A272,'Auxiliar 1'!$T$7:$T$35,'Auxiliar 1'!$B$7:$B$35)</f>
        <v>EC25</v>
      </c>
      <c r="B288" s="6" t="str">
        <f>LOOKUP(A288,'Auxiliar 1'!$B$7:$B$35,'Auxiliar 1'!$C$7:$C$35)</f>
        <v>Alquiler del Local</v>
      </c>
      <c r="C288" s="330">
        <f t="shared" ref="C288:G288" si="77">C272*$H288/$H272</f>
        <v>36.299999999999997</v>
      </c>
      <c r="D288" s="330">
        <f t="shared" si="77"/>
        <v>36.299999999999997</v>
      </c>
      <c r="E288" s="330">
        <f t="shared" si="77"/>
        <v>36.299999999999997</v>
      </c>
      <c r="F288" s="330">
        <f t="shared" si="77"/>
        <v>36.299999999999997</v>
      </c>
      <c r="G288" s="330">
        <f t="shared" si="77"/>
        <v>36.299999999999997</v>
      </c>
      <c r="H288" s="332">
        <f>VLOOKUP(A288,'Proceso I'!$A$41:$O$69,12,0)</f>
        <v>181.5</v>
      </c>
    </row>
    <row r="289" spans="1:8" ht="15" customHeight="1" x14ac:dyDescent="0.2">
      <c r="A289" s="78" t="str">
        <f>LOOKUP(A273,'Auxiliar 1'!$T$7:$T$35,'Auxiliar 1'!$B$7:$B$35)</f>
        <v>EC27</v>
      </c>
      <c r="B289" s="6" t="str">
        <f>LOOKUP(A289,'Auxiliar 1'!$B$7:$B$35,'Auxiliar 1'!$C$7:$C$35)</f>
        <v>Mantenimiento</v>
      </c>
      <c r="C289" s="330">
        <f t="shared" ref="C289:G289" si="78">C273*$H289/$H273</f>
        <v>0</v>
      </c>
      <c r="D289" s="330">
        <f t="shared" si="78"/>
        <v>0</v>
      </c>
      <c r="E289" s="330">
        <f t="shared" si="78"/>
        <v>90</v>
      </c>
      <c r="F289" s="330">
        <f t="shared" si="78"/>
        <v>45</v>
      </c>
      <c r="G289" s="330">
        <f t="shared" si="78"/>
        <v>0</v>
      </c>
      <c r="H289" s="332">
        <f>VLOOKUP(A289,'Proceso I'!$A$41:$O$69,12,0)</f>
        <v>135</v>
      </c>
    </row>
    <row r="290" spans="1:8" ht="15" customHeight="1" x14ac:dyDescent="0.2">
      <c r="A290" s="32"/>
      <c r="B290" s="373" t="s">
        <v>536</v>
      </c>
      <c r="C290" s="372">
        <f>SUM(C279:C289)</f>
        <v>67.351461038961034</v>
      </c>
      <c r="D290" s="372">
        <f t="shared" ref="D290:H290" si="79">SUM(D279:D289)</f>
        <v>223.35146103896102</v>
      </c>
      <c r="E290" s="372">
        <f t="shared" si="79"/>
        <v>328.08243506493505</v>
      </c>
      <c r="F290" s="372">
        <f t="shared" si="79"/>
        <v>177.72940909090909</v>
      </c>
      <c r="G290" s="372">
        <f t="shared" si="79"/>
        <v>188.75340909090909</v>
      </c>
      <c r="H290" s="372">
        <f t="shared" si="79"/>
        <v>985.26817532467533</v>
      </c>
    </row>
    <row r="291" spans="1:8" ht="15" customHeight="1" x14ac:dyDescent="0.2">
      <c r="A291" s="32"/>
      <c r="B291" s="32"/>
      <c r="C291" s="32"/>
      <c r="D291" s="32"/>
      <c r="E291" s="32"/>
      <c r="F291" s="32"/>
      <c r="G291" s="32"/>
      <c r="H291" s="32"/>
    </row>
    <row r="292" spans="1:8" ht="15" customHeight="1" x14ac:dyDescent="0.2">
      <c r="A292" s="32" t="s">
        <v>148</v>
      </c>
      <c r="B292" s="32" t="s">
        <v>531</v>
      </c>
      <c r="C292" s="32"/>
      <c r="D292" s="32"/>
      <c r="E292" s="32"/>
      <c r="F292" s="32"/>
      <c r="G292" s="32"/>
      <c r="H292" s="32"/>
    </row>
    <row r="293" spans="1:8" ht="15" customHeight="1" x14ac:dyDescent="0.2">
      <c r="A293" s="32"/>
      <c r="B293" s="32"/>
      <c r="C293" s="32"/>
      <c r="D293" s="32"/>
      <c r="E293" s="32"/>
      <c r="F293" s="32"/>
      <c r="G293" s="32"/>
      <c r="H293" s="32"/>
    </row>
    <row r="294" spans="1:8" ht="15" customHeight="1" x14ac:dyDescent="0.2">
      <c r="A294" s="32"/>
      <c r="B294" s="32"/>
      <c r="C294" s="32"/>
      <c r="D294" s="32"/>
      <c r="E294" s="32"/>
      <c r="F294" s="32"/>
      <c r="G294" s="32"/>
      <c r="H294" s="32"/>
    </row>
    <row r="295" spans="1:8" ht="15" customHeight="1" x14ac:dyDescent="0.2">
      <c r="A295" s="45"/>
      <c r="C295" s="312" t="s">
        <v>519</v>
      </c>
      <c r="D295" s="32"/>
      <c r="E295" s="32"/>
      <c r="F295" s="32"/>
      <c r="G295" s="32"/>
      <c r="H295" s="32"/>
    </row>
    <row r="296" spans="1:8" ht="15" customHeight="1" x14ac:dyDescent="0.2">
      <c r="A296" s="45"/>
      <c r="C296" s="317" t="s">
        <v>78</v>
      </c>
      <c r="D296" s="525" t="s">
        <v>96</v>
      </c>
      <c r="E296" s="32"/>
      <c r="F296" s="32"/>
      <c r="G296" s="32"/>
      <c r="H296" s="32"/>
    </row>
    <row r="297" spans="1:8" ht="25.5" x14ac:dyDescent="0.2">
      <c r="A297" s="523" t="s">
        <v>34</v>
      </c>
      <c r="B297" s="524"/>
      <c r="C297" s="313" t="str">
        <f>HLOOKUP(C296,'Centro de actividades'!$E$50:$AM$51,2,0)</f>
        <v>Limpiar con el piqueteador cada prenda</v>
      </c>
      <c r="D297" s="526"/>
      <c r="E297" s="32"/>
      <c r="F297" s="32"/>
      <c r="G297" s="32"/>
      <c r="H297" s="32"/>
    </row>
    <row r="298" spans="1:8" ht="15" customHeight="1" x14ac:dyDescent="0.2">
      <c r="A298" s="79" t="s">
        <v>67</v>
      </c>
      <c r="B298" s="329" t="str">
        <f>LOOKUP(A298,'Auxiliar 1'!$T$7:$T$35,'Auxiliar 1'!$U$7:$U$35)</f>
        <v>% de uso</v>
      </c>
      <c r="C298" s="27">
        <f>D298</f>
        <v>0.625</v>
      </c>
      <c r="D298" s="27">
        <f>VLOOKUP(A298,'Proceso I'!$A$6:$O$34,13,0)</f>
        <v>0.625</v>
      </c>
      <c r="E298" s="32"/>
      <c r="F298" s="32"/>
      <c r="G298" s="32"/>
      <c r="H298" s="32"/>
    </row>
    <row r="299" spans="1:8" ht="12.75" x14ac:dyDescent="0.2">
      <c r="A299" s="79" t="s">
        <v>57</v>
      </c>
      <c r="B299" s="329" t="str">
        <f>LOOKUP(A299,'Auxiliar 1'!$T$7:$T$35,'Auxiliar 1'!$U$7:$U$35)</f>
        <v>Proporción de Consumo de Kwh</v>
      </c>
      <c r="C299" s="27">
        <f t="shared" ref="C299:C302" si="80">D299</f>
        <v>10</v>
      </c>
      <c r="D299" s="27">
        <f>VLOOKUP(A299,'Proceso I'!$A$6:$O$34,13,0)</f>
        <v>10</v>
      </c>
      <c r="E299" s="32"/>
      <c r="F299" s="32"/>
      <c r="G299" s="32"/>
      <c r="H299" s="32"/>
    </row>
    <row r="300" spans="1:8" ht="15" customHeight="1" x14ac:dyDescent="0.2">
      <c r="A300" s="79" t="s">
        <v>58</v>
      </c>
      <c r="B300" s="329" t="str">
        <f>LOOKUP(A300,'Auxiliar 1'!$T$7:$T$35,'Auxiliar 1'!$U$7:$U$35)</f>
        <v>N° de personas en el C.A.</v>
      </c>
      <c r="C300" s="27">
        <f t="shared" si="80"/>
        <v>1</v>
      </c>
      <c r="D300" s="27">
        <f>VLOOKUP(A300,'Proceso I'!$A$6:$O$34,13,0)</f>
        <v>1</v>
      </c>
      <c r="E300" s="32"/>
      <c r="F300" s="32"/>
      <c r="G300" s="32"/>
      <c r="H300" s="32"/>
    </row>
    <row r="301" spans="1:8" ht="15" customHeight="1" x14ac:dyDescent="0.2">
      <c r="A301" s="79" t="s">
        <v>93</v>
      </c>
      <c r="B301" s="329" t="str">
        <f>LOOKUP(A301,'Auxiliar 1'!$T$7:$T$35,'Auxiliar 1'!$U$7:$U$35)</f>
        <v>% Asignación</v>
      </c>
      <c r="C301" s="27">
        <f t="shared" si="80"/>
        <v>1</v>
      </c>
      <c r="D301" s="27">
        <f>VLOOKUP(A301,'Proceso I'!$A$6:$O$34,13,0)</f>
        <v>1</v>
      </c>
      <c r="E301" s="32"/>
      <c r="F301" s="32"/>
      <c r="G301" s="32"/>
      <c r="H301" s="32"/>
    </row>
    <row r="302" spans="1:8" ht="15" customHeight="1" x14ac:dyDescent="0.2">
      <c r="A302" s="79" t="s">
        <v>80</v>
      </c>
      <c r="B302" s="329" t="str">
        <f>LOOKUP(A302,'Auxiliar 1'!$T$7:$T$35,'Auxiliar 1'!$U$7:$U$35)</f>
        <v>% de Importancia</v>
      </c>
      <c r="C302" s="27">
        <f t="shared" si="80"/>
        <v>0.11</v>
      </c>
      <c r="D302" s="27">
        <f>VLOOKUP(A302,'Proceso I'!$A$6:$O$34,13,0)</f>
        <v>0.11</v>
      </c>
      <c r="E302" s="32"/>
      <c r="F302" s="32"/>
      <c r="G302" s="32"/>
      <c r="H302" s="32"/>
    </row>
    <row r="303" spans="1:8" ht="15" customHeight="1" x14ac:dyDescent="0.2">
      <c r="A303" s="32"/>
      <c r="B303" s="32"/>
      <c r="C303" s="32"/>
      <c r="D303" s="32"/>
      <c r="E303" s="32"/>
      <c r="F303" s="32"/>
      <c r="G303" s="32"/>
      <c r="H303" s="32"/>
    </row>
    <row r="304" spans="1:8" ht="15" customHeight="1" x14ac:dyDescent="0.2">
      <c r="A304" s="32"/>
      <c r="B304" s="32"/>
      <c r="C304" s="32"/>
      <c r="D304" s="32"/>
      <c r="E304" s="32"/>
      <c r="F304" s="32"/>
      <c r="G304" s="32"/>
      <c r="H304" s="32"/>
    </row>
    <row r="305" spans="1:8" ht="15" customHeight="1" x14ac:dyDescent="0.2">
      <c r="A305" s="45"/>
      <c r="C305" s="312" t="s">
        <v>519</v>
      </c>
      <c r="D305" s="32"/>
      <c r="E305" s="32"/>
      <c r="F305" s="32"/>
      <c r="G305" s="32"/>
      <c r="H305" s="32"/>
    </row>
    <row r="306" spans="1:8" ht="15" customHeight="1" x14ac:dyDescent="0.2">
      <c r="A306" s="45"/>
      <c r="C306" s="317" t="s">
        <v>78</v>
      </c>
      <c r="D306" s="525" t="s">
        <v>96</v>
      </c>
      <c r="E306" s="32"/>
      <c r="F306" s="32"/>
      <c r="G306" s="32"/>
      <c r="H306" s="32"/>
    </row>
    <row r="307" spans="1:8" ht="25.5" x14ac:dyDescent="0.2">
      <c r="A307" s="523" t="s">
        <v>55</v>
      </c>
      <c r="B307" s="524"/>
      <c r="C307" s="313" t="str">
        <f>HLOOKUP(C306,'Centro de actividades'!$E$50:$AM$51,2,0)</f>
        <v>Limpiar con el piqueteador cada prenda</v>
      </c>
      <c r="D307" s="526"/>
      <c r="E307" s="32"/>
      <c r="F307" s="32"/>
      <c r="G307" s="32"/>
      <c r="H307" s="32"/>
    </row>
    <row r="308" spans="1:8" ht="15" customHeight="1" x14ac:dyDescent="0.2">
      <c r="A308" s="78" t="str">
        <f>LOOKUP(A298,'Auxiliar 1'!$T$7:$T$35,'Auxiliar 1'!$B$7:$B$35)</f>
        <v>EC05</v>
      </c>
      <c r="B308" s="6" t="str">
        <f>LOOKUP(A308,'Auxiliar 1'!$B$7:$B$35,'Auxiliar 1'!$C$7:$C$35)</f>
        <v>Depreciación Mesa para Corte</v>
      </c>
      <c r="C308" s="332">
        <f>D308</f>
        <v>21.09375</v>
      </c>
      <c r="D308" s="332">
        <f>VLOOKUP(A308,'Proceso I'!$A$41:$O$69,13,0)</f>
        <v>21.09375</v>
      </c>
      <c r="E308" s="32"/>
      <c r="F308" s="32"/>
      <c r="G308" s="32"/>
      <c r="H308" s="32"/>
    </row>
    <row r="309" spans="1:8" ht="12.75" x14ac:dyDescent="0.2">
      <c r="A309" s="78" t="str">
        <f>LOOKUP(A299,'Auxiliar 1'!$T$7:$T$35,'Auxiliar 1'!$B$7:$B$35)</f>
        <v>EC10</v>
      </c>
      <c r="B309" s="6" t="str">
        <f>LOOKUP(A309,'Auxiliar 1'!$B$7:$B$35,'Auxiliar 1'!$C$7:$C$35)</f>
        <v>Energía Eléctrica</v>
      </c>
      <c r="C309" s="332">
        <f t="shared" ref="C309:C312" si="81">D309</f>
        <v>43.63636363636364</v>
      </c>
      <c r="D309" s="332">
        <f>VLOOKUP(A309,'Proceso I'!$A$41:$O$69,13,0)</f>
        <v>43.63636363636364</v>
      </c>
      <c r="E309" s="32"/>
      <c r="F309" s="32"/>
      <c r="G309" s="32"/>
      <c r="H309" s="32"/>
    </row>
    <row r="310" spans="1:8" ht="15" customHeight="1" x14ac:dyDescent="0.2">
      <c r="A310" s="78" t="str">
        <f>LOOKUP(A300,'Auxiliar 1'!$T$7:$T$35,'Auxiliar 1'!$B$7:$B$35)</f>
        <v>EC11</v>
      </c>
      <c r="B310" s="6" t="str">
        <f>LOOKUP(A310,'Auxiliar 1'!$B$7:$B$35,'Auxiliar 1'!$C$7:$C$35)</f>
        <v>Agua</v>
      </c>
      <c r="C310" s="332">
        <f t="shared" si="81"/>
        <v>32.142857142857139</v>
      </c>
      <c r="D310" s="332">
        <f>VLOOKUP(A310,'Proceso I'!$A$41:$O$69,13,0)</f>
        <v>32.142857142857139</v>
      </c>
      <c r="E310" s="32"/>
      <c r="F310" s="32"/>
      <c r="G310" s="32"/>
      <c r="H310" s="32"/>
    </row>
    <row r="311" spans="1:8" ht="15" customHeight="1" x14ac:dyDescent="0.2">
      <c r="A311" s="78" t="str">
        <f>LOOKUP(A301,'Auxiliar 1'!$T$7:$T$35,'Auxiliar 1'!$B$7:$B$35)</f>
        <v>EC24</v>
      </c>
      <c r="B311" s="6" t="str">
        <f>LOOKUP(A311,'Auxiliar 1'!$B$7:$B$35,'Auxiliar 1'!$C$7:$C$35)</f>
        <v>Piqueteador</v>
      </c>
      <c r="C311" s="332">
        <f t="shared" si="81"/>
        <v>8</v>
      </c>
      <c r="D311" s="332">
        <f>VLOOKUP(A311,'Proceso I'!$A$41:$O$69,13,0)</f>
        <v>8</v>
      </c>
      <c r="E311" s="32"/>
      <c r="F311" s="32"/>
      <c r="G311" s="32"/>
      <c r="H311" s="32"/>
    </row>
    <row r="312" spans="1:8" ht="15" customHeight="1" x14ac:dyDescent="0.2">
      <c r="A312" s="78" t="str">
        <f>LOOKUP(A302,'Auxiliar 1'!$T$7:$T$35,'Auxiliar 1'!$B$7:$B$35)</f>
        <v>EC25</v>
      </c>
      <c r="B312" s="6" t="str">
        <f>LOOKUP(A312,'Auxiliar 1'!$B$7:$B$35,'Auxiliar 1'!$C$7:$C$35)</f>
        <v>Alquiler del Local</v>
      </c>
      <c r="C312" s="332">
        <f t="shared" si="81"/>
        <v>181.5</v>
      </c>
      <c r="D312" s="332">
        <f>VLOOKUP(A312,'Proceso I'!$A$41:$O$69,13,0)</f>
        <v>181.5</v>
      </c>
      <c r="E312" s="32"/>
      <c r="F312" s="32"/>
      <c r="G312" s="32"/>
      <c r="H312" s="32"/>
    </row>
    <row r="313" spans="1:8" ht="15" customHeight="1" x14ac:dyDescent="0.2">
      <c r="A313" s="32"/>
      <c r="B313" s="373" t="s">
        <v>536</v>
      </c>
      <c r="C313" s="372">
        <f>SUM(C308:C312)</f>
        <v>286.37297077922079</v>
      </c>
      <c r="D313" s="372">
        <f>SUM(D308:D312)</f>
        <v>286.37297077922079</v>
      </c>
      <c r="E313" s="32"/>
      <c r="F313" s="32"/>
      <c r="G313" s="32"/>
      <c r="H313" s="32"/>
    </row>
    <row r="314" spans="1:8" ht="15" customHeight="1" x14ac:dyDescent="0.2">
      <c r="A314" s="32"/>
      <c r="B314" s="32"/>
      <c r="C314" s="32"/>
      <c r="D314" s="32"/>
      <c r="E314" s="32"/>
      <c r="F314" s="32"/>
      <c r="G314" s="32"/>
      <c r="H314" s="32"/>
    </row>
    <row r="315" spans="1:8" ht="15" customHeight="1" x14ac:dyDescent="0.2">
      <c r="A315" s="32" t="s">
        <v>151</v>
      </c>
      <c r="B315" s="32" t="s">
        <v>532</v>
      </c>
      <c r="C315" s="32"/>
      <c r="D315" s="32"/>
      <c r="E315" s="32"/>
      <c r="F315" s="32"/>
      <c r="G315" s="32"/>
      <c r="H315" s="32"/>
    </row>
    <row r="316" spans="1:8" ht="15" customHeight="1" x14ac:dyDescent="0.2">
      <c r="A316" s="32"/>
      <c r="B316" s="32"/>
      <c r="C316" s="32"/>
      <c r="D316" s="32"/>
      <c r="E316" s="32"/>
      <c r="F316" s="32"/>
      <c r="G316" s="32"/>
      <c r="H316" s="32"/>
    </row>
    <row r="317" spans="1:8" ht="15" customHeight="1" x14ac:dyDescent="0.2">
      <c r="F317" s="32"/>
      <c r="G317" s="32"/>
      <c r="H317" s="32"/>
    </row>
    <row r="318" spans="1:8" ht="15" customHeight="1" x14ac:dyDescent="0.2">
      <c r="A318" s="45"/>
      <c r="C318" s="322" t="s">
        <v>151</v>
      </c>
      <c r="D318" s="323"/>
      <c r="E318" s="323"/>
      <c r="F318" s="328"/>
      <c r="G318" s="32"/>
      <c r="H318" s="32"/>
    </row>
    <row r="319" spans="1:8" ht="15" customHeight="1" x14ac:dyDescent="0.2">
      <c r="A319" s="45"/>
      <c r="C319" s="317" t="s">
        <v>79</v>
      </c>
      <c r="D319" s="317" t="s">
        <v>74</v>
      </c>
      <c r="E319" s="317" t="s">
        <v>158</v>
      </c>
      <c r="F319" s="317" t="s">
        <v>159</v>
      </c>
      <c r="G319" s="525" t="s">
        <v>96</v>
      </c>
      <c r="H319" s="32"/>
    </row>
    <row r="320" spans="1:8" ht="25.5" x14ac:dyDescent="0.2">
      <c r="A320" s="523" t="s">
        <v>34</v>
      </c>
      <c r="B320" s="524"/>
      <c r="C320" s="313" t="str">
        <f>HLOOKUP(C319,'Centro de actividades'!$E$50:$AM$51,2,0)</f>
        <v>Desetiquetar cada parte de las prendas</v>
      </c>
      <c r="D320" s="313" t="str">
        <f>HLOOKUP(D319,'Centro de actividades'!$E$50:$AM$51,2,0)</f>
        <v>Doblar la prenda</v>
      </c>
      <c r="E320" s="313" t="str">
        <f>HLOOKUP(E319,'Centro de actividades'!$E$50:$AM$51,2,0)</f>
        <v>Etiquetar con nombre del cliente cada prenda</v>
      </c>
      <c r="F320" s="313" t="str">
        <f>HLOOKUP(F319,'Centro de actividades'!$E$50:$AM$51,2,0)</f>
        <v>Embolsar para envío final</v>
      </c>
      <c r="G320" s="526"/>
      <c r="H320" s="32"/>
    </row>
    <row r="321" spans="1:8" ht="15" customHeight="1" x14ac:dyDescent="0.2">
      <c r="A321" s="79" t="s">
        <v>67</v>
      </c>
      <c r="B321" s="329" t="str">
        <f>LOOKUP(A321,'Auxiliar 1'!$T$7:$T$35,'Auxiliar 1'!$U$7:$U$35)</f>
        <v>% de uso</v>
      </c>
      <c r="C321" s="334">
        <f>G321*2/6</f>
        <v>4.1666666666666664E-2</v>
      </c>
      <c r="D321" s="334">
        <f>G321/6</f>
        <v>2.0833333333333332E-2</v>
      </c>
      <c r="E321" s="334">
        <f>G321/3</f>
        <v>4.1666666666666664E-2</v>
      </c>
      <c r="F321" s="334">
        <f>G321-E321-C321-D321</f>
        <v>2.0833333333333346E-2</v>
      </c>
      <c r="G321" s="338">
        <f>VLOOKUP(A321,'Proceso I'!$A$6:$O$34,14,0)</f>
        <v>0.125</v>
      </c>
      <c r="H321" s="32"/>
    </row>
    <row r="322" spans="1:8" ht="12.75" x14ac:dyDescent="0.2">
      <c r="A322" s="79" t="s">
        <v>69</v>
      </c>
      <c r="B322" s="329" t="str">
        <f>LOOKUP(A322,'Auxiliar 1'!$T$7:$T$35,'Auxiliar 1'!$U$7:$U$35)</f>
        <v>% de uso</v>
      </c>
      <c r="C322" s="333"/>
      <c r="D322" s="333"/>
      <c r="E322" s="333">
        <v>0.2</v>
      </c>
      <c r="F322" s="333"/>
      <c r="G322" s="339">
        <f>VLOOKUP(A322,'Proceso I'!$A$6:$O$34,14,0)</f>
        <v>0.2</v>
      </c>
      <c r="H322" s="32"/>
    </row>
    <row r="323" spans="1:8" ht="15" customHeight="1" x14ac:dyDescent="0.2">
      <c r="A323" s="79" t="s">
        <v>57</v>
      </c>
      <c r="B323" s="329" t="str">
        <f>LOOKUP(A323,'Auxiliar 1'!$T$7:$T$35,'Auxiliar 1'!$U$7:$U$35)</f>
        <v>Proporción de Consumo de Kwh</v>
      </c>
      <c r="C323" s="330">
        <f t="shared" ref="C323:E323" si="82">C321*$G$323/$G$321</f>
        <v>3.333333333333333</v>
      </c>
      <c r="D323" s="330">
        <f t="shared" si="82"/>
        <v>1.6666666666666665</v>
      </c>
      <c r="E323" s="330">
        <f t="shared" si="82"/>
        <v>3.333333333333333</v>
      </c>
      <c r="F323" s="330">
        <f>F321*$G$323/$G$321</f>
        <v>1.6666666666666676</v>
      </c>
      <c r="G323" s="27">
        <f>VLOOKUP(A323,'Proceso I'!$A$6:$O$34,14,0)</f>
        <v>10</v>
      </c>
      <c r="H323" s="32"/>
    </row>
    <row r="324" spans="1:8" ht="15" customHeight="1" x14ac:dyDescent="0.2">
      <c r="A324" s="79" t="s">
        <v>58</v>
      </c>
      <c r="B324" s="329" t="str">
        <f>LOOKUP(A324,'Auxiliar 1'!$T$7:$T$35,'Auxiliar 1'!$U$7:$U$35)</f>
        <v>N° de personas en el C.A.</v>
      </c>
      <c r="C324" s="27">
        <v>0.25</v>
      </c>
      <c r="D324" s="27">
        <v>0.25</v>
      </c>
      <c r="E324" s="27">
        <v>0.25</v>
      </c>
      <c r="F324" s="27">
        <v>0.25</v>
      </c>
      <c r="G324" s="27">
        <f>VLOOKUP(A324,'Proceso I'!$A$6:$O$34,14,0)</f>
        <v>1</v>
      </c>
      <c r="H324" s="32"/>
    </row>
    <row r="325" spans="1:8" ht="15" customHeight="1" x14ac:dyDescent="0.2">
      <c r="A325" s="79" t="s">
        <v>62</v>
      </c>
      <c r="B325" s="329" t="str">
        <f>LOOKUP(A325,'Auxiliar 1'!$T$7:$T$35,'Auxiliar 1'!$U$7:$U$35)</f>
        <v>% de uso</v>
      </c>
      <c r="C325" s="333"/>
      <c r="D325" s="333"/>
      <c r="E325" s="333"/>
      <c r="F325" s="333">
        <v>1</v>
      </c>
      <c r="G325" s="333">
        <f>VLOOKUP(A325,'Proceso I'!$A$6:$O$34,14,0)</f>
        <v>1</v>
      </c>
      <c r="H325" s="32"/>
    </row>
    <row r="326" spans="1:8" ht="15" customHeight="1" x14ac:dyDescent="0.2">
      <c r="A326" s="79" t="s">
        <v>80</v>
      </c>
      <c r="B326" s="329" t="str">
        <f>LOOKUP(A326,'Auxiliar 1'!$T$7:$T$35,'Auxiliar 1'!$U$7:$U$35)</f>
        <v>% de Importancia</v>
      </c>
      <c r="C326" s="338">
        <f>$G$326/4</f>
        <v>2.75E-2</v>
      </c>
      <c r="D326" s="338">
        <f t="shared" ref="D326:F326" si="83">$G$326/4</f>
        <v>2.75E-2</v>
      </c>
      <c r="E326" s="338">
        <f t="shared" si="83"/>
        <v>2.75E-2</v>
      </c>
      <c r="F326" s="338">
        <f t="shared" si="83"/>
        <v>2.75E-2</v>
      </c>
      <c r="G326" s="333">
        <f>VLOOKUP(A326,'Proceso I'!$A$6:$O$34,14,0)</f>
        <v>0.11</v>
      </c>
      <c r="H326" s="32"/>
    </row>
    <row r="327" spans="1:8" ht="15" customHeight="1" x14ac:dyDescent="0.2">
      <c r="A327" s="79" t="s">
        <v>82</v>
      </c>
      <c r="B327" s="329" t="str">
        <f>LOOKUP(A327,'Auxiliar 1'!$T$7:$T$35,'Auxiliar 1'!$U$7:$U$35)</f>
        <v>% Asignación</v>
      </c>
      <c r="C327" s="333"/>
      <c r="D327" s="333"/>
      <c r="E327" s="333">
        <v>0.55000000000000004</v>
      </c>
      <c r="F327" s="333"/>
      <c r="G327" s="333">
        <f>VLOOKUP(A327,'Proceso I'!$A$6:$O$34,14,0)</f>
        <v>0.55000000000000004</v>
      </c>
      <c r="H327" s="32"/>
    </row>
    <row r="328" spans="1:8" ht="15" customHeight="1" x14ac:dyDescent="0.2">
      <c r="A328" s="32"/>
      <c r="B328" s="32"/>
      <c r="C328" s="32"/>
      <c r="D328" s="32"/>
      <c r="E328" s="32"/>
      <c r="F328" s="32"/>
      <c r="G328" s="32"/>
      <c r="H328" s="32"/>
    </row>
    <row r="329" spans="1:8" ht="15" customHeight="1" x14ac:dyDescent="0.2">
      <c r="A329" s="32"/>
      <c r="B329" s="32"/>
      <c r="C329" s="32"/>
      <c r="D329" s="32"/>
      <c r="E329" s="32"/>
      <c r="F329" s="32"/>
      <c r="G329" s="32"/>
      <c r="H329" s="32"/>
    </row>
    <row r="330" spans="1:8" ht="15" customHeight="1" x14ac:dyDescent="0.2">
      <c r="A330" s="45"/>
      <c r="C330" s="322" t="s">
        <v>151</v>
      </c>
      <c r="D330" s="323"/>
      <c r="E330" s="323"/>
      <c r="F330" s="328"/>
      <c r="G330" s="32"/>
      <c r="H330" s="32"/>
    </row>
    <row r="331" spans="1:8" ht="15" customHeight="1" x14ac:dyDescent="0.2">
      <c r="A331" s="45"/>
      <c r="C331" s="317" t="s">
        <v>79</v>
      </c>
      <c r="D331" s="317" t="s">
        <v>74</v>
      </c>
      <c r="E331" s="317" t="s">
        <v>158</v>
      </c>
      <c r="F331" s="317" t="s">
        <v>159</v>
      </c>
      <c r="G331" s="525" t="s">
        <v>96</v>
      </c>
      <c r="H331" s="32"/>
    </row>
    <row r="332" spans="1:8" ht="25.5" x14ac:dyDescent="0.2">
      <c r="A332" s="523" t="s">
        <v>55</v>
      </c>
      <c r="B332" s="524"/>
      <c r="C332" s="313" t="str">
        <f>HLOOKUP(C331,'Centro de actividades'!$E$50:$AM$51,2,0)</f>
        <v>Desetiquetar cada parte de las prendas</v>
      </c>
      <c r="D332" s="313" t="str">
        <f>HLOOKUP(D331,'Centro de actividades'!$E$50:$AM$51,2,0)</f>
        <v>Doblar la prenda</v>
      </c>
      <c r="E332" s="313" t="str">
        <f>HLOOKUP(E331,'Centro de actividades'!$E$50:$AM$51,2,0)</f>
        <v>Etiquetar con nombre del cliente cada prenda</v>
      </c>
      <c r="F332" s="313" t="str">
        <f>HLOOKUP(F331,'Centro de actividades'!$E$50:$AM$51,2,0)</f>
        <v>Embolsar para envío final</v>
      </c>
      <c r="G332" s="526"/>
      <c r="H332" s="32"/>
    </row>
    <row r="333" spans="1:8" ht="15" customHeight="1" x14ac:dyDescent="0.2">
      <c r="A333" s="78" t="str">
        <f>LOOKUP(A321,'Auxiliar 1'!$T$7:$T$35,'Auxiliar 1'!$B$7:$B$35)</f>
        <v>EC05</v>
      </c>
      <c r="B333" s="6" t="str">
        <f>LOOKUP(A333,'Auxiliar 1'!$B$7:$B$35,'Auxiliar 1'!$C$7:$C$35)</f>
        <v>Depreciación Mesa para Corte</v>
      </c>
      <c r="C333" s="330">
        <f>C321*$G333/$G321</f>
        <v>1.40625</v>
      </c>
      <c r="D333" s="330">
        <f t="shared" ref="D333:F333" si="84">D321*$G333/$G321</f>
        <v>0.703125</v>
      </c>
      <c r="E333" s="330">
        <f t="shared" si="84"/>
        <v>1.40625</v>
      </c>
      <c r="F333" s="330">
        <f t="shared" si="84"/>
        <v>0.70312500000000044</v>
      </c>
      <c r="G333" s="332">
        <f>VLOOKUP(A333,'Proceso I'!$A$41:$O$69,14,0)</f>
        <v>4.21875</v>
      </c>
      <c r="H333" s="32"/>
    </row>
    <row r="334" spans="1:8" ht="12.75" x14ac:dyDescent="0.2">
      <c r="A334" s="78" t="str">
        <f>LOOKUP(A322,'Auxiliar 1'!$T$7:$T$35,'Auxiliar 1'!$B$7:$B$35)</f>
        <v>EC08</v>
      </c>
      <c r="B334" s="6" t="str">
        <f>LOOKUP(A334,'Auxiliar 1'!$B$7:$B$35,'Auxiliar 1'!$C$7:$C$35)</f>
        <v>Depreciación Etiquetadora</v>
      </c>
      <c r="C334" s="330">
        <f t="shared" ref="C334:F334" si="85">C322*$G334/$G322</f>
        <v>0</v>
      </c>
      <c r="D334" s="330">
        <f t="shared" si="85"/>
        <v>0</v>
      </c>
      <c r="E334" s="330">
        <f t="shared" si="85"/>
        <v>5.9939999999999998</v>
      </c>
      <c r="F334" s="330">
        <f t="shared" si="85"/>
        <v>0</v>
      </c>
      <c r="G334" s="332">
        <f>VLOOKUP(A334,'Proceso I'!$A$41:$O$69,14,0)</f>
        <v>5.9939999999999998</v>
      </c>
      <c r="H334" s="32"/>
    </row>
    <row r="335" spans="1:8" ht="15" customHeight="1" x14ac:dyDescent="0.2">
      <c r="A335" s="78" t="str">
        <f>LOOKUP(A323,'Auxiliar 1'!$T$7:$T$35,'Auxiliar 1'!$B$7:$B$35)</f>
        <v>EC10</v>
      </c>
      <c r="B335" s="6" t="str">
        <f>LOOKUP(A335,'Auxiliar 1'!$B$7:$B$35,'Auxiliar 1'!$C$7:$C$35)</f>
        <v>Energía Eléctrica</v>
      </c>
      <c r="C335" s="330">
        <f t="shared" ref="C335:F335" si="86">C323*$G335/$G323</f>
        <v>14.545454545454547</v>
      </c>
      <c r="D335" s="330">
        <f t="shared" si="86"/>
        <v>7.2727272727272734</v>
      </c>
      <c r="E335" s="330">
        <f t="shared" si="86"/>
        <v>14.545454545454547</v>
      </c>
      <c r="F335" s="330">
        <f t="shared" si="86"/>
        <v>7.2727272727272778</v>
      </c>
      <c r="G335" s="332">
        <f>VLOOKUP(A335,'Proceso I'!$A$41:$O$69,14,0)</f>
        <v>43.63636363636364</v>
      </c>
      <c r="H335" s="32"/>
    </row>
    <row r="336" spans="1:8" ht="15" customHeight="1" x14ac:dyDescent="0.2">
      <c r="A336" s="78" t="str">
        <f>LOOKUP(A324,'Auxiliar 1'!$T$7:$T$35,'Auxiliar 1'!$B$7:$B$35)</f>
        <v>EC11</v>
      </c>
      <c r="B336" s="6" t="str">
        <f>LOOKUP(A336,'Auxiliar 1'!$B$7:$B$35,'Auxiliar 1'!$C$7:$C$35)</f>
        <v>Agua</v>
      </c>
      <c r="C336" s="330">
        <f t="shared" ref="C336:F336" si="87">C324*$G336/$G324</f>
        <v>8.0357142857142847</v>
      </c>
      <c r="D336" s="330">
        <f t="shared" si="87"/>
        <v>8.0357142857142847</v>
      </c>
      <c r="E336" s="330">
        <f t="shared" si="87"/>
        <v>8.0357142857142847</v>
      </c>
      <c r="F336" s="330">
        <f t="shared" si="87"/>
        <v>8.0357142857142847</v>
      </c>
      <c r="G336" s="332">
        <f>VLOOKUP(A336,'Proceso I'!$A$41:$O$69,14,0)</f>
        <v>32.142857142857139</v>
      </c>
      <c r="H336" s="32"/>
    </row>
    <row r="337" spans="1:8" ht="15" customHeight="1" x14ac:dyDescent="0.2">
      <c r="A337" s="78" t="str">
        <f>LOOKUP(A325,'Auxiliar 1'!$T$7:$T$35,'Auxiliar 1'!$B$7:$B$35)</f>
        <v>EC18</v>
      </c>
      <c r="B337" s="6" t="str">
        <f>LOOKUP(A337,'Auxiliar 1'!$B$7:$B$35,'Auxiliar 1'!$C$7:$C$35)</f>
        <v>Bolsas(empaque por lote)</v>
      </c>
      <c r="C337" s="330">
        <f t="shared" ref="C337:F337" si="88">C325*$G337/$G325</f>
        <v>0</v>
      </c>
      <c r="D337" s="330">
        <f t="shared" si="88"/>
        <v>0</v>
      </c>
      <c r="E337" s="330">
        <f t="shared" si="88"/>
        <v>0</v>
      </c>
      <c r="F337" s="330">
        <f t="shared" si="88"/>
        <v>40</v>
      </c>
      <c r="G337" s="332">
        <f>VLOOKUP(A337,'Proceso I'!$A$41:$O$69,14,0)</f>
        <v>40</v>
      </c>
      <c r="H337" s="32"/>
    </row>
    <row r="338" spans="1:8" ht="15" customHeight="1" x14ac:dyDescent="0.2">
      <c r="A338" s="78" t="str">
        <f>LOOKUP(A326,'Auxiliar 1'!$T$7:$T$35,'Auxiliar 1'!$B$7:$B$35)</f>
        <v>EC25</v>
      </c>
      <c r="B338" s="6" t="str">
        <f>LOOKUP(A338,'Auxiliar 1'!$B$7:$B$35,'Auxiliar 1'!$C$7:$C$35)</f>
        <v>Alquiler del Local</v>
      </c>
      <c r="C338" s="330">
        <f t="shared" ref="C338:F338" si="89">C326*$G338/$G326</f>
        <v>45.375</v>
      </c>
      <c r="D338" s="330">
        <f t="shared" si="89"/>
        <v>45.375</v>
      </c>
      <c r="E338" s="330">
        <f t="shared" si="89"/>
        <v>45.375</v>
      </c>
      <c r="F338" s="330">
        <f t="shared" si="89"/>
        <v>45.375</v>
      </c>
      <c r="G338" s="332">
        <f>VLOOKUP(A338,'Proceso I'!$A$41:$O$69,14,0)</f>
        <v>181.5</v>
      </c>
      <c r="H338" s="32"/>
    </row>
    <row r="339" spans="1:8" ht="15" customHeight="1" x14ac:dyDescent="0.2">
      <c r="A339" s="78" t="str">
        <f>LOOKUP(A327,'Auxiliar 1'!$T$7:$T$35,'Auxiliar 1'!$B$7:$B$35)</f>
        <v>EC27</v>
      </c>
      <c r="B339" s="6" t="str">
        <f>LOOKUP(A339,'Auxiliar 1'!$B$7:$B$35,'Auxiliar 1'!$C$7:$C$35)</f>
        <v>Mantenimiento</v>
      </c>
      <c r="C339" s="330">
        <f t="shared" ref="C339:F339" si="90">C327*$G339/$G327</f>
        <v>0</v>
      </c>
      <c r="D339" s="330">
        <f t="shared" si="90"/>
        <v>0</v>
      </c>
      <c r="E339" s="330">
        <f t="shared" si="90"/>
        <v>165</v>
      </c>
      <c r="F339" s="330">
        <f t="shared" si="90"/>
        <v>0</v>
      </c>
      <c r="G339" s="332">
        <f>VLOOKUP(A339,'Proceso I'!$A$41:$O$69,14,0)</f>
        <v>165</v>
      </c>
      <c r="H339" s="32"/>
    </row>
    <row r="340" spans="1:8" ht="15" customHeight="1" x14ac:dyDescent="0.2">
      <c r="B340" s="373" t="s">
        <v>536</v>
      </c>
      <c r="C340" s="372">
        <f>SUM(C333:C339)</f>
        <v>69.362418831168839</v>
      </c>
      <c r="D340" s="372">
        <f t="shared" ref="D340:G340" si="91">SUM(D333:D339)</f>
        <v>61.386566558441558</v>
      </c>
      <c r="E340" s="372">
        <f t="shared" si="91"/>
        <v>240.35641883116884</v>
      </c>
      <c r="F340" s="372">
        <f t="shared" si="91"/>
        <v>101.38656655844156</v>
      </c>
      <c r="G340" s="372">
        <f t="shared" si="91"/>
        <v>472.49197077922076</v>
      </c>
    </row>
    <row r="341" spans="1:8" ht="15" customHeight="1" x14ac:dyDescent="0.2">
      <c r="B341" s="32"/>
      <c r="C341" s="32"/>
      <c r="D341" s="32"/>
      <c r="E341" s="32"/>
    </row>
    <row r="342" spans="1:8" ht="15" customHeight="1" x14ac:dyDescent="0.2">
      <c r="A342" t="s">
        <v>518</v>
      </c>
      <c r="B342" s="32" t="s">
        <v>533</v>
      </c>
      <c r="C342" s="32"/>
      <c r="D342" s="32"/>
      <c r="E342" s="32"/>
    </row>
    <row r="343" spans="1:8" ht="15" customHeight="1" x14ac:dyDescent="0.2">
      <c r="B343" s="32"/>
      <c r="C343" s="32"/>
      <c r="D343" s="32"/>
      <c r="E343" s="32"/>
    </row>
    <row r="344" spans="1:8" ht="15" customHeight="1" x14ac:dyDescent="0.2">
      <c r="B344" s="32"/>
      <c r="C344" s="32"/>
      <c r="D344" s="32"/>
      <c r="E344" s="32"/>
    </row>
    <row r="345" spans="1:8" ht="15" customHeight="1" x14ac:dyDescent="0.2">
      <c r="A345" s="45"/>
      <c r="C345" s="305" t="s">
        <v>518</v>
      </c>
      <c r="D345" s="314"/>
      <c r="E345" s="32"/>
    </row>
    <row r="346" spans="1:8" ht="15" customHeight="1" x14ac:dyDescent="0.2">
      <c r="A346" s="45"/>
      <c r="C346" s="317" t="s">
        <v>516</v>
      </c>
      <c r="D346" s="317" t="s">
        <v>517</v>
      </c>
      <c r="E346" s="525" t="s">
        <v>96</v>
      </c>
    </row>
    <row r="347" spans="1:8" ht="15" customHeight="1" x14ac:dyDescent="0.2">
      <c r="A347" s="523" t="s">
        <v>34</v>
      </c>
      <c r="B347" s="524"/>
      <c r="C347" s="313" t="str">
        <f>HLOOKUP(C346,'Centro de actividades'!$E$50:$AM$51,2,0)</f>
        <v>Realizar el contrato</v>
      </c>
      <c r="D347" s="313" t="str">
        <f>HLOOKUP(D346,'Centro de actividades'!$E$50:$AM$51,2,0)</f>
        <v>Entregar el pedido</v>
      </c>
      <c r="E347" s="526"/>
    </row>
    <row r="348" spans="1:8" ht="15" customHeight="1" x14ac:dyDescent="0.2">
      <c r="A348" s="79" t="s">
        <v>64</v>
      </c>
      <c r="B348" s="329" t="str">
        <f>LOOKUP(A348,'Auxiliar 1'!$T$7:$T$35,'Auxiliar 1'!$U$7:$U$35)</f>
        <v>Horas diarias dedicadas por Pavel a cada C.A.</v>
      </c>
      <c r="C348" s="27">
        <v>1</v>
      </c>
      <c r="D348" s="27">
        <v>3</v>
      </c>
      <c r="E348" s="27">
        <f>VLOOKUP(A348,'Proceso I'!$A$6:$O$34,15,0)</f>
        <v>4</v>
      </c>
    </row>
    <row r="349" spans="1:8" ht="12.75" x14ac:dyDescent="0.2">
      <c r="A349" s="79" t="s">
        <v>56</v>
      </c>
      <c r="B349" s="329" t="str">
        <f>LOOKUP(A349,'Auxiliar 1'!$T$7:$T$35,'Auxiliar 1'!$U$7:$U$35)</f>
        <v>N° de personas en el C.A.</v>
      </c>
      <c r="C349" s="27">
        <v>0.5</v>
      </c>
      <c r="D349" s="27">
        <v>0.5</v>
      </c>
      <c r="E349" s="27">
        <f>VLOOKUP(A349,'Proceso I'!$A$6:$O$34,15,0)</f>
        <v>1</v>
      </c>
    </row>
    <row r="350" spans="1:8" ht="15" customHeight="1" x14ac:dyDescent="0.2">
      <c r="A350" s="79" t="s">
        <v>59</v>
      </c>
      <c r="B350" s="329" t="str">
        <f>LOOKUP(A350,'Auxiliar 1'!$T$7:$T$35,'Auxiliar 1'!$U$7:$U$35)</f>
        <v>% Asignación</v>
      </c>
      <c r="C350" s="333"/>
      <c r="D350" s="333">
        <v>1</v>
      </c>
      <c r="E350" s="333">
        <f>VLOOKUP(A350,'Proceso I'!$A$6:$O$34,15,0)</f>
        <v>1</v>
      </c>
    </row>
    <row r="351" spans="1:8" ht="15" customHeight="1" x14ac:dyDescent="0.2">
      <c r="A351" s="79" t="s">
        <v>102</v>
      </c>
      <c r="B351" s="329" t="str">
        <f>LOOKUP(A351,'Auxiliar 1'!$T$7:$T$35,'Auxiliar 1'!$U$7:$U$35)</f>
        <v>% Asignación</v>
      </c>
      <c r="C351" s="333">
        <v>1</v>
      </c>
      <c r="D351" s="333"/>
      <c r="E351" s="333">
        <f>VLOOKUP(A351,'Proceso I'!$A$6:$O$34,15,0)</f>
        <v>1</v>
      </c>
    </row>
    <row r="352" spans="1:8" ht="15" customHeight="1" x14ac:dyDescent="0.2">
      <c r="A352" s="89" t="s">
        <v>95</v>
      </c>
      <c r="B352" s="329" t="str">
        <f>LOOKUP(A352,'Auxiliar 1'!$T$7:$T$35,'Auxiliar 1'!$U$7:$U$35)</f>
        <v>% Asignación</v>
      </c>
      <c r="C352" s="333">
        <v>0.5</v>
      </c>
      <c r="D352" s="333"/>
      <c r="E352" s="333">
        <f>VLOOKUP(A352,'Proceso I'!$A$6:$O$34,15,0)</f>
        <v>0.5</v>
      </c>
    </row>
    <row r="353" spans="1:5" ht="15" customHeight="1" x14ac:dyDescent="0.2">
      <c r="B353" s="32"/>
      <c r="C353" s="32"/>
      <c r="D353" s="32"/>
      <c r="E353" s="32"/>
    </row>
    <row r="354" spans="1:5" ht="15" customHeight="1" x14ac:dyDescent="0.2">
      <c r="B354" s="32"/>
      <c r="C354" s="32"/>
      <c r="D354" s="32"/>
      <c r="E354" s="32"/>
    </row>
    <row r="355" spans="1:5" ht="15" customHeight="1" x14ac:dyDescent="0.2">
      <c r="A355" s="45"/>
      <c r="C355" s="305" t="s">
        <v>518</v>
      </c>
      <c r="D355" s="314"/>
      <c r="E355" s="32"/>
    </row>
    <row r="356" spans="1:5" ht="15" customHeight="1" x14ac:dyDescent="0.2">
      <c r="A356" s="45"/>
      <c r="C356" s="317" t="s">
        <v>516</v>
      </c>
      <c r="D356" s="317" t="s">
        <v>517</v>
      </c>
      <c r="E356" s="525" t="s">
        <v>96</v>
      </c>
    </row>
    <row r="357" spans="1:5" ht="15" customHeight="1" x14ac:dyDescent="0.2">
      <c r="A357" s="523" t="s">
        <v>55</v>
      </c>
      <c r="B357" s="524"/>
      <c r="C357" s="313" t="str">
        <f>HLOOKUP(C356,'Centro de actividades'!$E$50:$AM$51,2,0)</f>
        <v>Realizar el contrato</v>
      </c>
      <c r="D357" s="313" t="str">
        <f>HLOOKUP(D356,'Centro de actividades'!$E$50:$AM$51,2,0)</f>
        <v>Entregar el pedido</v>
      </c>
      <c r="E357" s="526"/>
    </row>
    <row r="358" spans="1:5" ht="15" customHeight="1" x14ac:dyDescent="0.2">
      <c r="A358" s="78" t="str">
        <f>LOOKUP(A348,'Auxiliar 1'!$T$7:$T$35,'Auxiliar 1'!$B$7:$B$35)</f>
        <v>EC02</v>
      </c>
      <c r="B358" s="6" t="str">
        <f>LOOKUP(A358,'Auxiliar 1'!$B$7:$B$35,'Auxiliar 1'!$C$7:$C$35)</f>
        <v>Sueldo de Pavel (Sin considerar CA Diseño)</v>
      </c>
      <c r="C358" s="330">
        <f>C348*$E358/$E348</f>
        <v>450</v>
      </c>
      <c r="D358" s="330">
        <f>D348*$E358/$E348</f>
        <v>1350</v>
      </c>
      <c r="E358" s="331">
        <f>VLOOKUP(A358,'Proceso I'!$A$41:$O$69,15,0)</f>
        <v>1800</v>
      </c>
    </row>
    <row r="359" spans="1:5" ht="12.75" x14ac:dyDescent="0.2">
      <c r="A359" s="78" t="str">
        <f>LOOKUP(A349,'Auxiliar 1'!$T$7:$T$35,'Auxiliar 1'!$B$7:$B$35)</f>
        <v>EC12</v>
      </c>
      <c r="B359" s="6" t="str">
        <f>LOOKUP(A359,'Auxiliar 1'!$B$7:$B$35,'Auxiliar 1'!$C$7:$C$35)</f>
        <v>Teléfono</v>
      </c>
      <c r="C359" s="330">
        <f>C349*$E359/$E349</f>
        <v>42.857142857142854</v>
      </c>
      <c r="D359" s="330">
        <f>D349*$E359/$E349</f>
        <v>42.857142857142854</v>
      </c>
      <c r="E359" s="331">
        <f>VLOOKUP(A359,'Proceso I'!$A$41:$O$69,15,0)</f>
        <v>85.714285714285708</v>
      </c>
    </row>
    <row r="360" spans="1:5" ht="15" customHeight="1" x14ac:dyDescent="0.2">
      <c r="A360" s="78" t="str">
        <f>LOOKUP(A350,'Auxiliar 1'!$T$7:$T$35,'Auxiliar 1'!$B$7:$B$35)</f>
        <v>EC16</v>
      </c>
      <c r="B360" s="6" t="str">
        <f>LOOKUP(A360,'Auxiliar 1'!$B$7:$B$35,'Auxiliar 1'!$C$7:$C$35)</f>
        <v>Transporte del producto terminado al cliente</v>
      </c>
      <c r="C360" s="330">
        <f t="shared" ref="C360:D360" si="92">C350*$E360/$E350</f>
        <v>0</v>
      </c>
      <c r="D360" s="330">
        <f t="shared" si="92"/>
        <v>160</v>
      </c>
      <c r="E360" s="331">
        <f>VLOOKUP(A360,'Proceso I'!$A$41:$O$69,15,0)</f>
        <v>160</v>
      </c>
    </row>
    <row r="361" spans="1:5" ht="15" customHeight="1" x14ac:dyDescent="0.2">
      <c r="A361" s="78" t="str">
        <f>LOOKUP(A351,'Auxiliar 1'!$T$7:$T$35,'Auxiliar 1'!$B$7:$B$35)</f>
        <v>EC17</v>
      </c>
      <c r="B361" s="6" t="str">
        <f>LOOKUP(A361,'Auxiliar 1'!$B$7:$B$35,'Auxiliar 1'!$C$7:$C$35)</f>
        <v>Transporte para visitar al cliente</v>
      </c>
      <c r="C361" s="330">
        <f t="shared" ref="C361:D361" si="93">C351*$E361/$E351</f>
        <v>160</v>
      </c>
      <c r="D361" s="330">
        <f t="shared" si="93"/>
        <v>0</v>
      </c>
      <c r="E361" s="331">
        <f>VLOOKUP(A361,'Proceso I'!$A$41:$O$69,15,0)</f>
        <v>160</v>
      </c>
    </row>
    <row r="362" spans="1:5" ht="15" customHeight="1" x14ac:dyDescent="0.2">
      <c r="A362" s="78" t="str">
        <f>LOOKUP(A352,'Auxiliar 1'!$T$7:$T$35,'Auxiliar 1'!$B$7:$B$35)</f>
        <v>EC29</v>
      </c>
      <c r="B362" s="6" t="str">
        <f>LOOKUP(A362,'Auxiliar 1'!$B$7:$B$35,'Auxiliar 1'!$C$7:$C$35)</f>
        <v>Formato de Contrato</v>
      </c>
      <c r="C362" s="330">
        <f t="shared" ref="C362:D362" si="94">C352*$E362/$E352</f>
        <v>13.2</v>
      </c>
      <c r="D362" s="330">
        <f t="shared" si="94"/>
        <v>0</v>
      </c>
      <c r="E362" s="331">
        <f>VLOOKUP(A362,'Proceso I'!$A$41:$O$69,15,0)</f>
        <v>13.2</v>
      </c>
    </row>
    <row r="363" spans="1:5" ht="15" customHeight="1" x14ac:dyDescent="0.2">
      <c r="B363" s="373" t="s">
        <v>536</v>
      </c>
      <c r="C363" s="372">
        <f>SUM(C358:C362)</f>
        <v>666.05714285714294</v>
      </c>
      <c r="D363" s="372">
        <f t="shared" ref="D363:E363" si="95">SUM(D358:D362)</f>
        <v>1552.8571428571429</v>
      </c>
      <c r="E363" s="372">
        <f t="shared" si="95"/>
        <v>2218.9142857142856</v>
      </c>
    </row>
  </sheetData>
  <sortState xmlns:xlrd2="http://schemas.microsoft.com/office/spreadsheetml/2017/richdata2" ref="A156:H165">
    <sortCondition ref="A155"/>
  </sortState>
  <mergeCells count="53">
    <mergeCell ref="H277:H278"/>
    <mergeCell ref="A278:B278"/>
    <mergeCell ref="A297:B297"/>
    <mergeCell ref="D296:D297"/>
    <mergeCell ref="G194:G195"/>
    <mergeCell ref="A195:B195"/>
    <mergeCell ref="A207:B207"/>
    <mergeCell ref="F206:F207"/>
    <mergeCell ref="H261:H262"/>
    <mergeCell ref="A262:B262"/>
    <mergeCell ref="F158:F159"/>
    <mergeCell ref="F170:F171"/>
    <mergeCell ref="A171:B171"/>
    <mergeCell ref="A186:B186"/>
    <mergeCell ref="G185:G186"/>
    <mergeCell ref="A159:B159"/>
    <mergeCell ref="A1:F1"/>
    <mergeCell ref="F21:F22"/>
    <mergeCell ref="A22:B22"/>
    <mergeCell ref="A116:B116"/>
    <mergeCell ref="E115:E116"/>
    <mergeCell ref="A9:B9"/>
    <mergeCell ref="F8:F9"/>
    <mergeCell ref="A38:B38"/>
    <mergeCell ref="D37:D38"/>
    <mergeCell ref="D51:D52"/>
    <mergeCell ref="A52:B52"/>
    <mergeCell ref="A69:B69"/>
    <mergeCell ref="E68:E69"/>
    <mergeCell ref="E84:E85"/>
    <mergeCell ref="A85:B85"/>
    <mergeCell ref="A103:B103"/>
    <mergeCell ref="E102:E103"/>
    <mergeCell ref="A132:B132"/>
    <mergeCell ref="E131:E132"/>
    <mergeCell ref="E143:E144"/>
    <mergeCell ref="A144:B144"/>
    <mergeCell ref="G319:G320"/>
    <mergeCell ref="G331:G332"/>
    <mergeCell ref="A332:B332"/>
    <mergeCell ref="F219:F220"/>
    <mergeCell ref="A220:B220"/>
    <mergeCell ref="A235:B235"/>
    <mergeCell ref="F234:F235"/>
    <mergeCell ref="F246:F247"/>
    <mergeCell ref="A247:B247"/>
    <mergeCell ref="A347:B347"/>
    <mergeCell ref="E346:E347"/>
    <mergeCell ref="E356:E357"/>
    <mergeCell ref="A357:B357"/>
    <mergeCell ref="D306:D307"/>
    <mergeCell ref="A307:B307"/>
    <mergeCell ref="A320:B320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L122"/>
  <sheetViews>
    <sheetView topLeftCell="A49" workbookViewId="0">
      <selection activeCell="B14" sqref="B14"/>
    </sheetView>
  </sheetViews>
  <sheetFormatPr baseColWidth="10" defaultRowHeight="12.75" x14ac:dyDescent="0.2"/>
  <cols>
    <col min="1" max="1" width="5.7109375" style="26" customWidth="1"/>
    <col min="2" max="2" width="58.5703125" customWidth="1"/>
    <col min="3" max="3" width="17.28515625" bestFit="1" customWidth="1"/>
    <col min="4" max="6" width="15.7109375" customWidth="1"/>
    <col min="7" max="7" width="15" customWidth="1"/>
  </cols>
  <sheetData>
    <row r="1" spans="1:12" s="92" customFormat="1" ht="41.25" customHeight="1" thickBot="1" x14ac:dyDescent="0.25">
      <c r="A1" s="532" t="s">
        <v>114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</row>
    <row r="2" spans="1:12" ht="15.75" customHeight="1" thickTop="1" x14ac:dyDescent="0.2"/>
    <row r="3" spans="1:12" ht="15.75" customHeight="1" x14ac:dyDescent="0.2">
      <c r="A3" t="s">
        <v>108</v>
      </c>
      <c r="B3" t="s">
        <v>97</v>
      </c>
    </row>
    <row r="4" spans="1:12" s="85" customFormat="1" ht="15.75" customHeight="1" x14ac:dyDescent="0.2">
      <c r="C4" s="500" t="s">
        <v>50</v>
      </c>
      <c r="D4" s="501"/>
      <c r="E4" s="501"/>
      <c r="F4" s="502"/>
      <c r="G4" s="497" t="s">
        <v>16</v>
      </c>
      <c r="H4" s="498"/>
      <c r="I4" s="498"/>
      <c r="J4" s="498"/>
      <c r="K4" s="499"/>
      <c r="L4" s="531" t="s">
        <v>536</v>
      </c>
    </row>
    <row r="5" spans="1:12" s="85" customFormat="1" ht="15.75" customHeight="1" x14ac:dyDescent="0.2">
      <c r="A5" s="81" t="s">
        <v>108</v>
      </c>
      <c r="B5" s="81" t="s">
        <v>34</v>
      </c>
      <c r="C5" s="62" t="s">
        <v>49</v>
      </c>
      <c r="D5" s="62" t="s">
        <v>176</v>
      </c>
      <c r="E5" s="62" t="s">
        <v>177</v>
      </c>
      <c r="F5" s="62" t="s">
        <v>160</v>
      </c>
      <c r="G5" s="63" t="s">
        <v>38</v>
      </c>
      <c r="H5" s="63" t="s">
        <v>37</v>
      </c>
      <c r="I5" s="63" t="s">
        <v>148</v>
      </c>
      <c r="J5" s="63" t="s">
        <v>151</v>
      </c>
      <c r="K5" s="63" t="s">
        <v>518</v>
      </c>
      <c r="L5" s="531"/>
    </row>
    <row r="6" spans="1:12" ht="15.75" customHeight="1" x14ac:dyDescent="0.2">
      <c r="A6" s="348" t="s">
        <v>63</v>
      </c>
      <c r="B6" s="347" t="s">
        <v>538</v>
      </c>
      <c r="C6" s="349">
        <v>1</v>
      </c>
      <c r="D6" s="349">
        <v>3</v>
      </c>
      <c r="E6" s="349"/>
      <c r="F6" s="349">
        <v>3</v>
      </c>
      <c r="G6" s="349"/>
      <c r="H6" s="349"/>
      <c r="I6" s="349"/>
      <c r="J6" s="349"/>
      <c r="K6" s="349"/>
      <c r="L6" s="349">
        <f>SUM(C6:K6)</f>
        <v>7</v>
      </c>
    </row>
    <row r="7" spans="1:12" ht="15.75" customHeight="1" x14ac:dyDescent="0.2">
      <c r="A7" s="348" t="s">
        <v>64</v>
      </c>
      <c r="B7" s="347" t="s">
        <v>539</v>
      </c>
      <c r="C7" s="73"/>
      <c r="D7" s="73">
        <v>0.5</v>
      </c>
      <c r="E7" s="73"/>
      <c r="F7" s="73">
        <v>0.5</v>
      </c>
      <c r="G7" s="73"/>
      <c r="H7" s="73"/>
      <c r="I7" s="73"/>
      <c r="J7" s="73"/>
      <c r="K7" s="73"/>
      <c r="L7" s="73">
        <f t="shared" ref="L7:L8" si="0">SUM(C7:K7)</f>
        <v>1</v>
      </c>
    </row>
    <row r="8" spans="1:12" ht="15.75" customHeight="1" x14ac:dyDescent="0.2">
      <c r="A8" s="348" t="s">
        <v>65</v>
      </c>
      <c r="B8" s="347" t="s">
        <v>540</v>
      </c>
      <c r="C8" s="346">
        <v>1</v>
      </c>
      <c r="D8" s="346">
        <v>1</v>
      </c>
      <c r="E8" s="346">
        <v>1</v>
      </c>
      <c r="F8" s="346">
        <v>1</v>
      </c>
      <c r="G8" s="346">
        <v>1</v>
      </c>
      <c r="H8" s="346">
        <v>1</v>
      </c>
      <c r="I8" s="346">
        <v>1</v>
      </c>
      <c r="J8" s="346">
        <v>1</v>
      </c>
      <c r="K8" s="346">
        <v>1</v>
      </c>
      <c r="L8" s="74">
        <f t="shared" si="0"/>
        <v>9</v>
      </c>
    </row>
    <row r="9" spans="1:12" ht="15.75" customHeight="1" x14ac:dyDescent="0.2">
      <c r="L9" s="345"/>
    </row>
    <row r="10" spans="1:12" ht="15.75" customHeight="1" x14ac:dyDescent="0.2">
      <c r="A10"/>
    </row>
    <row r="11" spans="1:12" ht="15.75" customHeight="1" x14ac:dyDescent="0.2"/>
    <row r="12" spans="1:12" ht="15.75" customHeight="1" x14ac:dyDescent="0.2">
      <c r="A12" s="85"/>
      <c r="B12" s="85"/>
      <c r="C12" s="500" t="s">
        <v>50</v>
      </c>
      <c r="D12" s="501"/>
      <c r="E12" s="501"/>
      <c r="F12" s="502"/>
      <c r="G12" s="497" t="s">
        <v>16</v>
      </c>
      <c r="H12" s="498"/>
      <c r="I12" s="498"/>
      <c r="J12" s="498"/>
      <c r="K12" s="499"/>
      <c r="L12" s="531" t="s">
        <v>96</v>
      </c>
    </row>
    <row r="13" spans="1:12" ht="15.75" customHeight="1" x14ac:dyDescent="0.2">
      <c r="A13" s="81" t="s">
        <v>108</v>
      </c>
      <c r="B13" s="81" t="s">
        <v>33</v>
      </c>
      <c r="C13" s="62" t="s">
        <v>49</v>
      </c>
      <c r="D13" s="62" t="s">
        <v>176</v>
      </c>
      <c r="E13" s="62" t="s">
        <v>177</v>
      </c>
      <c r="F13" s="62" t="s">
        <v>160</v>
      </c>
      <c r="G13" s="63" t="s">
        <v>38</v>
      </c>
      <c r="H13" s="63" t="s">
        <v>37</v>
      </c>
      <c r="I13" s="63" t="s">
        <v>148</v>
      </c>
      <c r="J13" s="63" t="s">
        <v>151</v>
      </c>
      <c r="K13" s="63" t="s">
        <v>518</v>
      </c>
      <c r="L13" s="531"/>
    </row>
    <row r="14" spans="1:12" ht="15.75" customHeight="1" x14ac:dyDescent="0.2">
      <c r="A14" s="6" t="s">
        <v>45</v>
      </c>
      <c r="B14" s="6" t="s">
        <v>178</v>
      </c>
      <c r="C14" s="74">
        <f>$L14/$L6*C6</f>
        <v>57.948631725417442</v>
      </c>
      <c r="D14" s="74">
        <f t="shared" ref="D14:K14" si="1">$L14/$L6*D6</f>
        <v>173.84589517625233</v>
      </c>
      <c r="E14" s="74">
        <f t="shared" si="1"/>
        <v>0</v>
      </c>
      <c r="F14" s="74">
        <f t="shared" si="1"/>
        <v>173.84589517625233</v>
      </c>
      <c r="G14" s="74">
        <f t="shared" si="1"/>
        <v>0</v>
      </c>
      <c r="H14" s="74">
        <f t="shared" si="1"/>
        <v>0</v>
      </c>
      <c r="I14" s="74">
        <f t="shared" si="1"/>
        <v>0</v>
      </c>
      <c r="J14" s="74">
        <f t="shared" si="1"/>
        <v>0</v>
      </c>
      <c r="K14" s="74">
        <f t="shared" si="1"/>
        <v>0</v>
      </c>
      <c r="L14" s="74">
        <v>405.6404220779221</v>
      </c>
    </row>
    <row r="15" spans="1:12" ht="15.75" customHeight="1" x14ac:dyDescent="0.2">
      <c r="A15" s="6" t="s">
        <v>43</v>
      </c>
      <c r="B15" s="6" t="s">
        <v>179</v>
      </c>
      <c r="C15" s="74">
        <f t="shared" ref="C15:K15" si="2">$L15/$L7*C7</f>
        <v>0</v>
      </c>
      <c r="D15" s="74">
        <f t="shared" si="2"/>
        <v>289.39772727272725</v>
      </c>
      <c r="E15" s="74">
        <f t="shared" si="2"/>
        <v>0</v>
      </c>
      <c r="F15" s="74">
        <f t="shared" si="2"/>
        <v>289.39772727272725</v>
      </c>
      <c r="G15" s="74">
        <f t="shared" si="2"/>
        <v>0</v>
      </c>
      <c r="H15" s="74">
        <f t="shared" si="2"/>
        <v>0</v>
      </c>
      <c r="I15" s="74">
        <f t="shared" si="2"/>
        <v>0</v>
      </c>
      <c r="J15" s="74">
        <f t="shared" si="2"/>
        <v>0</v>
      </c>
      <c r="K15" s="74">
        <f t="shared" si="2"/>
        <v>0</v>
      </c>
      <c r="L15" s="74">
        <v>578.7954545454545</v>
      </c>
    </row>
    <row r="16" spans="1:12" ht="15.75" customHeight="1" thickBot="1" x14ac:dyDescent="0.25">
      <c r="A16" s="6" t="s">
        <v>44</v>
      </c>
      <c r="B16" s="6" t="s">
        <v>180</v>
      </c>
      <c r="C16" s="74">
        <f t="shared" ref="C16:K16" si="3">$L16/$L8*C8</f>
        <v>92.715097402597394</v>
      </c>
      <c r="D16" s="74">
        <f t="shared" si="3"/>
        <v>92.715097402597394</v>
      </c>
      <c r="E16" s="74">
        <f t="shared" si="3"/>
        <v>92.715097402597394</v>
      </c>
      <c r="F16" s="74">
        <f t="shared" si="3"/>
        <v>92.715097402597394</v>
      </c>
      <c r="G16" s="74">
        <f t="shared" si="3"/>
        <v>92.715097402597394</v>
      </c>
      <c r="H16" s="74">
        <f t="shared" si="3"/>
        <v>92.715097402597394</v>
      </c>
      <c r="I16" s="74">
        <f t="shared" si="3"/>
        <v>92.715097402597394</v>
      </c>
      <c r="J16" s="74">
        <f t="shared" si="3"/>
        <v>92.715097402597394</v>
      </c>
      <c r="K16" s="74">
        <f t="shared" si="3"/>
        <v>92.715097402597394</v>
      </c>
      <c r="L16" s="74">
        <v>834.43587662337654</v>
      </c>
    </row>
    <row r="17" spans="1:12" ht="15.75" customHeight="1" thickBot="1" x14ac:dyDescent="0.25">
      <c r="B17" s="353" t="s">
        <v>96</v>
      </c>
      <c r="C17" s="355">
        <f>SUM(C16)</f>
        <v>92.715097402597394</v>
      </c>
      <c r="D17" s="356">
        <f t="shared" ref="D17" si="4">SUM(D16)</f>
        <v>92.715097402597394</v>
      </c>
      <c r="E17" s="356">
        <f t="shared" ref="E17" si="5">SUM(E16)</f>
        <v>92.715097402597394</v>
      </c>
      <c r="F17" s="356">
        <f t="shared" ref="F17" si="6">SUM(F16)</f>
        <v>92.715097402597394</v>
      </c>
      <c r="G17" s="356">
        <f t="shared" ref="G17" si="7">SUM(G16)</f>
        <v>92.715097402597394</v>
      </c>
      <c r="H17" s="356">
        <f t="shared" ref="H17" si="8">SUM(H16)</f>
        <v>92.715097402597394</v>
      </c>
      <c r="I17" s="356">
        <f t="shared" ref="I17" si="9">SUM(I16)</f>
        <v>92.715097402597394</v>
      </c>
      <c r="J17" s="356">
        <f t="shared" ref="J17" si="10">SUM(J16)</f>
        <v>92.715097402597394</v>
      </c>
      <c r="K17" s="357">
        <f t="shared" ref="K17" si="11">SUM(K16)</f>
        <v>92.715097402597394</v>
      </c>
      <c r="L17" s="74">
        <f>SUM(L14:L16)</f>
        <v>1818.8717532467531</v>
      </c>
    </row>
    <row r="18" spans="1:12" ht="15.75" customHeight="1" x14ac:dyDescent="0.2">
      <c r="B18" s="26"/>
      <c r="C18" s="26"/>
      <c r="D18" s="26"/>
      <c r="E18" s="26"/>
      <c r="F18" s="26"/>
    </row>
    <row r="19" spans="1:12" ht="15.75" customHeight="1" x14ac:dyDescent="0.2">
      <c r="A19" s="26" t="s">
        <v>174</v>
      </c>
      <c r="B19" s="26" t="s">
        <v>537</v>
      </c>
      <c r="C19" s="26"/>
      <c r="D19" s="26"/>
      <c r="E19" s="26"/>
      <c r="F19" s="26"/>
    </row>
    <row r="20" spans="1:12" ht="15.75" customHeight="1" x14ac:dyDescent="0.2"/>
    <row r="21" spans="1:12" ht="15.75" customHeight="1" x14ac:dyDescent="0.2">
      <c r="A21"/>
      <c r="C21" s="500" t="s">
        <v>50</v>
      </c>
      <c r="D21" s="501"/>
      <c r="E21" s="501"/>
      <c r="F21" s="502"/>
      <c r="G21" s="497" t="s">
        <v>16</v>
      </c>
      <c r="H21" s="498"/>
      <c r="I21" s="498"/>
      <c r="J21" s="498"/>
      <c r="K21" s="499"/>
      <c r="L21" s="531" t="s">
        <v>96</v>
      </c>
    </row>
    <row r="22" spans="1:12" s="100" customFormat="1" ht="15.75" customHeight="1" x14ac:dyDescent="0.2">
      <c r="A22" s="81" t="s">
        <v>174</v>
      </c>
      <c r="B22" s="81" t="s">
        <v>34</v>
      </c>
      <c r="C22" s="62" t="s">
        <v>49</v>
      </c>
      <c r="D22" s="62" t="s">
        <v>176</v>
      </c>
      <c r="E22" s="62" t="s">
        <v>177</v>
      </c>
      <c r="F22" s="62" t="s">
        <v>160</v>
      </c>
      <c r="G22" s="63" t="s">
        <v>38</v>
      </c>
      <c r="H22" s="63" t="s">
        <v>37</v>
      </c>
      <c r="I22" s="63" t="s">
        <v>148</v>
      </c>
      <c r="J22" s="63" t="s">
        <v>151</v>
      </c>
      <c r="K22" s="63" t="s">
        <v>518</v>
      </c>
      <c r="L22" s="531"/>
    </row>
    <row r="23" spans="1:12" s="14" customFormat="1" ht="15.75" customHeight="1" x14ac:dyDescent="0.2">
      <c r="A23" s="348" t="s">
        <v>66</v>
      </c>
      <c r="B23" s="347" t="s">
        <v>541</v>
      </c>
      <c r="C23" s="346"/>
      <c r="D23" s="346">
        <v>5</v>
      </c>
      <c r="E23" s="346"/>
      <c r="F23" s="346"/>
      <c r="G23" s="346"/>
      <c r="H23" s="346"/>
      <c r="I23" s="346"/>
      <c r="J23" s="346"/>
      <c r="K23" s="346">
        <v>10</v>
      </c>
      <c r="L23" s="344">
        <f>SUM(C23:K23)</f>
        <v>15</v>
      </c>
    </row>
    <row r="24" spans="1:12" ht="15.75" customHeight="1" x14ac:dyDescent="0.2"/>
    <row r="25" spans="1:12" ht="15.75" customHeight="1" x14ac:dyDescent="0.2"/>
    <row r="26" spans="1:12" ht="15.75" customHeight="1" x14ac:dyDescent="0.2">
      <c r="A26"/>
      <c r="C26" s="500" t="s">
        <v>50</v>
      </c>
      <c r="D26" s="501"/>
      <c r="E26" s="501"/>
      <c r="F26" s="502"/>
      <c r="G26" s="497" t="s">
        <v>16</v>
      </c>
      <c r="H26" s="498"/>
      <c r="I26" s="498"/>
      <c r="J26" s="498"/>
      <c r="K26" s="499"/>
      <c r="L26" s="531" t="s">
        <v>96</v>
      </c>
    </row>
    <row r="27" spans="1:12" ht="15.75" customHeight="1" x14ac:dyDescent="0.2">
      <c r="A27" s="81" t="s">
        <v>174</v>
      </c>
      <c r="B27" s="81" t="s">
        <v>183</v>
      </c>
      <c r="C27" s="62" t="s">
        <v>49</v>
      </c>
      <c r="D27" s="62" t="s">
        <v>176</v>
      </c>
      <c r="E27" s="62" t="s">
        <v>177</v>
      </c>
      <c r="F27" s="62" t="s">
        <v>160</v>
      </c>
      <c r="G27" s="63" t="s">
        <v>38</v>
      </c>
      <c r="H27" s="63" t="s">
        <v>37</v>
      </c>
      <c r="I27" s="63" t="s">
        <v>148</v>
      </c>
      <c r="J27" s="63" t="s">
        <v>151</v>
      </c>
      <c r="K27" s="63" t="s">
        <v>518</v>
      </c>
      <c r="L27" s="531"/>
    </row>
    <row r="28" spans="1:12" s="37" customFormat="1" ht="15.75" customHeight="1" thickBot="1" x14ac:dyDescent="0.25">
      <c r="A28" s="6" t="s">
        <v>42</v>
      </c>
      <c r="B28" s="6" t="s">
        <v>184</v>
      </c>
      <c r="C28" s="354">
        <f>$L28/$L23*C23</f>
        <v>0</v>
      </c>
      <c r="D28" s="354">
        <f t="shared" ref="D28:K28" si="12">$L28/$L23*D23</f>
        <v>260.69058441558445</v>
      </c>
      <c r="E28" s="354">
        <f t="shared" si="12"/>
        <v>0</v>
      </c>
      <c r="F28" s="354">
        <f t="shared" si="12"/>
        <v>0</v>
      </c>
      <c r="G28" s="354">
        <f t="shared" si="12"/>
        <v>0</v>
      </c>
      <c r="H28" s="354">
        <f t="shared" si="12"/>
        <v>0</v>
      </c>
      <c r="I28" s="354">
        <f t="shared" si="12"/>
        <v>0</v>
      </c>
      <c r="J28" s="354">
        <f t="shared" si="12"/>
        <v>0</v>
      </c>
      <c r="K28" s="354">
        <f t="shared" si="12"/>
        <v>521.38116883116891</v>
      </c>
      <c r="L28" s="344">
        <v>782.07175324675325</v>
      </c>
    </row>
    <row r="29" spans="1:12" ht="15.75" customHeight="1" thickBot="1" x14ac:dyDescent="0.25">
      <c r="B29" s="353" t="s">
        <v>96</v>
      </c>
      <c r="C29" s="355">
        <f>SUM(C28)</f>
        <v>0</v>
      </c>
      <c r="D29" s="356">
        <f t="shared" ref="D29:K29" si="13">SUM(D28)</f>
        <v>260.69058441558445</v>
      </c>
      <c r="E29" s="356">
        <f t="shared" si="13"/>
        <v>0</v>
      </c>
      <c r="F29" s="356">
        <f t="shared" si="13"/>
        <v>0</v>
      </c>
      <c r="G29" s="356">
        <f t="shared" si="13"/>
        <v>0</v>
      </c>
      <c r="H29" s="356">
        <f t="shared" si="13"/>
        <v>0</v>
      </c>
      <c r="I29" s="356">
        <f t="shared" si="13"/>
        <v>0</v>
      </c>
      <c r="J29" s="356">
        <f t="shared" si="13"/>
        <v>0</v>
      </c>
      <c r="K29" s="357">
        <f t="shared" si="13"/>
        <v>521.38116883116891</v>
      </c>
    </row>
    <row r="30" spans="1:12" ht="15.75" customHeight="1" x14ac:dyDescent="0.2"/>
    <row r="31" spans="1:12" ht="15.75" customHeight="1" x14ac:dyDescent="0.2">
      <c r="A31" s="26" t="s">
        <v>175</v>
      </c>
      <c r="B31" t="s">
        <v>523</v>
      </c>
    </row>
    <row r="32" spans="1:12" ht="15.75" customHeight="1" x14ac:dyDescent="0.2"/>
    <row r="33" spans="1:12" ht="15.75" customHeight="1" x14ac:dyDescent="0.2">
      <c r="A33" s="2"/>
      <c r="B33" s="17" t="s">
        <v>107</v>
      </c>
      <c r="C33" s="500" t="s">
        <v>50</v>
      </c>
      <c r="D33" s="501"/>
      <c r="E33" s="501"/>
      <c r="F33" s="502"/>
      <c r="G33" s="497" t="s">
        <v>16</v>
      </c>
      <c r="H33" s="498"/>
      <c r="I33" s="498"/>
      <c r="J33" s="498"/>
      <c r="K33" s="499"/>
      <c r="L33" s="531" t="s">
        <v>96</v>
      </c>
    </row>
    <row r="34" spans="1:12" ht="15.75" customHeight="1" x14ac:dyDescent="0.2">
      <c r="A34" s="81" t="s">
        <v>175</v>
      </c>
      <c r="B34" s="81" t="s">
        <v>34</v>
      </c>
      <c r="C34" s="62" t="s">
        <v>49</v>
      </c>
      <c r="D34" s="62" t="s">
        <v>176</v>
      </c>
      <c r="E34" s="62" t="s">
        <v>177</v>
      </c>
      <c r="F34" s="62" t="s">
        <v>160</v>
      </c>
      <c r="G34" s="63" t="s">
        <v>38</v>
      </c>
      <c r="H34" s="63" t="s">
        <v>37</v>
      </c>
      <c r="I34" s="63" t="s">
        <v>148</v>
      </c>
      <c r="J34" s="63" t="s">
        <v>151</v>
      </c>
      <c r="K34" s="63" t="s">
        <v>518</v>
      </c>
      <c r="L34" s="531"/>
    </row>
    <row r="35" spans="1:12" ht="15.75" customHeight="1" x14ac:dyDescent="0.2">
      <c r="A35" s="348" t="s">
        <v>67</v>
      </c>
      <c r="B35" s="347" t="s">
        <v>539</v>
      </c>
      <c r="C35" s="346"/>
      <c r="D35" s="346"/>
      <c r="E35" s="346"/>
      <c r="F35" s="346"/>
      <c r="G35" s="346"/>
      <c r="H35" s="346"/>
      <c r="I35" s="346"/>
      <c r="J35" s="346"/>
      <c r="K35" s="350">
        <v>1</v>
      </c>
      <c r="L35" s="342">
        <v>1</v>
      </c>
    </row>
    <row r="36" spans="1:12" ht="15.75" customHeight="1" x14ac:dyDescent="0.2">
      <c r="A36" s="348" t="s">
        <v>68</v>
      </c>
      <c r="B36" s="347" t="s">
        <v>539</v>
      </c>
      <c r="C36" s="346"/>
      <c r="D36" s="346"/>
      <c r="E36" s="346"/>
      <c r="F36" s="346"/>
      <c r="G36" s="346"/>
      <c r="H36" s="346"/>
      <c r="I36" s="346"/>
      <c r="J36" s="346"/>
      <c r="K36" s="350">
        <v>1</v>
      </c>
      <c r="L36" s="342">
        <v>1</v>
      </c>
    </row>
    <row r="37" spans="1:12" ht="15.75" customHeight="1" x14ac:dyDescent="0.2">
      <c r="L37" s="343"/>
    </row>
    <row r="38" spans="1:12" ht="15.75" customHeight="1" x14ac:dyDescent="0.2"/>
    <row r="39" spans="1:12" ht="15.75" customHeight="1" x14ac:dyDescent="0.2">
      <c r="A39" s="2"/>
      <c r="B39" s="17" t="s">
        <v>107</v>
      </c>
      <c r="C39" s="500" t="s">
        <v>50</v>
      </c>
      <c r="D39" s="501"/>
      <c r="E39" s="501"/>
      <c r="F39" s="502"/>
      <c r="G39" s="497" t="s">
        <v>16</v>
      </c>
      <c r="H39" s="498"/>
      <c r="I39" s="498"/>
      <c r="J39" s="498"/>
      <c r="K39" s="499"/>
      <c r="L39" s="531" t="s">
        <v>96</v>
      </c>
    </row>
    <row r="40" spans="1:12" ht="15.75" customHeight="1" x14ac:dyDescent="0.2">
      <c r="A40" s="81" t="s">
        <v>175</v>
      </c>
      <c r="B40" s="81" t="s">
        <v>191</v>
      </c>
      <c r="C40" s="62" t="s">
        <v>49</v>
      </c>
      <c r="D40" s="62" t="s">
        <v>176</v>
      </c>
      <c r="E40" s="62" t="s">
        <v>177</v>
      </c>
      <c r="F40" s="62" t="s">
        <v>160</v>
      </c>
      <c r="G40" s="63" t="s">
        <v>38</v>
      </c>
      <c r="H40" s="63" t="s">
        <v>37</v>
      </c>
      <c r="I40" s="63" t="s">
        <v>148</v>
      </c>
      <c r="J40" s="63" t="s">
        <v>151</v>
      </c>
      <c r="K40" s="63" t="s">
        <v>518</v>
      </c>
      <c r="L40" s="531"/>
    </row>
    <row r="41" spans="1:12" ht="15.75" customHeight="1" x14ac:dyDescent="0.2">
      <c r="A41" s="6" t="s">
        <v>193</v>
      </c>
      <c r="B41" s="6" t="s">
        <v>192</v>
      </c>
      <c r="C41" s="74">
        <f>$L41/$L35*C35</f>
        <v>0</v>
      </c>
      <c r="D41" s="74">
        <f t="shared" ref="D41:K42" si="14">$L41/$L35*D35</f>
        <v>0</v>
      </c>
      <c r="E41" s="74">
        <f t="shared" si="14"/>
        <v>0</v>
      </c>
      <c r="F41" s="74">
        <f t="shared" si="14"/>
        <v>0</v>
      </c>
      <c r="G41" s="74">
        <f t="shared" si="14"/>
        <v>0</v>
      </c>
      <c r="H41" s="74">
        <f t="shared" si="14"/>
        <v>0</v>
      </c>
      <c r="I41" s="74">
        <f t="shared" si="14"/>
        <v>0</v>
      </c>
      <c r="J41" s="74">
        <f t="shared" si="14"/>
        <v>0</v>
      </c>
      <c r="K41" s="74">
        <f t="shared" si="14"/>
        <v>832.85714285714289</v>
      </c>
      <c r="L41" s="342">
        <v>832.85714285714289</v>
      </c>
    </row>
    <row r="42" spans="1:12" ht="15.75" customHeight="1" x14ac:dyDescent="0.2">
      <c r="A42" s="6" t="s">
        <v>195</v>
      </c>
      <c r="B42" s="6" t="s">
        <v>194</v>
      </c>
      <c r="C42" s="74">
        <f>$L42/$L36*C36</f>
        <v>0</v>
      </c>
      <c r="D42" s="74">
        <f t="shared" si="14"/>
        <v>0</v>
      </c>
      <c r="E42" s="74">
        <f t="shared" si="14"/>
        <v>0</v>
      </c>
      <c r="F42" s="74">
        <f t="shared" si="14"/>
        <v>0</v>
      </c>
      <c r="G42" s="74">
        <f t="shared" si="14"/>
        <v>0</v>
      </c>
      <c r="H42" s="74">
        <f t="shared" si="14"/>
        <v>0</v>
      </c>
      <c r="I42" s="74">
        <f t="shared" si="14"/>
        <v>0</v>
      </c>
      <c r="J42" s="74">
        <f t="shared" si="14"/>
        <v>0</v>
      </c>
      <c r="K42" s="74">
        <f t="shared" si="14"/>
        <v>1075.9577922077922</v>
      </c>
      <c r="L42" s="342">
        <v>1075.9577922077922</v>
      </c>
    </row>
    <row r="43" spans="1:12" ht="15.75" customHeight="1" x14ac:dyDescent="0.2">
      <c r="B43" s="346" t="s">
        <v>96</v>
      </c>
      <c r="C43" s="74">
        <f>SUM(C41:C42)</f>
        <v>0</v>
      </c>
      <c r="D43" s="74">
        <f t="shared" ref="D43" si="15">SUM(D41:D42)</f>
        <v>0</v>
      </c>
      <c r="E43" s="74">
        <f t="shared" ref="E43" si="16">SUM(E41:E42)</f>
        <v>0</v>
      </c>
      <c r="F43" s="74">
        <f t="shared" ref="F43" si="17">SUM(F41:F42)</f>
        <v>0</v>
      </c>
      <c r="G43" s="74">
        <f t="shared" ref="G43" si="18">SUM(G41:G42)</f>
        <v>0</v>
      </c>
      <c r="H43" s="74">
        <f t="shared" ref="H43" si="19">SUM(H41:H42)</f>
        <v>0</v>
      </c>
      <c r="I43" s="74">
        <f t="shared" ref="I43" si="20">SUM(I41:I42)</f>
        <v>0</v>
      </c>
      <c r="J43" s="74">
        <f t="shared" ref="J43" si="21">SUM(J41:J42)</f>
        <v>0</v>
      </c>
      <c r="K43" s="74">
        <f t="shared" ref="K43" si="22">SUM(K41:K42)</f>
        <v>1908.8149350649351</v>
      </c>
      <c r="L43" s="343">
        <f>SUM(L41:L42)</f>
        <v>1908.8149350649351</v>
      </c>
    </row>
    <row r="44" spans="1:12" ht="15.75" customHeight="1" x14ac:dyDescent="0.2"/>
    <row r="45" spans="1:12" ht="15.75" customHeight="1" x14ac:dyDescent="0.2">
      <c r="A45" s="26" t="s">
        <v>210</v>
      </c>
      <c r="B45" t="s">
        <v>524</v>
      </c>
    </row>
    <row r="46" spans="1:12" ht="15.75" customHeight="1" x14ac:dyDescent="0.2"/>
    <row r="47" spans="1:12" ht="15.75" customHeight="1" x14ac:dyDescent="0.2">
      <c r="A47" s="7"/>
      <c r="B47" s="7"/>
      <c r="C47" s="500" t="s">
        <v>50</v>
      </c>
      <c r="D47" s="501"/>
      <c r="E47" s="501"/>
      <c r="F47" s="502"/>
      <c r="G47" s="497" t="s">
        <v>16</v>
      </c>
      <c r="H47" s="498"/>
      <c r="I47" s="498"/>
      <c r="J47" s="498"/>
      <c r="K47" s="499"/>
      <c r="L47" s="531"/>
    </row>
    <row r="48" spans="1:12" ht="15.75" customHeight="1" x14ac:dyDescent="0.2">
      <c r="A48" s="81" t="s">
        <v>210</v>
      </c>
      <c r="B48" s="81" t="s">
        <v>34</v>
      </c>
      <c r="C48" s="62" t="s">
        <v>49</v>
      </c>
      <c r="D48" s="62" t="s">
        <v>176</v>
      </c>
      <c r="E48" s="62" t="s">
        <v>177</v>
      </c>
      <c r="F48" s="62" t="s">
        <v>160</v>
      </c>
      <c r="G48" s="63" t="s">
        <v>38</v>
      </c>
      <c r="H48" s="63" t="s">
        <v>37</v>
      </c>
      <c r="I48" s="63" t="s">
        <v>148</v>
      </c>
      <c r="J48" s="63" t="s">
        <v>151</v>
      </c>
      <c r="K48" s="63" t="s">
        <v>518</v>
      </c>
      <c r="L48" s="531"/>
    </row>
    <row r="49" spans="1:12" ht="15.75" customHeight="1" x14ac:dyDescent="0.2">
      <c r="A49" s="348" t="s">
        <v>70</v>
      </c>
      <c r="B49" s="347" t="s">
        <v>542</v>
      </c>
      <c r="C49" s="73"/>
      <c r="D49" s="73"/>
      <c r="E49" s="73">
        <v>0.4</v>
      </c>
      <c r="F49" s="73"/>
      <c r="G49" s="73">
        <v>0.15</v>
      </c>
      <c r="H49" s="73">
        <v>0.15</v>
      </c>
      <c r="I49" s="73">
        <v>0.15</v>
      </c>
      <c r="J49" s="73">
        <v>0.15</v>
      </c>
      <c r="K49" s="73"/>
      <c r="L49" s="73">
        <v>1</v>
      </c>
    </row>
    <row r="50" spans="1:12" ht="15.75" customHeight="1" x14ac:dyDescent="0.2">
      <c r="A50" s="348" t="s">
        <v>69</v>
      </c>
      <c r="B50" s="347" t="s">
        <v>543</v>
      </c>
      <c r="C50" s="73"/>
      <c r="D50" s="73"/>
      <c r="E50" s="73"/>
      <c r="F50" s="73"/>
      <c r="G50" s="73">
        <v>0.25</v>
      </c>
      <c r="H50" s="73">
        <v>0.25</v>
      </c>
      <c r="I50" s="73">
        <v>0.25</v>
      </c>
      <c r="J50" s="73">
        <v>0.25</v>
      </c>
      <c r="K50" s="73"/>
      <c r="L50" s="73">
        <v>1</v>
      </c>
    </row>
    <row r="51" spans="1:12" ht="15.75" customHeight="1" x14ac:dyDescent="0.2">
      <c r="L51" s="74"/>
    </row>
    <row r="52" spans="1:12" ht="15.75" customHeight="1" x14ac:dyDescent="0.2"/>
    <row r="53" spans="1:12" ht="15.75" customHeight="1" x14ac:dyDescent="0.2">
      <c r="A53" s="7"/>
      <c r="B53" s="7"/>
      <c r="C53" s="500" t="s">
        <v>50</v>
      </c>
      <c r="D53" s="501"/>
      <c r="E53" s="501"/>
      <c r="F53" s="502"/>
      <c r="G53" s="497" t="s">
        <v>16</v>
      </c>
      <c r="H53" s="498"/>
      <c r="I53" s="498"/>
      <c r="J53" s="498"/>
      <c r="K53" s="499"/>
      <c r="L53" s="531" t="s">
        <v>96</v>
      </c>
    </row>
    <row r="54" spans="1:12" x14ac:dyDescent="0.2">
      <c r="A54" s="81" t="s">
        <v>210</v>
      </c>
      <c r="B54" s="81" t="s">
        <v>181</v>
      </c>
      <c r="C54" s="62" t="s">
        <v>49</v>
      </c>
      <c r="D54" s="62" t="s">
        <v>176</v>
      </c>
      <c r="E54" s="62" t="s">
        <v>177</v>
      </c>
      <c r="F54" s="62" t="s">
        <v>160</v>
      </c>
      <c r="G54" s="63" t="s">
        <v>38</v>
      </c>
      <c r="H54" s="63" t="s">
        <v>37</v>
      </c>
      <c r="I54" s="63" t="s">
        <v>148</v>
      </c>
      <c r="J54" s="63" t="s">
        <v>151</v>
      </c>
      <c r="K54" s="63" t="s">
        <v>518</v>
      </c>
      <c r="L54" s="531"/>
    </row>
    <row r="55" spans="1:12" x14ac:dyDescent="0.2">
      <c r="A55" s="6" t="s">
        <v>212</v>
      </c>
      <c r="B55" s="6" t="s">
        <v>182</v>
      </c>
      <c r="C55" s="74">
        <f>$L55/$L49*C49</f>
        <v>0</v>
      </c>
      <c r="D55" s="74">
        <f t="shared" ref="D55:K55" si="23">$L55/$L49*D49</f>
        <v>0</v>
      </c>
      <c r="E55" s="74">
        <f t="shared" si="23"/>
        <v>210.55227272727271</v>
      </c>
      <c r="F55" s="74">
        <f t="shared" si="23"/>
        <v>0</v>
      </c>
      <c r="G55" s="74">
        <f t="shared" si="23"/>
        <v>78.957102272727255</v>
      </c>
      <c r="H55" s="74">
        <f t="shared" si="23"/>
        <v>78.957102272727255</v>
      </c>
      <c r="I55" s="74">
        <f t="shared" si="23"/>
        <v>78.957102272727255</v>
      </c>
      <c r="J55" s="74">
        <f t="shared" si="23"/>
        <v>78.957102272727255</v>
      </c>
      <c r="K55" s="74">
        <f t="shared" si="23"/>
        <v>0</v>
      </c>
      <c r="L55" s="74">
        <v>526.38068181818176</v>
      </c>
    </row>
    <row r="56" spans="1:12" x14ac:dyDescent="0.2">
      <c r="A56" s="352" t="s">
        <v>213</v>
      </c>
      <c r="B56" s="6" t="s">
        <v>190</v>
      </c>
      <c r="C56" s="74">
        <f>$L56/$L50*C50</f>
        <v>0</v>
      </c>
      <c r="D56" s="74">
        <f t="shared" ref="D56:K56" si="24">$L56/$L50*D50</f>
        <v>0</v>
      </c>
      <c r="E56" s="74">
        <f t="shared" si="24"/>
        <v>0</v>
      </c>
      <c r="F56" s="74">
        <f t="shared" si="24"/>
        <v>0</v>
      </c>
      <c r="G56" s="74">
        <f t="shared" si="24"/>
        <v>141.0773133116883</v>
      </c>
      <c r="H56" s="74">
        <f t="shared" si="24"/>
        <v>141.0773133116883</v>
      </c>
      <c r="I56" s="74">
        <f t="shared" si="24"/>
        <v>141.0773133116883</v>
      </c>
      <c r="J56" s="74">
        <f t="shared" si="24"/>
        <v>141.0773133116883</v>
      </c>
      <c r="K56" s="74">
        <f t="shared" si="24"/>
        <v>0</v>
      </c>
      <c r="L56" s="74">
        <v>564.3092532467532</v>
      </c>
    </row>
    <row r="57" spans="1:12" x14ac:dyDescent="0.2">
      <c r="B57" s="346" t="s">
        <v>96</v>
      </c>
      <c r="C57" s="74">
        <f>SUM(C55:C56)</f>
        <v>0</v>
      </c>
      <c r="D57" s="74">
        <f t="shared" ref="D57:K57" si="25">SUM(D55:D56)</f>
        <v>0</v>
      </c>
      <c r="E57" s="74">
        <f t="shared" si="25"/>
        <v>210.55227272727271</v>
      </c>
      <c r="F57" s="74">
        <f t="shared" si="25"/>
        <v>0</v>
      </c>
      <c r="G57" s="74">
        <f t="shared" si="25"/>
        <v>220.03441558441557</v>
      </c>
      <c r="H57" s="74">
        <f t="shared" si="25"/>
        <v>220.03441558441557</v>
      </c>
      <c r="I57" s="74">
        <f t="shared" si="25"/>
        <v>220.03441558441557</v>
      </c>
      <c r="J57" s="74">
        <f t="shared" si="25"/>
        <v>220.03441558441557</v>
      </c>
      <c r="K57" s="74">
        <f t="shared" si="25"/>
        <v>0</v>
      </c>
      <c r="L57" s="74">
        <f>SUM(L55:L56)</f>
        <v>1090.6899350649351</v>
      </c>
    </row>
    <row r="59" spans="1:12" x14ac:dyDescent="0.2">
      <c r="B59" t="s">
        <v>545</v>
      </c>
    </row>
    <row r="61" spans="1:12" x14ac:dyDescent="0.2">
      <c r="A61" s="99" t="s">
        <v>49</v>
      </c>
      <c r="B61" s="99" t="s">
        <v>185</v>
      </c>
      <c r="C61" s="99" t="s">
        <v>544</v>
      </c>
      <c r="D61" s="351" t="s">
        <v>117</v>
      </c>
    </row>
    <row r="62" spans="1:12" x14ac:dyDescent="0.2">
      <c r="A62" s="6" t="s">
        <v>9</v>
      </c>
      <c r="B62" s="6" t="s">
        <v>188</v>
      </c>
      <c r="C62" s="360">
        <v>0.3</v>
      </c>
      <c r="D62" s="109">
        <f>D$64/C$64*C62</f>
        <v>27.814529220779217</v>
      </c>
    </row>
    <row r="63" spans="1:12" ht="13.5" thickBot="1" x14ac:dyDescent="0.25">
      <c r="A63" s="6" t="s">
        <v>7</v>
      </c>
      <c r="B63" s="6" t="s">
        <v>189</v>
      </c>
      <c r="C63" s="361">
        <v>0.7</v>
      </c>
      <c r="D63" s="109">
        <f>D$64/C$64*C63</f>
        <v>64.900568181818173</v>
      </c>
    </row>
    <row r="64" spans="1:12" ht="13.5" thickBot="1" x14ac:dyDescent="0.25">
      <c r="A64" s="8"/>
      <c r="B64" s="102" t="s">
        <v>96</v>
      </c>
      <c r="C64" s="103">
        <f>SUM(C62:C63)</f>
        <v>1</v>
      </c>
      <c r="D64" s="104">
        <f>C17+C29+C43+C57</f>
        <v>92.715097402597394</v>
      </c>
    </row>
    <row r="65" spans="1:5" x14ac:dyDescent="0.2">
      <c r="A65" s="8"/>
      <c r="B65" s="8"/>
      <c r="C65" s="362"/>
    </row>
    <row r="66" spans="1:5" x14ac:dyDescent="0.2">
      <c r="A66" s="7"/>
      <c r="B66" s="7"/>
      <c r="C66" s="362"/>
    </row>
    <row r="67" spans="1:5" x14ac:dyDescent="0.2">
      <c r="A67" s="99" t="s">
        <v>176</v>
      </c>
      <c r="B67" s="99" t="s">
        <v>196</v>
      </c>
      <c r="C67" s="359" t="s">
        <v>544</v>
      </c>
      <c r="D67" s="351" t="s">
        <v>117</v>
      </c>
    </row>
    <row r="68" spans="1:5" x14ac:dyDescent="0.2">
      <c r="A68" s="6" t="s">
        <v>8</v>
      </c>
      <c r="B68" s="6" t="s">
        <v>197</v>
      </c>
      <c r="C68" s="360">
        <v>0.3</v>
      </c>
      <c r="D68" s="109">
        <f>D$71/C$71*C68</f>
        <v>106.02170454545455</v>
      </c>
    </row>
    <row r="69" spans="1:5" x14ac:dyDescent="0.2">
      <c r="A69" s="6" t="s">
        <v>166</v>
      </c>
      <c r="B69" s="6" t="s">
        <v>198</v>
      </c>
      <c r="C69" s="360">
        <v>0.3</v>
      </c>
      <c r="D69" s="109">
        <f t="shared" ref="D69:D70" si="26">D$71/C$71*C69</f>
        <v>106.02170454545455</v>
      </c>
    </row>
    <row r="70" spans="1:5" ht="13.5" thickBot="1" x14ac:dyDescent="0.25">
      <c r="A70" s="6" t="s">
        <v>186</v>
      </c>
      <c r="B70" s="6" t="s">
        <v>199</v>
      </c>
      <c r="C70" s="361">
        <v>0.4</v>
      </c>
      <c r="D70" s="109">
        <f t="shared" si="26"/>
        <v>141.36227272727274</v>
      </c>
    </row>
    <row r="71" spans="1:5" ht="13.5" thickBot="1" x14ac:dyDescent="0.25">
      <c r="A71" s="8"/>
      <c r="B71" s="102" t="s">
        <v>96</v>
      </c>
      <c r="C71" s="103">
        <f>SUM(C68:C70)</f>
        <v>1</v>
      </c>
      <c r="D71" s="104">
        <f>D57+D43+D29+D17</f>
        <v>353.40568181818185</v>
      </c>
    </row>
    <row r="72" spans="1:5" x14ac:dyDescent="0.2">
      <c r="A72" s="8"/>
      <c r="B72" s="8"/>
      <c r="C72" s="362"/>
    </row>
    <row r="73" spans="1:5" x14ac:dyDescent="0.2">
      <c r="A73" s="2"/>
      <c r="B73" s="8"/>
      <c r="C73" s="362"/>
    </row>
    <row r="74" spans="1:5" x14ac:dyDescent="0.2">
      <c r="A74" s="99" t="s">
        <v>177</v>
      </c>
      <c r="B74" s="99" t="s">
        <v>161</v>
      </c>
      <c r="C74" s="359" t="s">
        <v>544</v>
      </c>
      <c r="D74" s="351" t="s">
        <v>117</v>
      </c>
    </row>
    <row r="75" spans="1:5" x14ac:dyDescent="0.2">
      <c r="A75" s="6" t="s">
        <v>187</v>
      </c>
      <c r="B75" s="6" t="s">
        <v>162</v>
      </c>
      <c r="C75" s="360">
        <v>0.25</v>
      </c>
      <c r="D75" s="109">
        <f>D$79/C$79*C75</f>
        <v>75.816842532467518</v>
      </c>
    </row>
    <row r="76" spans="1:5" x14ac:dyDescent="0.2">
      <c r="A76" s="6" t="s">
        <v>200</v>
      </c>
      <c r="B76" s="6" t="s">
        <v>163</v>
      </c>
      <c r="C76" s="360">
        <v>0.25</v>
      </c>
      <c r="D76" s="109">
        <f t="shared" ref="D76:D78" si="27">D$79/C$79*C76</f>
        <v>75.816842532467518</v>
      </c>
    </row>
    <row r="77" spans="1:5" ht="12.75" customHeight="1" x14ac:dyDescent="0.2">
      <c r="A77" s="6" t="s">
        <v>201</v>
      </c>
      <c r="B77" s="6" t="s">
        <v>164</v>
      </c>
      <c r="C77" s="360">
        <v>0.25</v>
      </c>
      <c r="D77" s="109">
        <f t="shared" si="27"/>
        <v>75.816842532467518</v>
      </c>
    </row>
    <row r="78" spans="1:5" ht="12.75" customHeight="1" thickBot="1" x14ac:dyDescent="0.25">
      <c r="A78" s="6" t="s">
        <v>202</v>
      </c>
      <c r="B78" s="6" t="s">
        <v>165</v>
      </c>
      <c r="C78" s="361">
        <v>0.25</v>
      </c>
      <c r="D78" s="109">
        <f t="shared" si="27"/>
        <v>75.816842532467518</v>
      </c>
    </row>
    <row r="79" spans="1:5" ht="12.75" customHeight="1" thickBot="1" x14ac:dyDescent="0.25">
      <c r="A79" s="8"/>
      <c r="B79" s="102" t="s">
        <v>96</v>
      </c>
      <c r="C79" s="103">
        <f>SUM(C75:C78)</f>
        <v>1</v>
      </c>
      <c r="D79" s="104">
        <f>E57+E43+E29+E17</f>
        <v>303.26737012987007</v>
      </c>
    </row>
    <row r="80" spans="1:5" ht="12.75" customHeight="1" x14ac:dyDescent="0.2">
      <c r="A80" s="8"/>
      <c r="B80" s="8"/>
      <c r="C80" s="362"/>
      <c r="E80" s="100"/>
    </row>
    <row r="81" spans="1:5" ht="12.75" customHeight="1" x14ac:dyDescent="0.2">
      <c r="A81" s="7"/>
      <c r="B81" s="7"/>
      <c r="C81" s="362"/>
      <c r="E81" s="14"/>
    </row>
    <row r="82" spans="1:5" ht="12.75" customHeight="1" x14ac:dyDescent="0.2">
      <c r="A82" s="99" t="s">
        <v>160</v>
      </c>
      <c r="B82" s="99" t="s">
        <v>611</v>
      </c>
      <c r="C82" s="359" t="s">
        <v>544</v>
      </c>
      <c r="D82" s="351" t="s">
        <v>117</v>
      </c>
    </row>
    <row r="83" spans="1:5" ht="12.75" customHeight="1" x14ac:dyDescent="0.2">
      <c r="A83" s="6" t="s">
        <v>203</v>
      </c>
      <c r="B83" s="6" t="s">
        <v>214</v>
      </c>
      <c r="C83" s="363">
        <f t="shared" ref="C83:C84" si="28">1/3</f>
        <v>0.33333333333333331</v>
      </c>
      <c r="D83" s="109">
        <f>D$86/C$86*C83</f>
        <v>30.905032467532465</v>
      </c>
    </row>
    <row r="84" spans="1:5" x14ac:dyDescent="0.2">
      <c r="A84" s="6" t="s">
        <v>204</v>
      </c>
      <c r="B84" s="6" t="s">
        <v>215</v>
      </c>
      <c r="C84" s="363">
        <f t="shared" si="28"/>
        <v>0.33333333333333331</v>
      </c>
      <c r="D84" s="109">
        <f t="shared" ref="D84:D85" si="29">D$86/C$86*C84</f>
        <v>30.905032467532465</v>
      </c>
    </row>
    <row r="85" spans="1:5" ht="13.5" thickBot="1" x14ac:dyDescent="0.25">
      <c r="A85" s="6" t="s">
        <v>207</v>
      </c>
      <c r="B85" s="6" t="s">
        <v>216</v>
      </c>
      <c r="C85" s="363">
        <f>1/3</f>
        <v>0.33333333333333331</v>
      </c>
      <c r="D85" s="109">
        <f t="shared" si="29"/>
        <v>30.905032467532465</v>
      </c>
    </row>
    <row r="86" spans="1:5" ht="13.5" thickBot="1" x14ac:dyDescent="0.25">
      <c r="B86" s="102" t="s">
        <v>96</v>
      </c>
      <c r="C86" s="103">
        <f>SUM(C83:C85)</f>
        <v>1</v>
      </c>
      <c r="D86" s="104">
        <f>F57+F43+F29+F17</f>
        <v>92.715097402597394</v>
      </c>
      <c r="E86" s="37"/>
    </row>
    <row r="88" spans="1:5" x14ac:dyDescent="0.2">
      <c r="B88" s="8" t="s">
        <v>115</v>
      </c>
    </row>
    <row r="90" spans="1:5" x14ac:dyDescent="0.2">
      <c r="A90" s="82" t="s">
        <v>38</v>
      </c>
      <c r="B90" s="82" t="s">
        <v>139</v>
      </c>
      <c r="C90" s="364" t="s">
        <v>546</v>
      </c>
      <c r="D90" s="82" t="s">
        <v>117</v>
      </c>
    </row>
    <row r="91" spans="1:5" x14ac:dyDescent="0.2">
      <c r="A91" s="6" t="s">
        <v>84</v>
      </c>
      <c r="B91" s="6" t="s">
        <v>140</v>
      </c>
      <c r="C91" s="361">
        <v>0.35</v>
      </c>
      <c r="D91" s="109">
        <f>D$94/C$94*C91</f>
        <v>109.46232954545454</v>
      </c>
    </row>
    <row r="92" spans="1:5" x14ac:dyDescent="0.2">
      <c r="A92" s="6" t="s">
        <v>87</v>
      </c>
      <c r="B92" s="6" t="s">
        <v>141</v>
      </c>
      <c r="C92" s="361">
        <v>0.15</v>
      </c>
      <c r="D92" s="109">
        <f t="shared" ref="D92:D93" si="30">D$94/C$94*C92</f>
        <v>46.912426948051944</v>
      </c>
    </row>
    <row r="93" spans="1:5" ht="13.5" thickBot="1" x14ac:dyDescent="0.25">
      <c r="A93" s="6" t="s">
        <v>90</v>
      </c>
      <c r="B93" s="6" t="s">
        <v>142</v>
      </c>
      <c r="C93" s="361">
        <v>0.5</v>
      </c>
      <c r="D93" s="109">
        <f t="shared" si="30"/>
        <v>156.37475649350648</v>
      </c>
    </row>
    <row r="94" spans="1:5" ht="13.5" thickBot="1" x14ac:dyDescent="0.25">
      <c r="A94" s="8"/>
      <c r="B94" s="119" t="s">
        <v>96</v>
      </c>
      <c r="C94" s="106">
        <f>SUM(C91:C93)</f>
        <v>1</v>
      </c>
      <c r="D94" s="105">
        <f>G17+G29+G43+G57</f>
        <v>312.74951298701296</v>
      </c>
    </row>
    <row r="95" spans="1:5" x14ac:dyDescent="0.2">
      <c r="A95" s="8"/>
      <c r="B95" s="8"/>
      <c r="C95" s="358"/>
    </row>
    <row r="96" spans="1:5" x14ac:dyDescent="0.2">
      <c r="A96" s="2"/>
      <c r="B96" s="2"/>
      <c r="C96" s="358"/>
    </row>
    <row r="97" spans="1:4" x14ac:dyDescent="0.2">
      <c r="A97" s="82" t="s">
        <v>37</v>
      </c>
      <c r="B97" s="82" t="s">
        <v>143</v>
      </c>
      <c r="C97" s="364" t="s">
        <v>546</v>
      </c>
      <c r="D97" s="82" t="s">
        <v>117</v>
      </c>
    </row>
    <row r="98" spans="1:4" x14ac:dyDescent="0.2">
      <c r="A98" s="6" t="s">
        <v>92</v>
      </c>
      <c r="B98" s="6" t="s">
        <v>144</v>
      </c>
      <c r="C98" s="361">
        <v>0.1</v>
      </c>
      <c r="D98" s="109">
        <f>D$103/C$103*C98</f>
        <v>31.274951298701303</v>
      </c>
    </row>
    <row r="99" spans="1:4" x14ac:dyDescent="0.2">
      <c r="A99" s="6" t="s">
        <v>94</v>
      </c>
      <c r="B99" s="6" t="s">
        <v>145</v>
      </c>
      <c r="C99" s="361">
        <v>0.35</v>
      </c>
      <c r="D99" s="109">
        <f t="shared" ref="D99:D102" si="31">D$103/C$103*C99</f>
        <v>109.46232954545455</v>
      </c>
    </row>
    <row r="100" spans="1:4" x14ac:dyDescent="0.2">
      <c r="A100" s="6" t="s">
        <v>73</v>
      </c>
      <c r="B100" s="6" t="s">
        <v>146</v>
      </c>
      <c r="C100" s="361">
        <v>0.35</v>
      </c>
      <c r="D100" s="109">
        <f t="shared" si="31"/>
        <v>109.46232954545455</v>
      </c>
    </row>
    <row r="101" spans="1:4" x14ac:dyDescent="0.2">
      <c r="A101" s="6" t="s">
        <v>75</v>
      </c>
      <c r="B101" s="6" t="s">
        <v>156</v>
      </c>
      <c r="C101" s="361">
        <v>0.1</v>
      </c>
      <c r="D101" s="109">
        <f t="shared" si="31"/>
        <v>31.274951298701303</v>
      </c>
    </row>
    <row r="102" spans="1:4" ht="13.5" thickBot="1" x14ac:dyDescent="0.25">
      <c r="A102" s="6" t="s">
        <v>76</v>
      </c>
      <c r="B102" s="6" t="s">
        <v>147</v>
      </c>
      <c r="C102" s="361">
        <v>0.1</v>
      </c>
      <c r="D102" s="109">
        <f t="shared" si="31"/>
        <v>31.274951298701303</v>
      </c>
    </row>
    <row r="103" spans="1:4" ht="13.5" thickBot="1" x14ac:dyDescent="0.25">
      <c r="A103" s="8"/>
      <c r="B103" s="119" t="s">
        <v>96</v>
      </c>
      <c r="C103" s="106">
        <f>SUM(C98:C102)</f>
        <v>0.99999999999999989</v>
      </c>
      <c r="D103" s="105">
        <f>H17+H29+H43+H57</f>
        <v>312.74951298701296</v>
      </c>
    </row>
    <row r="104" spans="1:4" x14ac:dyDescent="0.2">
      <c r="A104" s="8"/>
      <c r="B104" s="8"/>
      <c r="C104" s="358"/>
    </row>
    <row r="105" spans="1:4" x14ac:dyDescent="0.2">
      <c r="A105" s="2"/>
      <c r="B105" s="2"/>
      <c r="C105" s="358"/>
    </row>
    <row r="106" spans="1:4" x14ac:dyDescent="0.2">
      <c r="A106" s="82" t="s">
        <v>148</v>
      </c>
      <c r="B106" s="82" t="s">
        <v>149</v>
      </c>
      <c r="C106" s="364" t="s">
        <v>546</v>
      </c>
      <c r="D106" s="82" t="s">
        <v>117</v>
      </c>
    </row>
    <row r="107" spans="1:4" ht="13.5" thickBot="1" x14ac:dyDescent="0.25">
      <c r="A107" s="6" t="s">
        <v>78</v>
      </c>
      <c r="B107" s="6" t="s">
        <v>150</v>
      </c>
      <c r="C107" s="361">
        <v>1</v>
      </c>
      <c r="D107" s="341">
        <f>I57+I43+I29+I17</f>
        <v>312.74951298701296</v>
      </c>
    </row>
    <row r="108" spans="1:4" ht="13.5" thickBot="1" x14ac:dyDescent="0.25">
      <c r="A108" s="8"/>
      <c r="B108" s="119" t="s">
        <v>96</v>
      </c>
      <c r="C108" s="106">
        <f>C107</f>
        <v>1</v>
      </c>
      <c r="D108" s="105">
        <f>D107</f>
        <v>312.74951298701296</v>
      </c>
    </row>
    <row r="109" spans="1:4" x14ac:dyDescent="0.2">
      <c r="A109" s="8"/>
      <c r="B109" s="8"/>
      <c r="C109" s="358"/>
    </row>
    <row r="110" spans="1:4" x14ac:dyDescent="0.2">
      <c r="A110" s="2"/>
      <c r="B110" s="2"/>
      <c r="C110" s="358"/>
    </row>
    <row r="111" spans="1:4" x14ac:dyDescent="0.2">
      <c r="A111" s="82" t="s">
        <v>151</v>
      </c>
      <c r="B111" s="82" t="s">
        <v>152</v>
      </c>
      <c r="C111" s="364" t="s">
        <v>546</v>
      </c>
      <c r="D111" s="82" t="s">
        <v>117</v>
      </c>
    </row>
    <row r="112" spans="1:4" x14ac:dyDescent="0.2">
      <c r="A112" s="6" t="s">
        <v>79</v>
      </c>
      <c r="B112" s="6" t="s">
        <v>154</v>
      </c>
      <c r="C112" s="361">
        <v>0.3</v>
      </c>
      <c r="D112" s="109">
        <f>D$116/C$116*C112</f>
        <v>93.824853896103889</v>
      </c>
    </row>
    <row r="113" spans="1:4" x14ac:dyDescent="0.2">
      <c r="A113" s="6" t="s">
        <v>74</v>
      </c>
      <c r="B113" s="141" t="s">
        <v>153</v>
      </c>
      <c r="C113" s="361">
        <v>0.2</v>
      </c>
      <c r="D113" s="109">
        <f t="shared" ref="D113:D115" si="32">D$116/C$116*C113</f>
        <v>62.549902597402593</v>
      </c>
    </row>
    <row r="114" spans="1:4" x14ac:dyDescent="0.2">
      <c r="A114" s="6" t="s">
        <v>158</v>
      </c>
      <c r="B114" s="142" t="s">
        <v>155</v>
      </c>
      <c r="C114" s="361">
        <v>0.3</v>
      </c>
      <c r="D114" s="109">
        <f t="shared" si="32"/>
        <v>93.824853896103889</v>
      </c>
    </row>
    <row r="115" spans="1:4" ht="13.5" thickBot="1" x14ac:dyDescent="0.25">
      <c r="A115" s="6" t="s">
        <v>159</v>
      </c>
      <c r="B115" s="141" t="s">
        <v>157</v>
      </c>
      <c r="C115" s="361">
        <v>0.2</v>
      </c>
      <c r="D115" s="109">
        <f t="shared" si="32"/>
        <v>62.549902597402593</v>
      </c>
    </row>
    <row r="116" spans="1:4" ht="13.5" thickBot="1" x14ac:dyDescent="0.25">
      <c r="A116" s="8"/>
      <c r="B116" s="119" t="s">
        <v>96</v>
      </c>
      <c r="C116" s="106">
        <f>SUM(C112:C115)</f>
        <v>1</v>
      </c>
      <c r="D116" s="105">
        <f>J17+J29+J43+J57</f>
        <v>312.74951298701296</v>
      </c>
    </row>
    <row r="117" spans="1:4" x14ac:dyDescent="0.2">
      <c r="A117" s="8"/>
      <c r="B117" s="2"/>
      <c r="C117" s="358"/>
    </row>
    <row r="118" spans="1:4" x14ac:dyDescent="0.2">
      <c r="A118" s="2"/>
      <c r="B118" s="2"/>
      <c r="C118" s="358"/>
    </row>
    <row r="119" spans="1:4" x14ac:dyDescent="0.2">
      <c r="A119" s="82" t="s">
        <v>205</v>
      </c>
      <c r="B119" s="82" t="s">
        <v>206</v>
      </c>
      <c r="C119" s="364" t="s">
        <v>546</v>
      </c>
      <c r="D119" s="82" t="s">
        <v>117</v>
      </c>
    </row>
    <row r="120" spans="1:4" x14ac:dyDescent="0.2">
      <c r="A120" s="6" t="s">
        <v>516</v>
      </c>
      <c r="B120" s="6" t="s">
        <v>208</v>
      </c>
      <c r="C120" s="361">
        <v>0.5</v>
      </c>
      <c r="D120" s="109">
        <f>D$122/C$122*C120</f>
        <v>1261.4556006493508</v>
      </c>
    </row>
    <row r="121" spans="1:4" ht="13.5" thickBot="1" x14ac:dyDescent="0.25">
      <c r="A121" s="6" t="s">
        <v>517</v>
      </c>
      <c r="B121" s="6" t="s">
        <v>209</v>
      </c>
      <c r="C121" s="361">
        <v>0.5</v>
      </c>
      <c r="D121" s="109">
        <f>D$122/C$122*C121</f>
        <v>1261.4556006493508</v>
      </c>
    </row>
    <row r="122" spans="1:4" ht="13.5" thickBot="1" x14ac:dyDescent="0.25">
      <c r="B122" s="119" t="s">
        <v>96</v>
      </c>
      <c r="C122" s="106">
        <f>SUM(C120:C121)</f>
        <v>1</v>
      </c>
      <c r="D122" s="105">
        <f>K17+K29+K43+K57</f>
        <v>2522.9112012987016</v>
      </c>
    </row>
  </sheetData>
  <mergeCells count="25">
    <mergeCell ref="A1:K1"/>
    <mergeCell ref="C4:F4"/>
    <mergeCell ref="C47:F47"/>
    <mergeCell ref="C39:F39"/>
    <mergeCell ref="G39:K39"/>
    <mergeCell ref="G4:K4"/>
    <mergeCell ref="C21:F21"/>
    <mergeCell ref="G21:K21"/>
    <mergeCell ref="C33:F33"/>
    <mergeCell ref="G33:K33"/>
    <mergeCell ref="G47:K47"/>
    <mergeCell ref="C12:F12"/>
    <mergeCell ref="G12:K12"/>
    <mergeCell ref="C26:F26"/>
    <mergeCell ref="L12:L13"/>
    <mergeCell ref="L4:L5"/>
    <mergeCell ref="L39:L40"/>
    <mergeCell ref="L26:L27"/>
    <mergeCell ref="C53:F53"/>
    <mergeCell ref="G53:K53"/>
    <mergeCell ref="L53:L54"/>
    <mergeCell ref="L21:L22"/>
    <mergeCell ref="L33:L34"/>
    <mergeCell ref="L47:L48"/>
    <mergeCell ref="G26:K2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X121"/>
  <sheetViews>
    <sheetView topLeftCell="A52" workbookViewId="0">
      <selection activeCell="D72" sqref="D72"/>
    </sheetView>
  </sheetViews>
  <sheetFormatPr baseColWidth="10" defaultRowHeight="12.75" x14ac:dyDescent="0.2"/>
  <cols>
    <col min="1" max="1" width="5.7109375" style="26" customWidth="1"/>
    <col min="2" max="2" width="61.140625" customWidth="1"/>
    <col min="3" max="7" width="16.42578125" customWidth="1"/>
    <col min="10" max="10" width="12" bestFit="1" customWidth="1"/>
  </cols>
  <sheetData>
    <row r="1" spans="1:24" s="121" customFormat="1" ht="41.25" customHeight="1" thickBot="1" x14ac:dyDescent="0.25">
      <c r="A1" s="537" t="s">
        <v>118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</row>
    <row r="2" spans="1:24" ht="15.75" customHeight="1" thickTop="1" x14ac:dyDescent="0.2"/>
    <row r="3" spans="1:24" ht="15.75" customHeight="1" x14ac:dyDescent="0.2">
      <c r="B3" s="7" t="s">
        <v>547</v>
      </c>
    </row>
    <row r="4" spans="1:24" ht="15.75" customHeight="1" x14ac:dyDescent="0.2">
      <c r="A4" s="26" t="s">
        <v>49</v>
      </c>
      <c r="B4" s="7" t="s">
        <v>548</v>
      </c>
    </row>
    <row r="5" spans="1:24" ht="15.75" customHeight="1" x14ac:dyDescent="0.2">
      <c r="A5" s="101"/>
      <c r="C5" s="7"/>
      <c r="D5" s="7"/>
      <c r="E5" s="7"/>
      <c r="F5" s="7"/>
      <c r="G5" s="7"/>
    </row>
    <row r="6" spans="1:24" s="48" customFormat="1" ht="15.75" customHeight="1" x14ac:dyDescent="0.2">
      <c r="C6" s="497" t="s">
        <v>16</v>
      </c>
      <c r="D6" s="498"/>
      <c r="E6" s="498"/>
      <c r="F6" s="498"/>
      <c r="G6" s="499"/>
      <c r="H6" s="490" t="s">
        <v>96</v>
      </c>
    </row>
    <row r="7" spans="1:24" s="48" customFormat="1" ht="15.75" customHeight="1" x14ac:dyDescent="0.2">
      <c r="A7" s="99" t="s">
        <v>49</v>
      </c>
      <c r="B7" s="99" t="s">
        <v>39</v>
      </c>
      <c r="C7" s="63" t="s">
        <v>38</v>
      </c>
      <c r="D7" s="63" t="s">
        <v>37</v>
      </c>
      <c r="E7" s="63" t="s">
        <v>148</v>
      </c>
      <c r="F7" s="63" t="s">
        <v>151</v>
      </c>
      <c r="G7" s="63" t="s">
        <v>518</v>
      </c>
      <c r="H7" s="490"/>
    </row>
    <row r="8" spans="1:24" ht="15.75" customHeight="1" x14ac:dyDescent="0.2">
      <c r="A8" s="348" t="s">
        <v>63</v>
      </c>
      <c r="B8" s="347" t="s">
        <v>549</v>
      </c>
      <c r="C8" s="346">
        <v>1</v>
      </c>
      <c r="D8" s="346">
        <v>1</v>
      </c>
      <c r="E8" s="346">
        <v>1</v>
      </c>
      <c r="F8" s="346">
        <v>1</v>
      </c>
      <c r="G8" s="346">
        <v>1</v>
      </c>
      <c r="H8" s="117">
        <f>SUM(C8:G8)</f>
        <v>5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</row>
    <row r="9" spans="1:24" ht="15.75" customHeight="1" x14ac:dyDescent="0.2">
      <c r="A9" s="348" t="s">
        <v>64</v>
      </c>
      <c r="B9" s="347" t="s">
        <v>549</v>
      </c>
      <c r="C9" s="346">
        <v>1</v>
      </c>
      <c r="D9" s="346">
        <v>1</v>
      </c>
      <c r="E9" s="346">
        <v>1</v>
      </c>
      <c r="F9" s="346">
        <v>1</v>
      </c>
      <c r="G9" s="346">
        <v>1</v>
      </c>
      <c r="H9" s="117">
        <f>SUM(C9:G9)</f>
        <v>5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</row>
    <row r="10" spans="1:24" ht="15.75" customHeight="1" x14ac:dyDescent="0.2"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</row>
    <row r="11" spans="1:24" ht="15.75" customHeight="1" x14ac:dyDescent="0.2"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</row>
    <row r="12" spans="1:24" ht="15.75" customHeight="1" x14ac:dyDescent="0.2">
      <c r="A12" s="48"/>
      <c r="B12" s="48"/>
      <c r="C12" s="497" t="s">
        <v>16</v>
      </c>
      <c r="D12" s="498"/>
      <c r="E12" s="498"/>
      <c r="F12" s="498"/>
      <c r="G12" s="499"/>
      <c r="H12" s="535" t="s">
        <v>119</v>
      </c>
      <c r="I12" s="533" t="s">
        <v>120</v>
      </c>
      <c r="J12" s="490" t="s">
        <v>96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</row>
    <row r="13" spans="1:24" ht="15.75" customHeight="1" x14ac:dyDescent="0.2">
      <c r="A13" s="99" t="s">
        <v>49</v>
      </c>
      <c r="B13" s="99" t="s">
        <v>185</v>
      </c>
      <c r="C13" s="63" t="s">
        <v>38</v>
      </c>
      <c r="D13" s="63" t="s">
        <v>37</v>
      </c>
      <c r="E13" s="63" t="s">
        <v>148</v>
      </c>
      <c r="F13" s="63" t="s">
        <v>151</v>
      </c>
      <c r="G13" s="63" t="s">
        <v>518</v>
      </c>
      <c r="H13" s="536"/>
      <c r="I13" s="534"/>
      <c r="J13" s="490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</row>
    <row r="14" spans="1:24" s="45" customFormat="1" ht="15.75" customHeight="1" x14ac:dyDescent="0.2">
      <c r="A14" s="6" t="s">
        <v>9</v>
      </c>
      <c r="B14" s="6" t="s">
        <v>188</v>
      </c>
      <c r="C14" s="74">
        <f>C8*$J14/$H8</f>
        <v>28.378490259740254</v>
      </c>
      <c r="D14" s="74">
        <f t="shared" ref="D14:G15" si="0">D8*$J14/$H8</f>
        <v>28.378490259740254</v>
      </c>
      <c r="E14" s="74">
        <f t="shared" si="0"/>
        <v>28.378490259740254</v>
      </c>
      <c r="F14" s="74">
        <f t="shared" si="0"/>
        <v>28.378490259740254</v>
      </c>
      <c r="G14" s="74">
        <f t="shared" si="0"/>
        <v>28.378490259740254</v>
      </c>
      <c r="H14" s="365">
        <f>'Proceso II'!C152</f>
        <v>114.07792207792207</v>
      </c>
      <c r="I14" s="114">
        <f>'Proceso III'!D62</f>
        <v>27.814529220779217</v>
      </c>
      <c r="J14" s="116">
        <f>SUM(H14:I14)</f>
        <v>141.89245129870127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</row>
    <row r="15" spans="1:24" s="45" customFormat="1" ht="15.75" customHeight="1" x14ac:dyDescent="0.2">
      <c r="A15" s="6" t="s">
        <v>7</v>
      </c>
      <c r="B15" s="6" t="s">
        <v>189</v>
      </c>
      <c r="C15" s="74">
        <f>C9*$J15/$H9</f>
        <v>191.15965909090909</v>
      </c>
      <c r="D15" s="74">
        <f t="shared" si="0"/>
        <v>191.15965909090909</v>
      </c>
      <c r="E15" s="74">
        <f t="shared" si="0"/>
        <v>191.15965909090909</v>
      </c>
      <c r="F15" s="74">
        <f t="shared" si="0"/>
        <v>191.15965909090909</v>
      </c>
      <c r="G15" s="74">
        <f t="shared" si="0"/>
        <v>191.15965909090909</v>
      </c>
      <c r="H15" s="365">
        <f>'Proceso II'!D152</f>
        <v>890.89772727272725</v>
      </c>
      <c r="I15" s="114">
        <f>'Proceso III'!D63</f>
        <v>64.900568181818173</v>
      </c>
      <c r="J15" s="116">
        <f>SUM(H15:I15)</f>
        <v>955.79829545454538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</row>
    <row r="16" spans="1:24" s="45" customFormat="1" ht="15.75" customHeight="1" x14ac:dyDescent="0.2">
      <c r="A16" s="8"/>
      <c r="B16" s="108" t="s">
        <v>96</v>
      </c>
      <c r="C16" s="120">
        <f>SUM(C14:C15)</f>
        <v>219.53814935064935</v>
      </c>
      <c r="D16" s="120">
        <f t="shared" ref="D16:G16" si="1">SUM(D14:D15)</f>
        <v>219.53814935064935</v>
      </c>
      <c r="E16" s="120">
        <f t="shared" si="1"/>
        <v>219.53814935064935</v>
      </c>
      <c r="F16" s="120">
        <f t="shared" si="1"/>
        <v>219.53814935064935</v>
      </c>
      <c r="G16" s="120">
        <f t="shared" si="1"/>
        <v>219.53814935064935</v>
      </c>
      <c r="H16" s="112">
        <f>SUM(H14:H15)</f>
        <v>1004.9756493506493</v>
      </c>
      <c r="I16" s="115">
        <f>SUM(I14:I15)</f>
        <v>92.715097402597394</v>
      </c>
      <c r="J16" s="115">
        <f>SUM(J14:J15)</f>
        <v>1097.6907467532467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</row>
    <row r="17" spans="1:24" s="45" customFormat="1" ht="15.75" customHeight="1" x14ac:dyDescent="0.2">
      <c r="A17" s="8"/>
      <c r="B17" s="8"/>
      <c r="C17"/>
      <c r="D17"/>
      <c r="E17"/>
      <c r="F17"/>
      <c r="G17"/>
      <c r="H17"/>
      <c r="I17"/>
      <c r="J17" s="11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</row>
    <row r="18" spans="1:24" s="45" customFormat="1" ht="15.75" customHeight="1" x14ac:dyDescent="0.2">
      <c r="A18" s="8" t="s">
        <v>176</v>
      </c>
      <c r="B18" s="8" t="s">
        <v>526</v>
      </c>
      <c r="C18"/>
      <c r="D18"/>
      <c r="E18"/>
      <c r="F18"/>
      <c r="G18"/>
      <c r="H18"/>
      <c r="I18"/>
      <c r="J18" s="11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</row>
    <row r="19" spans="1:24" ht="15.75" customHeight="1" x14ac:dyDescent="0.2"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</row>
    <row r="20" spans="1:24" ht="15.75" customHeight="1" x14ac:dyDescent="0.2">
      <c r="C20" s="497" t="s">
        <v>16</v>
      </c>
      <c r="D20" s="498"/>
      <c r="E20" s="498"/>
      <c r="F20" s="498"/>
      <c r="G20" s="499"/>
      <c r="H20" s="490" t="s">
        <v>96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</row>
    <row r="21" spans="1:24" ht="15.75" customHeight="1" x14ac:dyDescent="0.2">
      <c r="A21" s="99" t="s">
        <v>176</v>
      </c>
      <c r="B21" s="99" t="s">
        <v>39</v>
      </c>
      <c r="C21" s="63" t="s">
        <v>38</v>
      </c>
      <c r="D21" s="63" t="s">
        <v>37</v>
      </c>
      <c r="E21" s="63" t="s">
        <v>148</v>
      </c>
      <c r="F21" s="63" t="s">
        <v>151</v>
      </c>
      <c r="G21" s="63" t="s">
        <v>518</v>
      </c>
      <c r="H21" s="490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</row>
    <row r="22" spans="1:24" ht="15.75" customHeight="1" x14ac:dyDescent="0.2">
      <c r="A22" s="348" t="s">
        <v>65</v>
      </c>
      <c r="B22" s="347" t="s">
        <v>539</v>
      </c>
      <c r="C22" s="73">
        <v>0.1</v>
      </c>
      <c r="D22" s="73">
        <v>0.2</v>
      </c>
      <c r="E22" s="73">
        <v>0.15</v>
      </c>
      <c r="F22" s="73">
        <v>0.15</v>
      </c>
      <c r="G22" s="73">
        <v>0.4</v>
      </c>
      <c r="H22" s="90">
        <f>SUM(C22:G22)</f>
        <v>1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</row>
    <row r="23" spans="1:24" ht="15.75" customHeight="1" x14ac:dyDescent="0.2">
      <c r="A23" s="348" t="s">
        <v>66</v>
      </c>
      <c r="B23" s="347" t="s">
        <v>540</v>
      </c>
      <c r="C23" s="346">
        <v>1</v>
      </c>
      <c r="D23" s="346">
        <v>1</v>
      </c>
      <c r="E23" s="346">
        <v>1</v>
      </c>
      <c r="F23" s="346">
        <v>1</v>
      </c>
      <c r="G23" s="346">
        <v>1</v>
      </c>
      <c r="H23" s="117">
        <f t="shared" ref="H23:H24" si="2">SUM(C23:G23)</f>
        <v>5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r="24" spans="1:24" ht="15.75" customHeight="1" x14ac:dyDescent="0.2">
      <c r="A24" s="348" t="s">
        <v>67</v>
      </c>
      <c r="B24" s="347" t="s">
        <v>540</v>
      </c>
      <c r="C24" s="346">
        <v>1</v>
      </c>
      <c r="D24" s="346">
        <v>1</v>
      </c>
      <c r="E24" s="346">
        <v>1</v>
      </c>
      <c r="F24" s="346">
        <v>1</v>
      </c>
      <c r="G24" s="346">
        <v>1</v>
      </c>
      <c r="H24" s="117">
        <f t="shared" si="2"/>
        <v>5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r="25" spans="1:24" ht="15.75" customHeight="1" x14ac:dyDescent="0.2"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 spans="1:24" ht="15.75" customHeight="1" x14ac:dyDescent="0.2">
      <c r="C26" s="497" t="s">
        <v>16</v>
      </c>
      <c r="D26" s="498"/>
      <c r="E26" s="498"/>
      <c r="F26" s="498"/>
      <c r="G26" s="499"/>
      <c r="H26" s="535" t="s">
        <v>119</v>
      </c>
      <c r="I26" s="533" t="s">
        <v>120</v>
      </c>
      <c r="J26" s="490" t="s">
        <v>96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 spans="1:24" ht="15.75" customHeight="1" x14ac:dyDescent="0.2">
      <c r="A27" s="99" t="s">
        <v>176</v>
      </c>
      <c r="B27" s="99" t="s">
        <v>196</v>
      </c>
      <c r="C27" s="63" t="s">
        <v>38</v>
      </c>
      <c r="D27" s="63" t="s">
        <v>37</v>
      </c>
      <c r="E27" s="63" t="s">
        <v>148</v>
      </c>
      <c r="F27" s="63" t="s">
        <v>151</v>
      </c>
      <c r="G27" s="63" t="s">
        <v>518</v>
      </c>
      <c r="H27" s="536"/>
      <c r="I27" s="534"/>
      <c r="J27" s="490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4" ht="15.75" customHeight="1" x14ac:dyDescent="0.2">
      <c r="A28" s="6" t="s">
        <v>8</v>
      </c>
      <c r="B28" s="6" t="s">
        <v>197</v>
      </c>
      <c r="C28" s="74">
        <f>C22*$J28/$H22</f>
        <v>21.211748376623376</v>
      </c>
      <c r="D28" s="74">
        <f t="shared" ref="D28:G28" si="3">D22*$J28/$H22</f>
        <v>42.423496753246752</v>
      </c>
      <c r="E28" s="74">
        <f t="shared" si="3"/>
        <v>31.817622564935064</v>
      </c>
      <c r="F28" s="74">
        <f t="shared" si="3"/>
        <v>31.817622564935064</v>
      </c>
      <c r="G28" s="74">
        <f t="shared" si="3"/>
        <v>84.846993506493504</v>
      </c>
      <c r="H28" s="111">
        <f>'Proceso II'!C179</f>
        <v>106.09577922077921</v>
      </c>
      <c r="I28" s="114">
        <f>'Proceso III'!D68</f>
        <v>106.02170454545455</v>
      </c>
      <c r="J28" s="116">
        <f>SUM(H28:I28)</f>
        <v>212.11748376623376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4" ht="15.75" customHeight="1" x14ac:dyDescent="0.2">
      <c r="A29" s="6" t="s">
        <v>166</v>
      </c>
      <c r="B29" s="6" t="s">
        <v>198</v>
      </c>
      <c r="C29" s="74">
        <f t="shared" ref="C29:G30" si="4">C23*$J29/$H23</f>
        <v>90.422522727272735</v>
      </c>
      <c r="D29" s="74">
        <f t="shared" si="4"/>
        <v>90.422522727272735</v>
      </c>
      <c r="E29" s="74">
        <f t="shared" si="4"/>
        <v>90.422522727272735</v>
      </c>
      <c r="F29" s="74">
        <f t="shared" si="4"/>
        <v>90.422522727272735</v>
      </c>
      <c r="G29" s="74">
        <f t="shared" si="4"/>
        <v>90.422522727272735</v>
      </c>
      <c r="H29" s="111">
        <f>'Proceso II'!D179</f>
        <v>346.09090909090912</v>
      </c>
      <c r="I29" s="114">
        <f>'Proceso III'!D69</f>
        <v>106.02170454545455</v>
      </c>
      <c r="J29" s="116">
        <f>SUM(H29:I29)</f>
        <v>452.11261363636368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spans="1:24" ht="15.75" customHeight="1" x14ac:dyDescent="0.2">
      <c r="A30" s="6" t="s">
        <v>186</v>
      </c>
      <c r="B30" s="6" t="s">
        <v>199</v>
      </c>
      <c r="C30" s="74">
        <f t="shared" si="4"/>
        <v>138.83024675324674</v>
      </c>
      <c r="D30" s="74">
        <f t="shared" si="4"/>
        <v>138.83024675324674</v>
      </c>
      <c r="E30" s="74">
        <f t="shared" si="4"/>
        <v>138.83024675324674</v>
      </c>
      <c r="F30" s="74">
        <f t="shared" si="4"/>
        <v>138.83024675324674</v>
      </c>
      <c r="G30" s="74">
        <f t="shared" si="4"/>
        <v>138.83024675324674</v>
      </c>
      <c r="H30" s="111">
        <f>'Proceso II'!E179</f>
        <v>552.78896103896102</v>
      </c>
      <c r="I30" s="114">
        <f>'Proceso III'!D70</f>
        <v>141.36227272727274</v>
      </c>
      <c r="J30" s="116">
        <f>SUM(H30:I30)</f>
        <v>694.15123376623376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 spans="1:24" ht="15.75" customHeight="1" x14ac:dyDescent="0.2">
      <c r="B31" s="108" t="s">
        <v>96</v>
      </c>
      <c r="C31" s="120">
        <f>SUM(C28:C30)</f>
        <v>250.46451785714285</v>
      </c>
      <c r="D31" s="120">
        <f t="shared" ref="D31:G31" si="5">SUM(D28:D30)</f>
        <v>271.67626623376623</v>
      </c>
      <c r="E31" s="120">
        <f t="shared" si="5"/>
        <v>261.07039204545453</v>
      </c>
      <c r="F31" s="120">
        <f t="shared" si="5"/>
        <v>261.07039204545453</v>
      </c>
      <c r="G31" s="120">
        <f t="shared" si="5"/>
        <v>314.09976298701298</v>
      </c>
      <c r="H31" s="112">
        <f>SUM(H28:H30)</f>
        <v>1004.9756493506493</v>
      </c>
      <c r="I31" s="115">
        <f>SUM(I28:I30)</f>
        <v>353.40568181818185</v>
      </c>
      <c r="J31" s="115">
        <f>SUM(H31:I31)</f>
        <v>1358.3813311688311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 spans="1:24" ht="15.75" customHeight="1" x14ac:dyDescent="0.2">
      <c r="J32" s="11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 spans="1:24" ht="15.75" customHeight="1" x14ac:dyDescent="0.2">
      <c r="A33" s="8" t="s">
        <v>177</v>
      </c>
      <c r="B33" s="8" t="s">
        <v>527</v>
      </c>
      <c r="J33" s="11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r="34" spans="1:24" ht="15.75" customHeight="1" x14ac:dyDescent="0.2"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r="35" spans="1:24" ht="15.75" customHeight="1" x14ac:dyDescent="0.2">
      <c r="C35" s="497" t="s">
        <v>16</v>
      </c>
      <c r="D35" s="498"/>
      <c r="E35" s="498"/>
      <c r="F35" s="498"/>
      <c r="G35" s="499"/>
      <c r="H35" s="490" t="s">
        <v>96</v>
      </c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</row>
    <row r="36" spans="1:24" ht="15.75" customHeight="1" x14ac:dyDescent="0.2">
      <c r="A36" s="99" t="s">
        <v>177</v>
      </c>
      <c r="B36" s="99" t="s">
        <v>39</v>
      </c>
      <c r="C36" s="63" t="s">
        <v>38</v>
      </c>
      <c r="D36" s="63" t="s">
        <v>37</v>
      </c>
      <c r="E36" s="63" t="s">
        <v>148</v>
      </c>
      <c r="F36" s="63" t="s">
        <v>151</v>
      </c>
      <c r="G36" s="63" t="s">
        <v>518</v>
      </c>
      <c r="H36" s="490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</row>
    <row r="37" spans="1:24" ht="15.75" customHeight="1" x14ac:dyDescent="0.2">
      <c r="A37" s="348" t="s">
        <v>68</v>
      </c>
      <c r="B37" s="347" t="s">
        <v>509</v>
      </c>
      <c r="C37" s="346"/>
      <c r="D37" s="350">
        <v>1</v>
      </c>
      <c r="E37" s="346"/>
      <c r="F37" s="346"/>
      <c r="G37" s="346"/>
      <c r="H37" s="90">
        <f>SUM(C37:G37)</f>
        <v>1</v>
      </c>
    </row>
    <row r="38" spans="1:24" ht="15.75" customHeight="1" x14ac:dyDescent="0.2">
      <c r="A38" s="348" t="s">
        <v>70</v>
      </c>
      <c r="B38" s="347" t="s">
        <v>539</v>
      </c>
      <c r="C38" s="73"/>
      <c r="D38" s="73"/>
      <c r="E38" s="73">
        <v>0.4</v>
      </c>
      <c r="F38" s="73">
        <v>0.3</v>
      </c>
      <c r="G38" s="73">
        <v>0.3</v>
      </c>
      <c r="H38" s="90">
        <f t="shared" ref="H38:H40" si="6">SUM(C38:G38)</f>
        <v>1</v>
      </c>
    </row>
    <row r="39" spans="1:24" ht="15.75" customHeight="1" x14ac:dyDescent="0.2">
      <c r="A39" s="348" t="s">
        <v>69</v>
      </c>
      <c r="B39" s="347" t="s">
        <v>539</v>
      </c>
      <c r="C39" s="73"/>
      <c r="D39" s="73"/>
      <c r="E39" s="73">
        <v>0.4</v>
      </c>
      <c r="F39" s="73">
        <v>0.3</v>
      </c>
      <c r="G39" s="73">
        <v>0.3</v>
      </c>
      <c r="H39" s="90">
        <f t="shared" si="6"/>
        <v>1</v>
      </c>
    </row>
    <row r="40" spans="1:24" ht="15.75" customHeight="1" x14ac:dyDescent="0.2">
      <c r="A40" s="348" t="s">
        <v>71</v>
      </c>
      <c r="B40" s="347" t="s">
        <v>539</v>
      </c>
      <c r="C40" s="73"/>
      <c r="D40" s="73"/>
      <c r="E40" s="73">
        <v>0.5</v>
      </c>
      <c r="F40" s="73">
        <v>0.2</v>
      </c>
      <c r="G40" s="73">
        <v>0.3</v>
      </c>
      <c r="H40" s="90">
        <f t="shared" si="6"/>
        <v>1</v>
      </c>
    </row>
    <row r="41" spans="1:24" ht="15.75" customHeight="1" x14ac:dyDescent="0.2"/>
    <row r="42" spans="1:24" ht="15.75" customHeight="1" x14ac:dyDescent="0.2"/>
    <row r="43" spans="1:24" ht="15.75" customHeight="1" x14ac:dyDescent="0.2">
      <c r="C43" s="497" t="s">
        <v>16</v>
      </c>
      <c r="D43" s="498"/>
      <c r="E43" s="498"/>
      <c r="F43" s="498"/>
      <c r="G43" s="499"/>
      <c r="H43" s="535" t="s">
        <v>119</v>
      </c>
      <c r="I43" s="533" t="s">
        <v>120</v>
      </c>
      <c r="J43" s="490" t="s">
        <v>96</v>
      </c>
    </row>
    <row r="44" spans="1:24" ht="15.75" customHeight="1" x14ac:dyDescent="0.2">
      <c r="A44" s="99" t="s">
        <v>177</v>
      </c>
      <c r="B44" s="99" t="s">
        <v>161</v>
      </c>
      <c r="C44" s="63" t="s">
        <v>38</v>
      </c>
      <c r="D44" s="63" t="s">
        <v>37</v>
      </c>
      <c r="E44" s="63" t="s">
        <v>148</v>
      </c>
      <c r="F44" s="63" t="s">
        <v>151</v>
      </c>
      <c r="G44" s="63" t="s">
        <v>518</v>
      </c>
      <c r="H44" s="536"/>
      <c r="I44" s="534"/>
      <c r="J44" s="490"/>
    </row>
    <row r="45" spans="1:24" ht="15.75" customHeight="1" x14ac:dyDescent="0.2">
      <c r="A45" s="6" t="s">
        <v>187</v>
      </c>
      <c r="B45" s="6" t="s">
        <v>162</v>
      </c>
      <c r="C45" s="74">
        <f>C37*$J45/$H37</f>
        <v>0</v>
      </c>
      <c r="D45" s="74">
        <f t="shared" ref="D45:G45" si="7">D37*$J45/$H37</f>
        <v>946.2161931818182</v>
      </c>
      <c r="E45" s="74">
        <f t="shared" si="7"/>
        <v>0</v>
      </c>
      <c r="F45" s="74">
        <f t="shared" si="7"/>
        <v>0</v>
      </c>
      <c r="G45" s="74">
        <f t="shared" si="7"/>
        <v>0</v>
      </c>
      <c r="H45" s="111">
        <f>'Proceso II'!C200</f>
        <v>870.39935064935071</v>
      </c>
      <c r="I45" s="114">
        <f>'Proceso III'!D75</f>
        <v>75.816842532467518</v>
      </c>
      <c r="J45" s="116">
        <f>SUM(H45:I45)</f>
        <v>946.2161931818182</v>
      </c>
    </row>
    <row r="46" spans="1:24" ht="15.75" customHeight="1" x14ac:dyDescent="0.2">
      <c r="A46" s="6" t="s">
        <v>200</v>
      </c>
      <c r="B46" s="6" t="s">
        <v>163</v>
      </c>
      <c r="C46" s="74">
        <f t="shared" ref="C46:G48" si="8">C38*$J46/$H38</f>
        <v>0</v>
      </c>
      <c r="D46" s="74">
        <f t="shared" si="8"/>
        <v>0</v>
      </c>
      <c r="E46" s="74">
        <f t="shared" si="8"/>
        <v>385.08647727272728</v>
      </c>
      <c r="F46" s="74">
        <f t="shared" si="8"/>
        <v>288.81485795454546</v>
      </c>
      <c r="G46" s="74">
        <f t="shared" si="8"/>
        <v>288.81485795454546</v>
      </c>
      <c r="H46" s="111">
        <f>'Proceso II'!D200</f>
        <v>886.89935064935071</v>
      </c>
      <c r="I46" s="114">
        <f>'Proceso III'!D76</f>
        <v>75.816842532467518</v>
      </c>
      <c r="J46" s="116">
        <f t="shared" ref="J46:J47" si="9">SUM(H46:I46)</f>
        <v>962.7161931818182</v>
      </c>
    </row>
    <row r="47" spans="1:24" ht="15.75" customHeight="1" x14ac:dyDescent="0.2">
      <c r="A47" s="6" t="s">
        <v>201</v>
      </c>
      <c r="B47" s="6" t="s">
        <v>164</v>
      </c>
      <c r="C47" s="74">
        <f t="shared" si="8"/>
        <v>0</v>
      </c>
      <c r="D47" s="74">
        <f t="shared" si="8"/>
        <v>0</v>
      </c>
      <c r="E47" s="74">
        <f t="shared" si="8"/>
        <v>378.48647727272731</v>
      </c>
      <c r="F47" s="74">
        <f t="shared" si="8"/>
        <v>283.86485795454547</v>
      </c>
      <c r="G47" s="74">
        <f t="shared" si="8"/>
        <v>283.86485795454547</v>
      </c>
      <c r="H47" s="111">
        <f>'Proceso II'!E200</f>
        <v>870.39935064935071</v>
      </c>
      <c r="I47" s="114">
        <f>'Proceso III'!D77</f>
        <v>75.816842532467518</v>
      </c>
      <c r="J47" s="116">
        <f t="shared" si="9"/>
        <v>946.2161931818182</v>
      </c>
    </row>
    <row r="48" spans="1:24" ht="15.75" customHeight="1" x14ac:dyDescent="0.2">
      <c r="A48" s="6" t="s">
        <v>202</v>
      </c>
      <c r="B48" s="6" t="s">
        <v>165</v>
      </c>
      <c r="C48" s="74">
        <f t="shared" si="8"/>
        <v>0</v>
      </c>
      <c r="D48" s="74">
        <f t="shared" si="8"/>
        <v>0</v>
      </c>
      <c r="E48" s="74">
        <f t="shared" si="8"/>
        <v>483.53991477272729</v>
      </c>
      <c r="F48" s="74">
        <f t="shared" si="8"/>
        <v>193.41596590909091</v>
      </c>
      <c r="G48" s="74">
        <f t="shared" si="8"/>
        <v>290.12394886363637</v>
      </c>
      <c r="H48" s="111">
        <f>'Proceso II'!F200</f>
        <v>891.26298701298708</v>
      </c>
      <c r="I48" s="114">
        <f>'Proceso III'!D78</f>
        <v>75.816842532467518</v>
      </c>
      <c r="J48" s="116">
        <f>SUM(H48:I48)</f>
        <v>967.07982954545457</v>
      </c>
    </row>
    <row r="49" spans="1:10" ht="15.75" customHeight="1" x14ac:dyDescent="0.2">
      <c r="B49" s="108" t="s">
        <v>96</v>
      </c>
      <c r="C49" s="120">
        <f>SUM(C45:C48)</f>
        <v>0</v>
      </c>
      <c r="D49" s="120">
        <f t="shared" ref="D49:G49" si="10">SUM(D45:D48)</f>
        <v>946.2161931818182</v>
      </c>
      <c r="E49" s="120">
        <f t="shared" si="10"/>
        <v>1247.112869318182</v>
      </c>
      <c r="F49" s="120">
        <f t="shared" si="10"/>
        <v>766.09568181818179</v>
      </c>
      <c r="G49" s="120">
        <f t="shared" si="10"/>
        <v>862.80366477272719</v>
      </c>
      <c r="H49" s="112">
        <f>SUM(H45:H48)</f>
        <v>3518.9610389610393</v>
      </c>
      <c r="I49" s="115">
        <f>SUM(I45:I48)</f>
        <v>303.26737012987007</v>
      </c>
      <c r="J49" s="115">
        <f>SUM(J45:J48)</f>
        <v>3822.2284090909093</v>
      </c>
    </row>
    <row r="50" spans="1:10" ht="15.75" customHeight="1" x14ac:dyDescent="0.2">
      <c r="H50" s="118"/>
      <c r="I50" s="118"/>
      <c r="J50" s="118"/>
    </row>
    <row r="51" spans="1:10" ht="15.75" customHeight="1" x14ac:dyDescent="0.2">
      <c r="A51" s="26" t="s">
        <v>160</v>
      </c>
      <c r="B51" s="8" t="s">
        <v>528</v>
      </c>
      <c r="H51" s="118"/>
      <c r="I51" s="118"/>
      <c r="J51" s="118"/>
    </row>
    <row r="52" spans="1:10" ht="15.75" customHeight="1" x14ac:dyDescent="0.2"/>
    <row r="53" spans="1:10" ht="15.75" customHeight="1" x14ac:dyDescent="0.2">
      <c r="C53" s="497" t="s">
        <v>16</v>
      </c>
      <c r="D53" s="498"/>
      <c r="E53" s="498"/>
      <c r="F53" s="498"/>
      <c r="G53" s="499"/>
      <c r="H53" s="490" t="s">
        <v>96</v>
      </c>
    </row>
    <row r="54" spans="1:10" ht="15.75" customHeight="1" x14ac:dyDescent="0.2">
      <c r="A54" s="99" t="s">
        <v>160</v>
      </c>
      <c r="B54" s="99" t="s">
        <v>39</v>
      </c>
      <c r="C54" s="63" t="s">
        <v>38</v>
      </c>
      <c r="D54" s="63" t="s">
        <v>37</v>
      </c>
      <c r="E54" s="63" t="s">
        <v>148</v>
      </c>
      <c r="F54" s="63" t="s">
        <v>151</v>
      </c>
      <c r="G54" s="63" t="s">
        <v>518</v>
      </c>
      <c r="H54" s="490"/>
    </row>
    <row r="55" spans="1:10" ht="15.75" customHeight="1" x14ac:dyDescent="0.2">
      <c r="A55" s="348" t="s">
        <v>57</v>
      </c>
      <c r="B55" s="347" t="s">
        <v>539</v>
      </c>
      <c r="C55" s="73">
        <v>0.05</v>
      </c>
      <c r="D55" s="73">
        <v>0.5</v>
      </c>
      <c r="E55" s="73">
        <v>0.2</v>
      </c>
      <c r="F55" s="73">
        <v>0.25</v>
      </c>
      <c r="G55" s="73"/>
      <c r="H55" s="90">
        <f>SUM(C55:G55)</f>
        <v>1</v>
      </c>
    </row>
    <row r="56" spans="1:10" ht="15.75" customHeight="1" x14ac:dyDescent="0.2">
      <c r="A56" s="348" t="s">
        <v>58</v>
      </c>
      <c r="B56" s="347" t="s">
        <v>539</v>
      </c>
      <c r="C56" s="73">
        <v>0.05</v>
      </c>
      <c r="D56" s="73">
        <v>0.5</v>
      </c>
      <c r="E56" s="73">
        <v>0.2</v>
      </c>
      <c r="F56" s="73">
        <v>0.25</v>
      </c>
      <c r="G56" s="73"/>
      <c r="H56" s="90">
        <f t="shared" ref="H56:H57" si="11">SUM(C56:G56)</f>
        <v>1</v>
      </c>
    </row>
    <row r="57" spans="1:10" ht="15.75" customHeight="1" x14ac:dyDescent="0.2">
      <c r="A57" s="348" t="s">
        <v>56</v>
      </c>
      <c r="B57" s="347" t="s">
        <v>539</v>
      </c>
      <c r="C57" s="73"/>
      <c r="D57" s="73"/>
      <c r="E57" s="73">
        <v>0.5</v>
      </c>
      <c r="F57" s="73">
        <v>0.2</v>
      </c>
      <c r="G57" s="73">
        <v>0.3</v>
      </c>
      <c r="H57" s="90">
        <f t="shared" si="11"/>
        <v>1</v>
      </c>
    </row>
    <row r="60" spans="1:10" x14ac:dyDescent="0.2">
      <c r="C60" s="497" t="s">
        <v>16</v>
      </c>
      <c r="D60" s="498"/>
      <c r="E60" s="498"/>
      <c r="F60" s="498"/>
      <c r="G60" s="499"/>
      <c r="H60" s="535" t="s">
        <v>119</v>
      </c>
      <c r="I60" s="533" t="s">
        <v>120</v>
      </c>
      <c r="J60" s="490" t="s">
        <v>96</v>
      </c>
    </row>
    <row r="61" spans="1:10" x14ac:dyDescent="0.2">
      <c r="A61" s="99" t="s">
        <v>160</v>
      </c>
      <c r="B61" s="99" t="s">
        <v>611</v>
      </c>
      <c r="C61" s="63" t="s">
        <v>38</v>
      </c>
      <c r="D61" s="63" t="s">
        <v>37</v>
      </c>
      <c r="E61" s="63" t="s">
        <v>148</v>
      </c>
      <c r="F61" s="63" t="s">
        <v>151</v>
      </c>
      <c r="G61" s="63" t="s">
        <v>518</v>
      </c>
      <c r="H61" s="536"/>
      <c r="I61" s="534"/>
      <c r="J61" s="490"/>
    </row>
    <row r="62" spans="1:10" x14ac:dyDescent="0.2">
      <c r="A62" s="6" t="s">
        <v>203</v>
      </c>
      <c r="B62" s="6" t="s">
        <v>214</v>
      </c>
      <c r="C62" s="74">
        <f>C55*$J62/$H55</f>
        <v>48.262784090909093</v>
      </c>
      <c r="D62" s="74">
        <f t="shared" ref="D62:G62" si="12">D55*$J62/$H55</f>
        <v>482.62784090909093</v>
      </c>
      <c r="E62" s="74">
        <f t="shared" si="12"/>
        <v>193.05113636363637</v>
      </c>
      <c r="F62" s="74">
        <f t="shared" si="12"/>
        <v>241.31392045454547</v>
      </c>
      <c r="G62" s="74">
        <f t="shared" si="12"/>
        <v>0</v>
      </c>
      <c r="H62" s="111">
        <f>'Proceso II'!C229</f>
        <v>934.35064935064941</v>
      </c>
      <c r="I62" s="114">
        <f>'Proceso III'!D83</f>
        <v>30.905032467532465</v>
      </c>
      <c r="J62" s="116">
        <f>SUM(H62:I62)</f>
        <v>965.25568181818187</v>
      </c>
    </row>
    <row r="63" spans="1:10" x14ac:dyDescent="0.2">
      <c r="A63" s="6" t="s">
        <v>204</v>
      </c>
      <c r="B63" s="6" t="s">
        <v>215</v>
      </c>
      <c r="C63" s="74">
        <f t="shared" ref="C63:G64" si="13">C56*$J63/$H56</f>
        <v>30.170251623376625</v>
      </c>
      <c r="D63" s="74">
        <f t="shared" si="13"/>
        <v>301.70251623376623</v>
      </c>
      <c r="E63" s="74">
        <f t="shared" si="13"/>
        <v>120.6810064935065</v>
      </c>
      <c r="F63" s="74">
        <f t="shared" si="13"/>
        <v>150.85125811688312</v>
      </c>
      <c r="G63" s="74">
        <f t="shared" si="13"/>
        <v>0</v>
      </c>
      <c r="H63" s="111">
        <f>'Proceso II'!D229</f>
        <v>572.5</v>
      </c>
      <c r="I63" s="114">
        <f>'Proceso III'!D84</f>
        <v>30.905032467532465</v>
      </c>
      <c r="J63" s="116">
        <f t="shared" ref="J63:J64" si="14">SUM(H63:I63)</f>
        <v>603.40503246753246</v>
      </c>
    </row>
    <row r="64" spans="1:10" x14ac:dyDescent="0.2">
      <c r="A64" s="6" t="s">
        <v>207</v>
      </c>
      <c r="B64" s="6" t="s">
        <v>216</v>
      </c>
      <c r="C64" s="74">
        <f t="shared" si="13"/>
        <v>0</v>
      </c>
      <c r="D64" s="74">
        <f t="shared" si="13"/>
        <v>0</v>
      </c>
      <c r="E64" s="74">
        <f t="shared" si="13"/>
        <v>667.95251623376623</v>
      </c>
      <c r="F64" s="74">
        <f t="shared" si="13"/>
        <v>267.18100649350652</v>
      </c>
      <c r="G64" s="74">
        <f t="shared" si="13"/>
        <v>400.77150974025972</v>
      </c>
      <c r="H64" s="111">
        <f>'Proceso II'!E229</f>
        <v>1305</v>
      </c>
      <c r="I64" s="114">
        <f>'Proceso III'!D85</f>
        <v>30.905032467532465</v>
      </c>
      <c r="J64" s="116">
        <f t="shared" si="14"/>
        <v>1335.9050324675325</v>
      </c>
    </row>
    <row r="65" spans="1:10" x14ac:dyDescent="0.2">
      <c r="A65" s="101"/>
      <c r="B65" s="108" t="s">
        <v>96</v>
      </c>
      <c r="C65" s="120">
        <f>SUM(C62:C64)</f>
        <v>78.433035714285722</v>
      </c>
      <c r="D65" s="120">
        <f t="shared" ref="D65:G65" si="15">SUM(D62:D64)</f>
        <v>784.33035714285711</v>
      </c>
      <c r="E65" s="120">
        <f t="shared" si="15"/>
        <v>981.68465909090912</v>
      </c>
      <c r="F65" s="120">
        <f t="shared" si="15"/>
        <v>659.34618506493507</v>
      </c>
      <c r="G65" s="120">
        <f t="shared" si="15"/>
        <v>400.77150974025972</v>
      </c>
      <c r="H65" s="112">
        <f>SUM(H62:H64)</f>
        <v>2811.8506493506493</v>
      </c>
      <c r="I65" s="115">
        <f>SUM(I62:I64)</f>
        <v>92.715097402597394</v>
      </c>
      <c r="J65" s="115">
        <f>SUM(J62:J64)</f>
        <v>2904.5657467532465</v>
      </c>
    </row>
    <row r="66" spans="1:10" x14ac:dyDescent="0.2">
      <c r="A66" s="101"/>
      <c r="B66" s="7"/>
      <c r="C66" s="7"/>
      <c r="D66" s="7"/>
      <c r="E66" s="7"/>
      <c r="F66" s="7"/>
      <c r="G66" s="7"/>
    </row>
    <row r="67" spans="1:10" x14ac:dyDescent="0.2">
      <c r="A67" s="101"/>
      <c r="B67" s="7"/>
      <c r="C67" s="7"/>
      <c r="D67" s="7"/>
      <c r="E67" s="7"/>
      <c r="F67" s="7"/>
      <c r="G67" s="7"/>
    </row>
    <row r="69" spans="1:10" x14ac:dyDescent="0.2">
      <c r="A69" s="26" t="s">
        <v>38</v>
      </c>
      <c r="B69" t="s">
        <v>529</v>
      </c>
    </row>
    <row r="71" spans="1:10" x14ac:dyDescent="0.2">
      <c r="A71" s="82" t="s">
        <v>38</v>
      </c>
      <c r="B71" s="82" t="s">
        <v>139</v>
      </c>
      <c r="C71" s="364" t="s">
        <v>546</v>
      </c>
      <c r="D71" s="82" t="s">
        <v>117</v>
      </c>
    </row>
    <row r="72" spans="1:10" x14ac:dyDescent="0.2">
      <c r="A72" s="6" t="s">
        <v>84</v>
      </c>
      <c r="B72" s="6" t="s">
        <v>140</v>
      </c>
      <c r="C72" s="361">
        <v>0.35</v>
      </c>
      <c r="D72" s="109">
        <f>D$75/C$75*C72</f>
        <v>191.9524960227273</v>
      </c>
    </row>
    <row r="73" spans="1:10" x14ac:dyDescent="0.2">
      <c r="A73" s="6" t="s">
        <v>87</v>
      </c>
      <c r="B73" s="6" t="s">
        <v>141</v>
      </c>
      <c r="C73" s="361">
        <v>0.15</v>
      </c>
      <c r="D73" s="109">
        <f t="shared" ref="D73:D74" si="16">D$75/C$75*C73</f>
        <v>82.265355438311701</v>
      </c>
    </row>
    <row r="74" spans="1:10" ht="13.5" thickBot="1" x14ac:dyDescent="0.25">
      <c r="A74" s="6" t="s">
        <v>90</v>
      </c>
      <c r="B74" s="6" t="s">
        <v>142</v>
      </c>
      <c r="C74" s="361">
        <v>0.5</v>
      </c>
      <c r="D74" s="109">
        <f t="shared" si="16"/>
        <v>274.217851461039</v>
      </c>
    </row>
    <row r="75" spans="1:10" ht="13.5" thickBot="1" x14ac:dyDescent="0.25">
      <c r="A75" s="8"/>
      <c r="B75" s="119" t="s">
        <v>96</v>
      </c>
      <c r="C75" s="106">
        <f>SUM(C72:C74)</f>
        <v>1</v>
      </c>
      <c r="D75" s="105">
        <f>C65+C49+C31+C16</f>
        <v>548.43570292207801</v>
      </c>
    </row>
    <row r="76" spans="1:10" x14ac:dyDescent="0.2">
      <c r="A76" s="8"/>
      <c r="B76" s="8"/>
      <c r="C76" s="358"/>
    </row>
    <row r="77" spans="1:10" x14ac:dyDescent="0.2">
      <c r="A77" s="2"/>
      <c r="B77" s="2"/>
      <c r="C77" s="358"/>
    </row>
    <row r="78" spans="1:10" x14ac:dyDescent="0.2">
      <c r="A78" s="82" t="s">
        <v>37</v>
      </c>
      <c r="B78" s="82" t="s">
        <v>143</v>
      </c>
      <c r="C78" s="364" t="s">
        <v>546</v>
      </c>
      <c r="D78" s="82" t="s">
        <v>117</v>
      </c>
    </row>
    <row r="79" spans="1:10" x14ac:dyDescent="0.2">
      <c r="A79" s="6" t="s">
        <v>92</v>
      </c>
      <c r="B79" s="6" t="s">
        <v>144</v>
      </c>
      <c r="C79" s="361">
        <v>0.1</v>
      </c>
      <c r="D79" s="109">
        <f>D$84/C$84*C79</f>
        <v>222.17609659090914</v>
      </c>
    </row>
    <row r="80" spans="1:10" x14ac:dyDescent="0.2">
      <c r="A80" s="6" t="s">
        <v>94</v>
      </c>
      <c r="B80" s="6" t="s">
        <v>145</v>
      </c>
      <c r="C80" s="361">
        <v>0.35</v>
      </c>
      <c r="D80" s="109">
        <f t="shared" ref="D80:D83" si="17">D$103/C$103*C80</f>
        <v>629.02458039772716</v>
      </c>
    </row>
    <row r="81" spans="1:4" x14ac:dyDescent="0.2">
      <c r="A81" s="6" t="s">
        <v>73</v>
      </c>
      <c r="B81" s="6" t="s">
        <v>146</v>
      </c>
      <c r="C81" s="361">
        <v>0.35</v>
      </c>
      <c r="D81" s="109">
        <f t="shared" si="17"/>
        <v>629.02458039772716</v>
      </c>
    </row>
    <row r="82" spans="1:4" x14ac:dyDescent="0.2">
      <c r="A82" s="6" t="s">
        <v>75</v>
      </c>
      <c r="B82" s="6" t="s">
        <v>156</v>
      </c>
      <c r="C82" s="361">
        <v>0.1</v>
      </c>
      <c r="D82" s="109">
        <f t="shared" si="17"/>
        <v>179.72130868506494</v>
      </c>
    </row>
    <row r="83" spans="1:4" ht="13.5" thickBot="1" x14ac:dyDescent="0.25">
      <c r="A83" s="6" t="s">
        <v>76</v>
      </c>
      <c r="B83" s="6" t="s">
        <v>147</v>
      </c>
      <c r="C83" s="361">
        <v>0.1</v>
      </c>
      <c r="D83" s="109">
        <f t="shared" si="17"/>
        <v>179.72130868506494</v>
      </c>
    </row>
    <row r="84" spans="1:4" ht="13.5" thickBot="1" x14ac:dyDescent="0.25">
      <c r="A84" s="8"/>
      <c r="B84" s="119" t="s">
        <v>96</v>
      </c>
      <c r="C84" s="106">
        <f>SUM(C79:C83)</f>
        <v>0.99999999999999989</v>
      </c>
      <c r="D84" s="105">
        <f>D65+D49+D31+D16</f>
        <v>2221.7609659090908</v>
      </c>
    </row>
    <row r="85" spans="1:4" x14ac:dyDescent="0.2">
      <c r="A85" s="8"/>
      <c r="B85" s="8"/>
      <c r="C85" s="358"/>
    </row>
    <row r="86" spans="1:4" x14ac:dyDescent="0.2">
      <c r="A86" s="2"/>
      <c r="B86" s="2"/>
      <c r="C86" s="358"/>
    </row>
    <row r="87" spans="1:4" x14ac:dyDescent="0.2">
      <c r="A87" s="82" t="s">
        <v>148</v>
      </c>
      <c r="B87" s="82" t="s">
        <v>149</v>
      </c>
      <c r="C87" s="364" t="s">
        <v>546</v>
      </c>
      <c r="D87" s="82" t="s">
        <v>117</v>
      </c>
    </row>
    <row r="88" spans="1:4" ht="13.5" thickBot="1" x14ac:dyDescent="0.25">
      <c r="A88" s="6" t="s">
        <v>78</v>
      </c>
      <c r="B88" s="6" t="s">
        <v>150</v>
      </c>
      <c r="C88" s="361">
        <v>1</v>
      </c>
      <c r="D88" s="109">
        <f>D89</f>
        <v>2709.4060698051949</v>
      </c>
    </row>
    <row r="89" spans="1:4" ht="13.5" thickBot="1" x14ac:dyDescent="0.25">
      <c r="A89" s="8"/>
      <c r="B89" s="119" t="s">
        <v>96</v>
      </c>
      <c r="C89" s="106">
        <f>C88</f>
        <v>1</v>
      </c>
      <c r="D89" s="105">
        <f>E65+E49+E31+E16</f>
        <v>2709.4060698051949</v>
      </c>
    </row>
    <row r="90" spans="1:4" x14ac:dyDescent="0.2">
      <c r="A90" s="8"/>
      <c r="B90" s="8"/>
      <c r="C90" s="358"/>
    </row>
    <row r="91" spans="1:4" x14ac:dyDescent="0.2">
      <c r="A91" s="2"/>
      <c r="B91" s="2"/>
      <c r="C91" s="358"/>
    </row>
    <row r="92" spans="1:4" x14ac:dyDescent="0.2">
      <c r="A92" s="82" t="s">
        <v>151</v>
      </c>
      <c r="B92" s="82" t="s">
        <v>152</v>
      </c>
      <c r="C92" s="364" t="s">
        <v>546</v>
      </c>
      <c r="D92" s="82" t="s">
        <v>117</v>
      </c>
    </row>
    <row r="93" spans="1:4" x14ac:dyDescent="0.2">
      <c r="A93" s="6" t="s">
        <v>79</v>
      </c>
      <c r="B93" s="6" t="s">
        <v>154</v>
      </c>
      <c r="C93" s="361">
        <v>0.3</v>
      </c>
      <c r="D93" s="109">
        <f>D$97/C$97*C93</f>
        <v>571.81512248376612</v>
      </c>
    </row>
    <row r="94" spans="1:4" x14ac:dyDescent="0.2">
      <c r="A94" s="6" t="s">
        <v>74</v>
      </c>
      <c r="B94" s="141" t="s">
        <v>153</v>
      </c>
      <c r="C94" s="361">
        <v>0.2</v>
      </c>
      <c r="D94" s="109">
        <f t="shared" ref="D94:D96" si="18">D$97/C$97*C94</f>
        <v>381.21008165584414</v>
      </c>
    </row>
    <row r="95" spans="1:4" x14ac:dyDescent="0.2">
      <c r="A95" s="6" t="s">
        <v>158</v>
      </c>
      <c r="B95" s="142" t="s">
        <v>155</v>
      </c>
      <c r="C95" s="361">
        <v>0.3</v>
      </c>
      <c r="D95" s="109">
        <f t="shared" si="18"/>
        <v>571.81512248376612</v>
      </c>
    </row>
    <row r="96" spans="1:4" ht="13.5" thickBot="1" x14ac:dyDescent="0.25">
      <c r="A96" s="6" t="s">
        <v>159</v>
      </c>
      <c r="B96" s="141" t="s">
        <v>157</v>
      </c>
      <c r="C96" s="361">
        <v>0.2</v>
      </c>
      <c r="D96" s="109">
        <f t="shared" si="18"/>
        <v>381.21008165584414</v>
      </c>
    </row>
    <row r="97" spans="1:16" ht="13.5" thickBot="1" x14ac:dyDescent="0.25">
      <c r="A97" s="8"/>
      <c r="B97" s="119" t="s">
        <v>96</v>
      </c>
      <c r="C97" s="106">
        <f>SUM(C93:C96)</f>
        <v>1</v>
      </c>
      <c r="D97" s="105">
        <f>F65+F49+F31+F16</f>
        <v>1906.0504082792206</v>
      </c>
    </row>
    <row r="98" spans="1:16" x14ac:dyDescent="0.2">
      <c r="A98" s="8"/>
      <c r="B98" s="2"/>
      <c r="C98" s="358"/>
    </row>
    <row r="99" spans="1:16" x14ac:dyDescent="0.2">
      <c r="A99" s="2"/>
      <c r="B99" s="2"/>
      <c r="C99" s="358"/>
    </row>
    <row r="100" spans="1:16" x14ac:dyDescent="0.2">
      <c r="A100" s="82" t="s">
        <v>205</v>
      </c>
      <c r="B100" s="82" t="s">
        <v>206</v>
      </c>
      <c r="C100" s="364" t="s">
        <v>546</v>
      </c>
      <c r="D100" s="82" t="s">
        <v>117</v>
      </c>
    </row>
    <row r="101" spans="1:16" x14ac:dyDescent="0.2">
      <c r="A101" s="6" t="s">
        <v>516</v>
      </c>
      <c r="B101" s="6" t="s">
        <v>208</v>
      </c>
      <c r="C101" s="361">
        <v>0.5</v>
      </c>
      <c r="D101" s="109">
        <f>D$103/C$103*C101</f>
        <v>898.60654342532462</v>
      </c>
    </row>
    <row r="102" spans="1:16" ht="13.5" thickBot="1" x14ac:dyDescent="0.25">
      <c r="A102" s="6" t="s">
        <v>517</v>
      </c>
      <c r="B102" s="6" t="s">
        <v>209</v>
      </c>
      <c r="C102" s="361">
        <v>0.5</v>
      </c>
      <c r="D102" s="109">
        <f>D$103/C$103*C102</f>
        <v>898.60654342532462</v>
      </c>
    </row>
    <row r="103" spans="1:16" ht="13.5" thickBot="1" x14ac:dyDescent="0.25">
      <c r="B103" s="119" t="s">
        <v>96</v>
      </c>
      <c r="C103" s="106">
        <f>SUM(C101:C102)</f>
        <v>1</v>
      </c>
      <c r="D103" s="105">
        <f>G65+G49+G31+G16</f>
        <v>1797.2130868506492</v>
      </c>
    </row>
    <row r="108" spans="1:16" x14ac:dyDescent="0.2">
      <c r="A108" s="101"/>
      <c r="B108" s="7"/>
      <c r="C108" s="7"/>
      <c r="D108" s="7"/>
      <c r="E108" s="7"/>
      <c r="F108" s="7"/>
      <c r="G108" s="7"/>
      <c r="J108" s="26"/>
      <c r="N108" s="7"/>
      <c r="O108" s="7"/>
      <c r="P108" s="7"/>
    </row>
    <row r="109" spans="1:16" x14ac:dyDescent="0.2">
      <c r="A109" s="101"/>
      <c r="B109" s="7"/>
      <c r="C109" s="7"/>
      <c r="D109" s="7"/>
      <c r="E109" s="7"/>
      <c r="F109" s="7"/>
      <c r="G109" s="7"/>
      <c r="O109" s="7"/>
      <c r="P109" s="7"/>
    </row>
    <row r="110" spans="1:16" x14ac:dyDescent="0.2">
      <c r="A110" s="101"/>
      <c r="B110" s="7"/>
      <c r="C110" s="7"/>
      <c r="D110" s="7"/>
      <c r="E110" s="7"/>
      <c r="F110" s="7"/>
      <c r="G110" s="7"/>
      <c r="O110" s="7"/>
      <c r="P110" s="7"/>
    </row>
    <row r="111" spans="1:16" x14ac:dyDescent="0.2">
      <c r="A111" s="101"/>
      <c r="B111" s="7"/>
      <c r="C111" s="7"/>
      <c r="D111" s="7"/>
      <c r="E111" s="7"/>
      <c r="F111" s="7"/>
      <c r="G111" s="7"/>
      <c r="O111" s="7"/>
      <c r="P111" s="7"/>
    </row>
    <row r="112" spans="1:16" x14ac:dyDescent="0.2">
      <c r="A112" s="101"/>
      <c r="B112" s="7"/>
      <c r="C112" s="7"/>
      <c r="D112" s="7"/>
      <c r="E112" s="7"/>
      <c r="F112" s="7"/>
      <c r="G112" s="7"/>
      <c r="O112" s="7"/>
      <c r="P112" s="7"/>
    </row>
    <row r="113" spans="1:16" x14ac:dyDescent="0.2">
      <c r="A113" s="101"/>
      <c r="B113" s="7"/>
      <c r="C113" s="7"/>
      <c r="D113" s="7"/>
      <c r="E113" s="7"/>
      <c r="F113" s="7"/>
      <c r="G113" s="7"/>
      <c r="O113" s="7"/>
      <c r="P113" s="7"/>
    </row>
    <row r="114" spans="1:16" x14ac:dyDescent="0.2">
      <c r="A114" s="101"/>
      <c r="B114" s="7"/>
      <c r="C114" s="7"/>
      <c r="D114" s="7"/>
      <c r="E114" s="7"/>
      <c r="F114" s="7"/>
      <c r="G114" s="7"/>
      <c r="O114" s="7"/>
      <c r="P114" s="7"/>
    </row>
    <row r="115" spans="1:16" x14ac:dyDescent="0.2">
      <c r="A115" s="101"/>
      <c r="B115" s="7"/>
      <c r="C115" s="7"/>
      <c r="D115" s="7"/>
      <c r="E115" s="7"/>
      <c r="F115" s="7"/>
      <c r="G115" s="7"/>
      <c r="O115" s="7"/>
      <c r="P115" s="7"/>
    </row>
    <row r="116" spans="1:16" x14ac:dyDescent="0.2">
      <c r="A116" s="101"/>
      <c r="B116" s="7"/>
      <c r="C116" s="7"/>
      <c r="D116" s="7"/>
      <c r="E116" s="7"/>
      <c r="F116" s="7"/>
      <c r="G116" s="7"/>
      <c r="O116" s="7"/>
      <c r="P116" s="7"/>
    </row>
    <row r="117" spans="1:16" x14ac:dyDescent="0.2">
      <c r="A117" s="101"/>
      <c r="B117" s="7"/>
      <c r="C117" s="7"/>
      <c r="D117" s="7"/>
      <c r="O117" s="7"/>
      <c r="P117" s="7"/>
    </row>
    <row r="118" spans="1:16" x14ac:dyDescent="0.2">
      <c r="A118" s="101"/>
      <c r="B118" s="7"/>
      <c r="C118" s="7"/>
      <c r="D118" s="7"/>
      <c r="O118" s="7"/>
      <c r="P118" s="7"/>
    </row>
    <row r="119" spans="1:16" x14ac:dyDescent="0.2">
      <c r="A119" s="101"/>
      <c r="B119" s="7"/>
      <c r="C119" s="7"/>
      <c r="D119" s="7"/>
    </row>
    <row r="120" spans="1:16" x14ac:dyDescent="0.2">
      <c r="A120" s="101"/>
      <c r="B120" s="7"/>
      <c r="C120" s="7"/>
      <c r="D120" s="7"/>
    </row>
    <row r="121" spans="1:16" x14ac:dyDescent="0.2">
      <c r="A121" s="101"/>
      <c r="B121" s="7"/>
      <c r="C121" s="7"/>
      <c r="D121" s="7"/>
    </row>
  </sheetData>
  <mergeCells count="25">
    <mergeCell ref="A1:K1"/>
    <mergeCell ref="C6:G6"/>
    <mergeCell ref="C20:G20"/>
    <mergeCell ref="C53:G53"/>
    <mergeCell ref="C12:G12"/>
    <mergeCell ref="C26:G26"/>
    <mergeCell ref="C35:G35"/>
    <mergeCell ref="C43:G43"/>
    <mergeCell ref="I12:I13"/>
    <mergeCell ref="J12:J13"/>
    <mergeCell ref="I26:I27"/>
    <mergeCell ref="J26:J27"/>
    <mergeCell ref="I43:I44"/>
    <mergeCell ref="J43:J44"/>
    <mergeCell ref="I60:I61"/>
    <mergeCell ref="J60:J61"/>
    <mergeCell ref="H53:H54"/>
    <mergeCell ref="C60:G60"/>
    <mergeCell ref="H6:H7"/>
    <mergeCell ref="H12:H13"/>
    <mergeCell ref="H43:H44"/>
    <mergeCell ref="H35:H36"/>
    <mergeCell ref="H26:H27"/>
    <mergeCell ref="H20:H21"/>
    <mergeCell ref="H60:H6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6600"/>
  </sheetPr>
  <dimension ref="A1:W78"/>
  <sheetViews>
    <sheetView topLeftCell="A34" workbookViewId="0">
      <selection activeCell="D58" sqref="D58"/>
    </sheetView>
  </sheetViews>
  <sheetFormatPr baseColWidth="10" defaultRowHeight="12.75" x14ac:dyDescent="0.2"/>
  <cols>
    <col min="1" max="1" width="5" customWidth="1"/>
    <col min="2" max="2" width="8.7109375" style="26" customWidth="1"/>
    <col min="3" max="3" width="60.85546875" bestFit="1" customWidth="1"/>
    <col min="4" max="4" width="9.7109375" bestFit="1" customWidth="1"/>
    <col min="5" max="5" width="9.140625" customWidth="1"/>
    <col min="6" max="7" width="9.7109375" bestFit="1" customWidth="1"/>
    <col min="8" max="19" width="8.7109375" bestFit="1" customWidth="1"/>
    <col min="20" max="20" width="11" bestFit="1" customWidth="1"/>
    <col min="21" max="21" width="11.7109375" bestFit="1" customWidth="1"/>
    <col min="22" max="22" width="11.42578125" bestFit="1" customWidth="1"/>
    <col min="23" max="23" width="9.140625" bestFit="1" customWidth="1"/>
  </cols>
  <sheetData>
    <row r="1" spans="1:20" s="133" customFormat="1" ht="40.5" customHeight="1" thickBot="1" x14ac:dyDescent="0.25">
      <c r="A1" s="546" t="s">
        <v>124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</row>
    <row r="2" spans="1:20" s="86" customFormat="1" ht="14.25" customHeight="1" thickTop="1" x14ac:dyDescent="0.2">
      <c r="B2" s="26"/>
    </row>
    <row r="3" spans="1:20" s="86" customFormat="1" ht="14.25" customHeight="1" x14ac:dyDescent="0.2">
      <c r="B3" s="26"/>
    </row>
    <row r="4" spans="1:20" s="86" customFormat="1" ht="14.25" customHeight="1" x14ac:dyDescent="0.2">
      <c r="A4"/>
      <c r="B4" s="26"/>
      <c r="C4"/>
      <c r="D4" s="475" t="s">
        <v>262</v>
      </c>
      <c r="E4" s="475" t="s">
        <v>263</v>
      </c>
      <c r="F4" s="475" t="s">
        <v>264</v>
      </c>
      <c r="G4" s="475" t="s">
        <v>265</v>
      </c>
      <c r="H4" s="475" t="s">
        <v>266</v>
      </c>
      <c r="I4" s="475" t="s">
        <v>267</v>
      </c>
      <c r="J4" s="475" t="s">
        <v>268</v>
      </c>
      <c r="K4" s="475" t="s">
        <v>269</v>
      </c>
      <c r="L4" s="475" t="s">
        <v>270</v>
      </c>
      <c r="M4" s="475" t="s">
        <v>271</v>
      </c>
      <c r="N4" s="475" t="s">
        <v>272</v>
      </c>
      <c r="O4" s="475" t="s">
        <v>273</v>
      </c>
      <c r="P4" s="475" t="s">
        <v>274</v>
      </c>
      <c r="Q4" s="475" t="s">
        <v>275</v>
      </c>
      <c r="R4" s="475" t="s">
        <v>276</v>
      </c>
      <c r="S4" s="475" t="s">
        <v>277</v>
      </c>
      <c r="T4"/>
    </row>
    <row r="5" spans="1:20" s="86" customFormat="1" ht="14.25" customHeight="1" x14ac:dyDescent="0.2">
      <c r="A5"/>
      <c r="B5" s="540" t="s">
        <v>39</v>
      </c>
      <c r="C5" s="541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315" t="s">
        <v>96</v>
      </c>
    </row>
    <row r="6" spans="1:20" s="126" customFormat="1" ht="14.25" customHeight="1" x14ac:dyDescent="0.2">
      <c r="A6" s="542" t="s">
        <v>38</v>
      </c>
      <c r="B6" s="348" t="s">
        <v>63</v>
      </c>
      <c r="C6" s="347" t="s">
        <v>551</v>
      </c>
      <c r="D6" s="6">
        <v>21</v>
      </c>
      <c r="E6" s="6">
        <v>27</v>
      </c>
      <c r="F6" s="6">
        <v>27</v>
      </c>
      <c r="G6" s="6">
        <v>54</v>
      </c>
      <c r="H6" s="6">
        <v>21</v>
      </c>
      <c r="I6" s="6">
        <v>24</v>
      </c>
      <c r="J6" s="6">
        <v>26</v>
      </c>
      <c r="K6" s="6">
        <v>28</v>
      </c>
      <c r="L6" s="6">
        <v>17</v>
      </c>
      <c r="M6" s="6">
        <v>14</v>
      </c>
      <c r="N6" s="6">
        <v>34</v>
      </c>
      <c r="O6" s="6">
        <v>22</v>
      </c>
      <c r="P6" s="6">
        <v>23</v>
      </c>
      <c r="Q6" s="6">
        <v>29</v>
      </c>
      <c r="R6" s="6">
        <v>51</v>
      </c>
      <c r="S6" s="6">
        <v>27</v>
      </c>
      <c r="T6" s="132">
        <f>SUM(D6:S6)</f>
        <v>445</v>
      </c>
    </row>
    <row r="7" spans="1:20" s="86" customFormat="1" ht="14.25" customHeight="1" x14ac:dyDescent="0.2">
      <c r="A7" s="543"/>
      <c r="B7" s="348" t="s">
        <v>64</v>
      </c>
      <c r="C7" s="347" t="s">
        <v>551</v>
      </c>
      <c r="D7" s="6">
        <f>D6</f>
        <v>21</v>
      </c>
      <c r="E7" s="6">
        <f t="shared" ref="E7:S7" si="0">E6</f>
        <v>27</v>
      </c>
      <c r="F7" s="6">
        <f t="shared" si="0"/>
        <v>27</v>
      </c>
      <c r="G7" s="6">
        <f t="shared" si="0"/>
        <v>54</v>
      </c>
      <c r="H7" s="6">
        <f t="shared" si="0"/>
        <v>21</v>
      </c>
      <c r="I7" s="6">
        <f t="shared" si="0"/>
        <v>24</v>
      </c>
      <c r="J7" s="6">
        <f t="shared" si="0"/>
        <v>26</v>
      </c>
      <c r="K7" s="6">
        <f t="shared" si="0"/>
        <v>28</v>
      </c>
      <c r="L7" s="6">
        <f t="shared" si="0"/>
        <v>17</v>
      </c>
      <c r="M7" s="6">
        <f t="shared" si="0"/>
        <v>14</v>
      </c>
      <c r="N7" s="6">
        <f t="shared" si="0"/>
        <v>34</v>
      </c>
      <c r="O7" s="6">
        <f t="shared" si="0"/>
        <v>22</v>
      </c>
      <c r="P7" s="6">
        <f t="shared" si="0"/>
        <v>23</v>
      </c>
      <c r="Q7" s="6">
        <f t="shared" si="0"/>
        <v>29</v>
      </c>
      <c r="R7" s="6">
        <f t="shared" si="0"/>
        <v>51</v>
      </c>
      <c r="S7" s="6">
        <f t="shared" si="0"/>
        <v>27</v>
      </c>
      <c r="T7" s="132">
        <f t="shared" ref="T7:T20" si="1">SUM(D7:S7)</f>
        <v>445</v>
      </c>
    </row>
    <row r="8" spans="1:20" s="86" customFormat="1" ht="14.25" customHeight="1" x14ac:dyDescent="0.2">
      <c r="A8" s="544"/>
      <c r="B8" s="348" t="s">
        <v>65</v>
      </c>
      <c r="C8" s="347" t="s">
        <v>552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132">
        <f t="shared" si="1"/>
        <v>16</v>
      </c>
    </row>
    <row r="9" spans="1:20" s="86" customFormat="1" ht="14.25" customHeight="1" x14ac:dyDescent="0.2">
      <c r="A9" s="542" t="s">
        <v>37</v>
      </c>
      <c r="B9" s="348" t="s">
        <v>66</v>
      </c>
      <c r="C9" s="347" t="s">
        <v>550</v>
      </c>
      <c r="D9" s="6">
        <f>D7</f>
        <v>21</v>
      </c>
      <c r="E9" s="6">
        <f t="shared" ref="E9:S9" si="2">E7</f>
        <v>27</v>
      </c>
      <c r="F9" s="6">
        <f t="shared" si="2"/>
        <v>27</v>
      </c>
      <c r="G9" s="6">
        <f t="shared" si="2"/>
        <v>54</v>
      </c>
      <c r="H9" s="6">
        <f t="shared" si="2"/>
        <v>21</v>
      </c>
      <c r="I9" s="6">
        <f t="shared" si="2"/>
        <v>24</v>
      </c>
      <c r="J9" s="6">
        <f t="shared" si="2"/>
        <v>26</v>
      </c>
      <c r="K9" s="6">
        <f t="shared" si="2"/>
        <v>28</v>
      </c>
      <c r="L9" s="6">
        <f t="shared" si="2"/>
        <v>17</v>
      </c>
      <c r="M9" s="6">
        <f t="shared" si="2"/>
        <v>14</v>
      </c>
      <c r="N9" s="6">
        <f t="shared" si="2"/>
        <v>34</v>
      </c>
      <c r="O9" s="6">
        <f t="shared" si="2"/>
        <v>22</v>
      </c>
      <c r="P9" s="6">
        <f t="shared" si="2"/>
        <v>23</v>
      </c>
      <c r="Q9" s="6">
        <f t="shared" si="2"/>
        <v>29</v>
      </c>
      <c r="R9" s="6">
        <f t="shared" si="2"/>
        <v>51</v>
      </c>
      <c r="S9" s="6">
        <f t="shared" si="2"/>
        <v>27</v>
      </c>
      <c r="T9" s="132">
        <f t="shared" si="1"/>
        <v>445</v>
      </c>
    </row>
    <row r="10" spans="1:20" s="86" customFormat="1" ht="14.25" customHeight="1" x14ac:dyDescent="0.2">
      <c r="A10" s="543"/>
      <c r="B10" s="348" t="s">
        <v>67</v>
      </c>
      <c r="C10" s="347" t="s">
        <v>540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132">
        <f t="shared" si="1"/>
        <v>16</v>
      </c>
    </row>
    <row r="11" spans="1:20" s="86" customFormat="1" ht="14.25" customHeight="1" x14ac:dyDescent="0.2">
      <c r="A11" s="543"/>
      <c r="B11" s="348" t="s">
        <v>68</v>
      </c>
      <c r="C11" s="347" t="s">
        <v>540</v>
      </c>
      <c r="D11" s="6">
        <f>D10</f>
        <v>1</v>
      </c>
      <c r="E11" s="6">
        <f t="shared" ref="E11:S11" si="3">E10</f>
        <v>1</v>
      </c>
      <c r="F11" s="6">
        <f t="shared" si="3"/>
        <v>1</v>
      </c>
      <c r="G11" s="6">
        <f t="shared" si="3"/>
        <v>1</v>
      </c>
      <c r="H11" s="6">
        <f t="shared" si="3"/>
        <v>1</v>
      </c>
      <c r="I11" s="6">
        <f t="shared" si="3"/>
        <v>1</v>
      </c>
      <c r="J11" s="6">
        <f t="shared" si="3"/>
        <v>1</v>
      </c>
      <c r="K11" s="6">
        <f t="shared" si="3"/>
        <v>1</v>
      </c>
      <c r="L11" s="6">
        <f t="shared" si="3"/>
        <v>1</v>
      </c>
      <c r="M11" s="6">
        <f t="shared" si="3"/>
        <v>1</v>
      </c>
      <c r="N11" s="6">
        <f t="shared" si="3"/>
        <v>1</v>
      </c>
      <c r="O11" s="6">
        <f t="shared" si="3"/>
        <v>1</v>
      </c>
      <c r="P11" s="6">
        <f t="shared" si="3"/>
        <v>1</v>
      </c>
      <c r="Q11" s="6">
        <f t="shared" si="3"/>
        <v>1</v>
      </c>
      <c r="R11" s="6">
        <f t="shared" si="3"/>
        <v>1</v>
      </c>
      <c r="S11" s="6">
        <f t="shared" si="3"/>
        <v>1</v>
      </c>
      <c r="T11" s="132">
        <f t="shared" si="1"/>
        <v>16</v>
      </c>
    </row>
    <row r="12" spans="1:20" s="86" customFormat="1" ht="14.25" customHeight="1" x14ac:dyDescent="0.2">
      <c r="A12" s="543"/>
      <c r="B12" s="348" t="s">
        <v>70</v>
      </c>
      <c r="C12" s="347" t="s">
        <v>553</v>
      </c>
      <c r="D12" s="6">
        <v>5</v>
      </c>
      <c r="E12" s="6">
        <v>5</v>
      </c>
      <c r="F12" s="6">
        <v>4</v>
      </c>
      <c r="G12" s="6">
        <v>5</v>
      </c>
      <c r="H12" s="6">
        <v>5</v>
      </c>
      <c r="I12" s="6">
        <v>5</v>
      </c>
      <c r="J12" s="6">
        <v>4</v>
      </c>
      <c r="K12" s="6">
        <v>5</v>
      </c>
      <c r="L12" s="6">
        <v>5</v>
      </c>
      <c r="M12" s="6">
        <v>5</v>
      </c>
      <c r="N12" s="6">
        <v>4</v>
      </c>
      <c r="O12" s="6">
        <v>5</v>
      </c>
      <c r="P12" s="6">
        <v>5</v>
      </c>
      <c r="Q12" s="6">
        <v>5</v>
      </c>
      <c r="R12" s="6">
        <v>5</v>
      </c>
      <c r="S12" s="6">
        <v>5</v>
      </c>
      <c r="T12" s="132">
        <f t="shared" si="1"/>
        <v>77</v>
      </c>
    </row>
    <row r="13" spans="1:20" s="86" customFormat="1" ht="14.25" customHeight="1" x14ac:dyDescent="0.2">
      <c r="A13" s="544"/>
      <c r="B13" s="348" t="s">
        <v>69</v>
      </c>
      <c r="C13" s="347" t="s">
        <v>554</v>
      </c>
      <c r="D13" s="6">
        <f>D9</f>
        <v>21</v>
      </c>
      <c r="E13" s="6">
        <f t="shared" ref="E13:S13" si="4">E9</f>
        <v>27</v>
      </c>
      <c r="F13" s="6">
        <f t="shared" si="4"/>
        <v>27</v>
      </c>
      <c r="G13" s="6">
        <f t="shared" si="4"/>
        <v>54</v>
      </c>
      <c r="H13" s="6">
        <f t="shared" si="4"/>
        <v>21</v>
      </c>
      <c r="I13" s="6">
        <f t="shared" si="4"/>
        <v>24</v>
      </c>
      <c r="J13" s="6">
        <f t="shared" si="4"/>
        <v>26</v>
      </c>
      <c r="K13" s="6">
        <f t="shared" si="4"/>
        <v>28</v>
      </c>
      <c r="L13" s="6">
        <f t="shared" si="4"/>
        <v>17</v>
      </c>
      <c r="M13" s="6">
        <f t="shared" si="4"/>
        <v>14</v>
      </c>
      <c r="N13" s="6">
        <f t="shared" si="4"/>
        <v>34</v>
      </c>
      <c r="O13" s="6">
        <f t="shared" si="4"/>
        <v>22</v>
      </c>
      <c r="P13" s="6">
        <f t="shared" si="4"/>
        <v>23</v>
      </c>
      <c r="Q13" s="6">
        <f t="shared" si="4"/>
        <v>29</v>
      </c>
      <c r="R13" s="6">
        <f t="shared" si="4"/>
        <v>51</v>
      </c>
      <c r="S13" s="6">
        <f t="shared" si="4"/>
        <v>27</v>
      </c>
      <c r="T13" s="132">
        <f t="shared" si="1"/>
        <v>445</v>
      </c>
    </row>
    <row r="14" spans="1:20" s="86" customFormat="1" ht="27" x14ac:dyDescent="0.2">
      <c r="A14" s="366" t="s">
        <v>519</v>
      </c>
      <c r="B14" s="348" t="s">
        <v>71</v>
      </c>
      <c r="C14" s="347" t="s">
        <v>554</v>
      </c>
      <c r="D14" s="6">
        <f>D13</f>
        <v>21</v>
      </c>
      <c r="E14" s="6">
        <f t="shared" ref="E14:S14" si="5">E13</f>
        <v>27</v>
      </c>
      <c r="F14" s="6">
        <f t="shared" si="5"/>
        <v>27</v>
      </c>
      <c r="G14" s="6">
        <f t="shared" si="5"/>
        <v>54</v>
      </c>
      <c r="H14" s="6">
        <f t="shared" si="5"/>
        <v>21</v>
      </c>
      <c r="I14" s="6">
        <f t="shared" si="5"/>
        <v>24</v>
      </c>
      <c r="J14" s="6">
        <f t="shared" si="5"/>
        <v>26</v>
      </c>
      <c r="K14" s="6">
        <f t="shared" si="5"/>
        <v>28</v>
      </c>
      <c r="L14" s="6">
        <f t="shared" si="5"/>
        <v>17</v>
      </c>
      <c r="M14" s="6">
        <f t="shared" si="5"/>
        <v>14</v>
      </c>
      <c r="N14" s="6">
        <f t="shared" si="5"/>
        <v>34</v>
      </c>
      <c r="O14" s="6">
        <f t="shared" si="5"/>
        <v>22</v>
      </c>
      <c r="P14" s="6">
        <f t="shared" si="5"/>
        <v>23</v>
      </c>
      <c r="Q14" s="6">
        <f t="shared" si="5"/>
        <v>29</v>
      </c>
      <c r="R14" s="6">
        <f t="shared" si="5"/>
        <v>51</v>
      </c>
      <c r="S14" s="6">
        <f t="shared" si="5"/>
        <v>27</v>
      </c>
      <c r="T14" s="132">
        <f t="shared" si="1"/>
        <v>445</v>
      </c>
    </row>
    <row r="15" spans="1:20" s="86" customFormat="1" ht="14.25" customHeight="1" x14ac:dyDescent="0.2">
      <c r="A15" s="542" t="s">
        <v>151</v>
      </c>
      <c r="B15" s="348" t="s">
        <v>57</v>
      </c>
      <c r="C15" s="347" t="s">
        <v>553</v>
      </c>
      <c r="D15" s="6">
        <v>5</v>
      </c>
      <c r="E15" s="6">
        <v>5</v>
      </c>
      <c r="F15" s="6">
        <v>4</v>
      </c>
      <c r="G15" s="6">
        <v>5</v>
      </c>
      <c r="H15" s="6">
        <v>5</v>
      </c>
      <c r="I15" s="6">
        <v>5</v>
      </c>
      <c r="J15" s="6">
        <v>4</v>
      </c>
      <c r="K15" s="6">
        <v>5</v>
      </c>
      <c r="L15" s="6">
        <v>5</v>
      </c>
      <c r="M15" s="6">
        <v>5</v>
      </c>
      <c r="N15" s="6">
        <v>4</v>
      </c>
      <c r="O15" s="6">
        <v>5</v>
      </c>
      <c r="P15" s="6">
        <v>5</v>
      </c>
      <c r="Q15" s="6">
        <v>5</v>
      </c>
      <c r="R15" s="6">
        <v>5</v>
      </c>
      <c r="S15" s="6">
        <v>5</v>
      </c>
      <c r="T15" s="132">
        <f t="shared" si="1"/>
        <v>77</v>
      </c>
    </row>
    <row r="16" spans="1:20" s="86" customFormat="1" ht="14.25" customHeight="1" x14ac:dyDescent="0.2">
      <c r="A16" s="543"/>
      <c r="B16" s="348" t="s">
        <v>58</v>
      </c>
      <c r="C16" s="347" t="s">
        <v>555</v>
      </c>
      <c r="D16" s="6">
        <v>42</v>
      </c>
      <c r="E16" s="6">
        <v>54</v>
      </c>
      <c r="F16" s="6">
        <v>27</v>
      </c>
      <c r="G16" s="6">
        <v>108</v>
      </c>
      <c r="H16" s="6">
        <v>42</v>
      </c>
      <c r="I16" s="6">
        <v>48</v>
      </c>
      <c r="J16" s="6">
        <v>26</v>
      </c>
      <c r="K16" s="6">
        <v>56</v>
      </c>
      <c r="L16" s="6">
        <v>24</v>
      </c>
      <c r="M16" s="6">
        <v>28</v>
      </c>
      <c r="N16" s="6">
        <v>34</v>
      </c>
      <c r="O16" s="6">
        <v>22</v>
      </c>
      <c r="P16" s="6">
        <v>23</v>
      </c>
      <c r="Q16" s="6">
        <v>29</v>
      </c>
      <c r="R16" s="6">
        <v>51</v>
      </c>
      <c r="S16" s="6">
        <v>27</v>
      </c>
      <c r="T16" s="132">
        <f t="shared" si="1"/>
        <v>641</v>
      </c>
    </row>
    <row r="17" spans="1:23" s="86" customFormat="1" ht="14.25" customHeight="1" x14ac:dyDescent="0.2">
      <c r="A17" s="543"/>
      <c r="B17" s="348" t="s">
        <v>56</v>
      </c>
      <c r="C17" s="347" t="s">
        <v>550</v>
      </c>
      <c r="D17" s="6">
        <v>21</v>
      </c>
      <c r="E17" s="6">
        <v>27</v>
      </c>
      <c r="F17" s="6">
        <v>27</v>
      </c>
      <c r="G17" s="6">
        <v>54</v>
      </c>
      <c r="H17" s="6">
        <v>21</v>
      </c>
      <c r="I17" s="6">
        <v>24</v>
      </c>
      <c r="J17" s="6">
        <v>26</v>
      </c>
      <c r="K17" s="6">
        <v>28</v>
      </c>
      <c r="L17" s="6">
        <v>17</v>
      </c>
      <c r="M17" s="6">
        <v>14</v>
      </c>
      <c r="N17" s="6">
        <v>34</v>
      </c>
      <c r="O17" s="6">
        <v>22</v>
      </c>
      <c r="P17" s="6">
        <v>23</v>
      </c>
      <c r="Q17" s="6">
        <v>29</v>
      </c>
      <c r="R17" s="6">
        <v>51</v>
      </c>
      <c r="S17" s="6">
        <v>27</v>
      </c>
      <c r="T17" s="132">
        <f t="shared" si="1"/>
        <v>445</v>
      </c>
    </row>
    <row r="18" spans="1:23" s="85" customFormat="1" ht="14.25" customHeight="1" x14ac:dyDescent="0.2">
      <c r="A18" s="544"/>
      <c r="B18" s="348" t="s">
        <v>99</v>
      </c>
      <c r="C18" s="347" t="s">
        <v>556</v>
      </c>
      <c r="D18" s="6">
        <f>ROUNDUP(D17/15,0)</f>
        <v>2</v>
      </c>
      <c r="E18" s="6">
        <f t="shared" ref="E18:S18" si="6">ROUNDUP(E17/15,0)</f>
        <v>2</v>
      </c>
      <c r="F18" s="6">
        <f t="shared" si="6"/>
        <v>2</v>
      </c>
      <c r="G18" s="6">
        <f t="shared" si="6"/>
        <v>4</v>
      </c>
      <c r="H18" s="6">
        <f t="shared" si="6"/>
        <v>2</v>
      </c>
      <c r="I18" s="6">
        <f t="shared" si="6"/>
        <v>2</v>
      </c>
      <c r="J18" s="6">
        <f t="shared" si="6"/>
        <v>2</v>
      </c>
      <c r="K18" s="6">
        <f t="shared" si="6"/>
        <v>2</v>
      </c>
      <c r="L18" s="6">
        <f t="shared" si="6"/>
        <v>2</v>
      </c>
      <c r="M18" s="6">
        <f t="shared" si="6"/>
        <v>1</v>
      </c>
      <c r="N18" s="6">
        <f t="shared" si="6"/>
        <v>3</v>
      </c>
      <c r="O18" s="6">
        <f t="shared" si="6"/>
        <v>2</v>
      </c>
      <c r="P18" s="6">
        <f t="shared" si="6"/>
        <v>2</v>
      </c>
      <c r="Q18" s="6">
        <f t="shared" si="6"/>
        <v>2</v>
      </c>
      <c r="R18" s="6">
        <f t="shared" si="6"/>
        <v>4</v>
      </c>
      <c r="S18" s="6">
        <f t="shared" si="6"/>
        <v>2</v>
      </c>
      <c r="T18" s="132">
        <f t="shared" si="1"/>
        <v>36</v>
      </c>
    </row>
    <row r="19" spans="1:23" s="86" customFormat="1" ht="14.25" customHeight="1" x14ac:dyDescent="0.2">
      <c r="A19" s="538" t="s">
        <v>518</v>
      </c>
      <c r="B19" s="348" t="s">
        <v>100</v>
      </c>
      <c r="C19" s="347" t="s">
        <v>540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132">
        <f t="shared" si="1"/>
        <v>16</v>
      </c>
    </row>
    <row r="20" spans="1:23" s="86" customFormat="1" ht="14.25" customHeight="1" x14ac:dyDescent="0.2">
      <c r="A20" s="539"/>
      <c r="B20" s="348" t="s">
        <v>101</v>
      </c>
      <c r="C20" s="347" t="s">
        <v>557</v>
      </c>
      <c r="D20" s="6">
        <v>6</v>
      </c>
      <c r="E20" s="6">
        <v>3</v>
      </c>
      <c r="F20" s="6">
        <v>3</v>
      </c>
      <c r="G20" s="6">
        <v>6</v>
      </c>
      <c r="H20" s="6">
        <v>4</v>
      </c>
      <c r="I20" s="6">
        <v>6</v>
      </c>
      <c r="J20" s="6">
        <v>6</v>
      </c>
      <c r="K20" s="6">
        <v>6</v>
      </c>
      <c r="L20" s="6">
        <v>4</v>
      </c>
      <c r="M20" s="6">
        <v>4</v>
      </c>
      <c r="N20" s="6">
        <v>4</v>
      </c>
      <c r="O20" s="6">
        <v>6</v>
      </c>
      <c r="P20" s="6">
        <v>3</v>
      </c>
      <c r="Q20" s="6">
        <v>5</v>
      </c>
      <c r="R20" s="6">
        <v>3</v>
      </c>
      <c r="S20" s="6">
        <v>7</v>
      </c>
      <c r="T20" s="132">
        <f t="shared" si="1"/>
        <v>76</v>
      </c>
    </row>
    <row r="21" spans="1:23" s="86" customFormat="1" ht="14.25" customHeight="1" x14ac:dyDescent="0.2"/>
    <row r="22" spans="1:23" s="86" customFormat="1" ht="14.25" customHeight="1" x14ac:dyDescent="0.2"/>
    <row r="23" spans="1:23" s="126" customFormat="1" ht="14.25" customHeight="1" x14ac:dyDescent="0.2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</row>
    <row r="24" spans="1:23" s="86" customFormat="1" ht="14.25" customHeight="1" x14ac:dyDescent="0.2">
      <c r="A24"/>
      <c r="B24" s="26"/>
      <c r="C24"/>
      <c r="D24" s="475" t="s">
        <v>262</v>
      </c>
      <c r="E24" s="475" t="s">
        <v>263</v>
      </c>
      <c r="F24" s="475" t="s">
        <v>264</v>
      </c>
      <c r="G24" s="475" t="s">
        <v>265</v>
      </c>
      <c r="H24" s="475" t="s">
        <v>266</v>
      </c>
      <c r="I24" s="475" t="s">
        <v>267</v>
      </c>
      <c r="J24" s="475" t="s">
        <v>268</v>
      </c>
      <c r="K24" s="475" t="s">
        <v>269</v>
      </c>
      <c r="L24" s="475" t="s">
        <v>270</v>
      </c>
      <c r="M24" s="475" t="s">
        <v>271</v>
      </c>
      <c r="N24" s="475" t="s">
        <v>272</v>
      </c>
      <c r="O24" s="475" t="s">
        <v>273</v>
      </c>
      <c r="P24" s="475" t="s">
        <v>274</v>
      </c>
      <c r="Q24" s="475" t="s">
        <v>275</v>
      </c>
      <c r="R24" s="475" t="s">
        <v>276</v>
      </c>
      <c r="S24" s="475" t="s">
        <v>277</v>
      </c>
      <c r="T24"/>
      <c r="U24"/>
      <c r="V24"/>
      <c r="W24"/>
    </row>
    <row r="25" spans="1:23" s="86" customFormat="1" ht="14.25" customHeight="1" x14ac:dyDescent="0.2">
      <c r="A25"/>
      <c r="B25" s="540" t="s">
        <v>115</v>
      </c>
      <c r="C25" s="541"/>
      <c r="D25" s="476"/>
      <c r="E25" s="476"/>
      <c r="F25" s="476"/>
      <c r="G25" s="476"/>
      <c r="H25" s="476"/>
      <c r="I25" s="476"/>
      <c r="J25" s="476"/>
      <c r="K25" s="476"/>
      <c r="L25" s="476"/>
      <c r="M25" s="476"/>
      <c r="N25" s="476"/>
      <c r="O25" s="476"/>
      <c r="P25" s="476"/>
      <c r="Q25" s="476"/>
      <c r="R25" s="476"/>
      <c r="S25" s="476"/>
      <c r="T25" s="110" t="s">
        <v>119</v>
      </c>
      <c r="U25" s="107" t="s">
        <v>120</v>
      </c>
      <c r="V25" s="122" t="s">
        <v>121</v>
      </c>
      <c r="W25" s="113" t="s">
        <v>96</v>
      </c>
    </row>
    <row r="26" spans="1:23" s="86" customFormat="1" ht="14.25" customHeight="1" x14ac:dyDescent="0.2">
      <c r="A26" s="542" t="s">
        <v>38</v>
      </c>
      <c r="B26" s="317" t="s">
        <v>84</v>
      </c>
      <c r="C26" s="6" t="s">
        <v>140</v>
      </c>
      <c r="D26" s="367">
        <f>D6*$W26/$T6</f>
        <v>19.712611022727277</v>
      </c>
      <c r="E26" s="367">
        <f t="shared" ref="E26:S26" si="7">E6*$W26/$T6</f>
        <v>25.344785600649352</v>
      </c>
      <c r="F26" s="367">
        <f t="shared" si="7"/>
        <v>25.344785600649352</v>
      </c>
      <c r="G26" s="367">
        <f t="shared" si="7"/>
        <v>50.689571201298705</v>
      </c>
      <c r="H26" s="367">
        <f t="shared" si="7"/>
        <v>19.712611022727277</v>
      </c>
      <c r="I26" s="367">
        <f t="shared" si="7"/>
        <v>22.528698311688313</v>
      </c>
      <c r="J26" s="367">
        <f t="shared" si="7"/>
        <v>24.406089837662339</v>
      </c>
      <c r="K26" s="367">
        <f t="shared" si="7"/>
        <v>26.283481363636362</v>
      </c>
      <c r="L26" s="367">
        <f t="shared" si="7"/>
        <v>15.957827970779222</v>
      </c>
      <c r="M26" s="367">
        <f t="shared" si="7"/>
        <v>13.141740681818181</v>
      </c>
      <c r="N26" s="367">
        <f t="shared" si="7"/>
        <v>31.915655941558445</v>
      </c>
      <c r="O26" s="367">
        <f t="shared" si="7"/>
        <v>20.651306785714286</v>
      </c>
      <c r="P26" s="367">
        <f t="shared" si="7"/>
        <v>21.5900025487013</v>
      </c>
      <c r="Q26" s="367">
        <f t="shared" si="7"/>
        <v>27.222177126623379</v>
      </c>
      <c r="R26" s="367">
        <f t="shared" si="7"/>
        <v>47.873483912337662</v>
      </c>
      <c r="S26" s="367">
        <f t="shared" si="7"/>
        <v>25.344785600649352</v>
      </c>
      <c r="T26" s="111">
        <f>'Proceso II'!C255</f>
        <v>116.30478896103895</v>
      </c>
      <c r="U26" s="125">
        <f>'Proceso III'!D91</f>
        <v>109.46232954545454</v>
      </c>
      <c r="V26" s="127">
        <f>'Proceso IV'!D72</f>
        <v>191.9524960227273</v>
      </c>
      <c r="W26" s="128">
        <f>SUM(T26:V26)</f>
        <v>417.71961452922079</v>
      </c>
    </row>
    <row r="27" spans="1:23" s="86" customFormat="1" ht="14.25" customHeight="1" x14ac:dyDescent="0.2">
      <c r="A27" s="543"/>
      <c r="B27" s="317" t="s">
        <v>87</v>
      </c>
      <c r="C27" s="6" t="s">
        <v>141</v>
      </c>
      <c r="D27" s="367">
        <f t="shared" ref="D27:S40" si="8">D7*$W27/$T7</f>
        <v>11.78681797369765</v>
      </c>
      <c r="E27" s="367">
        <f t="shared" si="8"/>
        <v>15.154480251896979</v>
      </c>
      <c r="F27" s="367">
        <f t="shared" si="8"/>
        <v>15.154480251896979</v>
      </c>
      <c r="G27" s="367">
        <f t="shared" si="8"/>
        <v>30.308960503793958</v>
      </c>
      <c r="H27" s="367">
        <f t="shared" si="8"/>
        <v>11.78681797369765</v>
      </c>
      <c r="I27" s="367">
        <f t="shared" si="8"/>
        <v>13.470649112797314</v>
      </c>
      <c r="J27" s="367">
        <f t="shared" si="8"/>
        <v>14.593203205530424</v>
      </c>
      <c r="K27" s="367">
        <f t="shared" si="8"/>
        <v>15.715757298263533</v>
      </c>
      <c r="L27" s="367">
        <f t="shared" si="8"/>
        <v>9.5417097882314312</v>
      </c>
      <c r="M27" s="367">
        <f t="shared" si="8"/>
        <v>7.8578786491317665</v>
      </c>
      <c r="N27" s="367">
        <f t="shared" si="8"/>
        <v>19.083419576462862</v>
      </c>
      <c r="O27" s="367">
        <f t="shared" si="8"/>
        <v>12.348095020064205</v>
      </c>
      <c r="P27" s="367">
        <f t="shared" si="8"/>
        <v>12.909372066430761</v>
      </c>
      <c r="Q27" s="367">
        <f t="shared" si="8"/>
        <v>16.277034344630088</v>
      </c>
      <c r="R27" s="367">
        <f t="shared" si="8"/>
        <v>28.625129364694295</v>
      </c>
      <c r="S27" s="367">
        <f t="shared" si="8"/>
        <v>15.154480251896979</v>
      </c>
      <c r="T27" s="111">
        <f>'Proceso II'!D255</f>
        <v>120.59050324675324</v>
      </c>
      <c r="U27" s="125">
        <f>'Proceso III'!D92</f>
        <v>46.912426948051944</v>
      </c>
      <c r="V27" s="127">
        <f>'Proceso IV'!D73</f>
        <v>82.265355438311701</v>
      </c>
      <c r="W27" s="128">
        <f t="shared" ref="W27:W40" si="9">SUM(T27:V27)</f>
        <v>249.76828563311688</v>
      </c>
    </row>
    <row r="28" spans="1:23" s="86" customFormat="1" ht="14.25" customHeight="1" x14ac:dyDescent="0.2">
      <c r="A28" s="544"/>
      <c r="B28" s="317" t="s">
        <v>90</v>
      </c>
      <c r="C28" s="6" t="s">
        <v>142</v>
      </c>
      <c r="D28" s="367">
        <f t="shared" si="8"/>
        <v>45.472458045860392</v>
      </c>
      <c r="E28" s="367">
        <f t="shared" si="8"/>
        <v>45.472458045860392</v>
      </c>
      <c r="F28" s="367">
        <f t="shared" si="8"/>
        <v>45.472458045860392</v>
      </c>
      <c r="G28" s="367">
        <f t="shared" si="8"/>
        <v>45.472458045860392</v>
      </c>
      <c r="H28" s="367">
        <f t="shared" si="8"/>
        <v>45.472458045860392</v>
      </c>
      <c r="I28" s="367">
        <f t="shared" si="8"/>
        <v>45.472458045860392</v>
      </c>
      <c r="J28" s="367">
        <f t="shared" si="8"/>
        <v>45.472458045860392</v>
      </c>
      <c r="K28" s="367">
        <f t="shared" si="8"/>
        <v>45.472458045860392</v>
      </c>
      <c r="L28" s="367">
        <f t="shared" si="8"/>
        <v>45.472458045860392</v>
      </c>
      <c r="M28" s="367">
        <f t="shared" si="8"/>
        <v>45.472458045860392</v>
      </c>
      <c r="N28" s="367">
        <f t="shared" si="8"/>
        <v>45.472458045860392</v>
      </c>
      <c r="O28" s="367">
        <f t="shared" si="8"/>
        <v>45.472458045860392</v>
      </c>
      <c r="P28" s="367">
        <f t="shared" si="8"/>
        <v>45.472458045860392</v>
      </c>
      <c r="Q28" s="367">
        <f t="shared" si="8"/>
        <v>45.472458045860392</v>
      </c>
      <c r="R28" s="367">
        <f t="shared" si="8"/>
        <v>45.472458045860392</v>
      </c>
      <c r="S28" s="367">
        <f t="shared" si="8"/>
        <v>45.472458045860392</v>
      </c>
      <c r="T28" s="111">
        <f>'Proceso II'!E255</f>
        <v>296.96672077922074</v>
      </c>
      <c r="U28" s="125">
        <f>'Proceso III'!D93</f>
        <v>156.37475649350648</v>
      </c>
      <c r="V28" s="127">
        <f>'Proceso IV'!D74</f>
        <v>274.217851461039</v>
      </c>
      <c r="W28" s="128">
        <f t="shared" si="9"/>
        <v>727.55932873376628</v>
      </c>
    </row>
    <row r="29" spans="1:23" s="86" customFormat="1" ht="14.25" customHeight="1" x14ac:dyDescent="0.2">
      <c r="A29" s="542" t="s">
        <v>37</v>
      </c>
      <c r="B29" s="317" t="s">
        <v>92</v>
      </c>
      <c r="C29" s="6" t="s">
        <v>144</v>
      </c>
      <c r="D29" s="367">
        <f t="shared" si="8"/>
        <v>15.138994803370789</v>
      </c>
      <c r="E29" s="367">
        <f t="shared" si="8"/>
        <v>19.464421890048154</v>
      </c>
      <c r="F29" s="367">
        <f t="shared" si="8"/>
        <v>19.464421890048154</v>
      </c>
      <c r="G29" s="367">
        <f t="shared" si="8"/>
        <v>38.928843780096308</v>
      </c>
      <c r="H29" s="367">
        <f t="shared" si="8"/>
        <v>15.138994803370789</v>
      </c>
      <c r="I29" s="367">
        <f t="shared" si="8"/>
        <v>17.301708346709471</v>
      </c>
      <c r="J29" s="367">
        <f t="shared" si="8"/>
        <v>18.743517375601929</v>
      </c>
      <c r="K29" s="367">
        <f t="shared" si="8"/>
        <v>20.185326404494383</v>
      </c>
      <c r="L29" s="367">
        <f t="shared" si="8"/>
        <v>12.255376745585876</v>
      </c>
      <c r="M29" s="367">
        <f t="shared" si="8"/>
        <v>10.092663202247191</v>
      </c>
      <c r="N29" s="367">
        <f t="shared" si="8"/>
        <v>24.510753491171752</v>
      </c>
      <c r="O29" s="367">
        <f t="shared" si="8"/>
        <v>15.859899317817016</v>
      </c>
      <c r="P29" s="367">
        <f t="shared" si="8"/>
        <v>16.580803832263246</v>
      </c>
      <c r="Q29" s="367">
        <f t="shared" si="8"/>
        <v>20.906230918940611</v>
      </c>
      <c r="R29" s="367">
        <f t="shared" si="8"/>
        <v>36.766130236757633</v>
      </c>
      <c r="S29" s="367">
        <f t="shared" si="8"/>
        <v>19.464421890048154</v>
      </c>
      <c r="T29" s="111">
        <f>'Proceso II'!C290</f>
        <v>67.351461038961034</v>
      </c>
      <c r="U29" s="125">
        <f>'Proceso III'!D98</f>
        <v>31.274951298701303</v>
      </c>
      <c r="V29" s="127">
        <f>'Proceso IV'!D79</f>
        <v>222.17609659090914</v>
      </c>
      <c r="W29" s="128">
        <f t="shared" si="9"/>
        <v>320.80250892857146</v>
      </c>
    </row>
    <row r="30" spans="1:23" s="86" customFormat="1" ht="14.25" customHeight="1" x14ac:dyDescent="0.2">
      <c r="A30" s="543"/>
      <c r="B30" s="317" t="s">
        <v>94</v>
      </c>
      <c r="C30" s="6" t="s">
        <v>145</v>
      </c>
      <c r="D30" s="367">
        <f t="shared" si="8"/>
        <v>60.114898186383925</v>
      </c>
      <c r="E30" s="367">
        <f t="shared" si="8"/>
        <v>60.114898186383925</v>
      </c>
      <c r="F30" s="367">
        <f t="shared" si="8"/>
        <v>60.114898186383925</v>
      </c>
      <c r="G30" s="367">
        <f t="shared" si="8"/>
        <v>60.114898186383925</v>
      </c>
      <c r="H30" s="367">
        <f t="shared" si="8"/>
        <v>60.114898186383925</v>
      </c>
      <c r="I30" s="367">
        <f t="shared" si="8"/>
        <v>60.114898186383925</v>
      </c>
      <c r="J30" s="367">
        <f t="shared" si="8"/>
        <v>60.114898186383925</v>
      </c>
      <c r="K30" s="367">
        <f t="shared" si="8"/>
        <v>60.114898186383925</v>
      </c>
      <c r="L30" s="367">
        <f t="shared" si="8"/>
        <v>60.114898186383925</v>
      </c>
      <c r="M30" s="367">
        <f t="shared" si="8"/>
        <v>60.114898186383925</v>
      </c>
      <c r="N30" s="367">
        <f t="shared" si="8"/>
        <v>60.114898186383925</v>
      </c>
      <c r="O30" s="367">
        <f t="shared" si="8"/>
        <v>60.114898186383925</v>
      </c>
      <c r="P30" s="367">
        <f t="shared" si="8"/>
        <v>60.114898186383925</v>
      </c>
      <c r="Q30" s="367">
        <f t="shared" si="8"/>
        <v>60.114898186383925</v>
      </c>
      <c r="R30" s="367">
        <f t="shared" si="8"/>
        <v>60.114898186383925</v>
      </c>
      <c r="S30" s="367">
        <f t="shared" si="8"/>
        <v>60.114898186383925</v>
      </c>
      <c r="T30" s="111">
        <f>'Proceso II'!D290</f>
        <v>223.35146103896102</v>
      </c>
      <c r="U30" s="125">
        <f>'Proceso III'!D99</f>
        <v>109.46232954545455</v>
      </c>
      <c r="V30" s="127">
        <f>'Proceso IV'!D80</f>
        <v>629.02458039772716</v>
      </c>
      <c r="W30" s="128">
        <f t="shared" si="9"/>
        <v>961.83837098214281</v>
      </c>
    </row>
    <row r="31" spans="1:23" s="86" customFormat="1" ht="14.25" customHeight="1" x14ac:dyDescent="0.2">
      <c r="A31" s="543"/>
      <c r="B31" s="317" t="s">
        <v>73</v>
      </c>
      <c r="C31" s="6" t="s">
        <v>146</v>
      </c>
      <c r="D31" s="367">
        <f t="shared" si="8"/>
        <v>66.660584063007292</v>
      </c>
      <c r="E31" s="367">
        <f t="shared" si="8"/>
        <v>66.660584063007292</v>
      </c>
      <c r="F31" s="367">
        <f t="shared" si="8"/>
        <v>66.660584063007292</v>
      </c>
      <c r="G31" s="367">
        <f t="shared" si="8"/>
        <v>66.660584063007292</v>
      </c>
      <c r="H31" s="367">
        <f t="shared" si="8"/>
        <v>66.660584063007292</v>
      </c>
      <c r="I31" s="367">
        <f t="shared" si="8"/>
        <v>66.660584063007292</v>
      </c>
      <c r="J31" s="367">
        <f t="shared" si="8"/>
        <v>66.660584063007292</v>
      </c>
      <c r="K31" s="367">
        <f t="shared" si="8"/>
        <v>66.660584063007292</v>
      </c>
      <c r="L31" s="367">
        <f t="shared" si="8"/>
        <v>66.660584063007292</v>
      </c>
      <c r="M31" s="367">
        <f t="shared" si="8"/>
        <v>66.660584063007292</v>
      </c>
      <c r="N31" s="367">
        <f t="shared" si="8"/>
        <v>66.660584063007292</v>
      </c>
      <c r="O31" s="367">
        <f t="shared" si="8"/>
        <v>66.660584063007292</v>
      </c>
      <c r="P31" s="367">
        <f t="shared" si="8"/>
        <v>66.660584063007292</v>
      </c>
      <c r="Q31" s="367">
        <f t="shared" si="8"/>
        <v>66.660584063007292</v>
      </c>
      <c r="R31" s="367">
        <f t="shared" si="8"/>
        <v>66.660584063007292</v>
      </c>
      <c r="S31" s="367">
        <f t="shared" si="8"/>
        <v>66.660584063007292</v>
      </c>
      <c r="T31" s="111">
        <f>'Proceso II'!E290</f>
        <v>328.08243506493505</v>
      </c>
      <c r="U31" s="125">
        <f>'Proceso III'!D100</f>
        <v>109.46232954545455</v>
      </c>
      <c r="V31" s="127">
        <f>'Proceso IV'!D81</f>
        <v>629.02458039772716</v>
      </c>
      <c r="W31" s="128">
        <f t="shared" si="9"/>
        <v>1066.5693450081167</v>
      </c>
    </row>
    <row r="32" spans="1:23" s="86" customFormat="1" ht="14.25" customHeight="1" thickBot="1" x14ac:dyDescent="0.25">
      <c r="A32" s="543"/>
      <c r="B32" s="317" t="s">
        <v>75</v>
      </c>
      <c r="C32" s="6" t="s">
        <v>156</v>
      </c>
      <c r="D32" s="367">
        <f t="shared" si="8"/>
        <v>25.241926563290608</v>
      </c>
      <c r="E32" s="367">
        <f t="shared" si="8"/>
        <v>25.241926563290608</v>
      </c>
      <c r="F32" s="367">
        <f t="shared" si="8"/>
        <v>20.193541250632485</v>
      </c>
      <c r="G32" s="367">
        <f t="shared" si="8"/>
        <v>25.241926563290608</v>
      </c>
      <c r="H32" s="367">
        <f t="shared" si="8"/>
        <v>25.241926563290608</v>
      </c>
      <c r="I32" s="367">
        <f t="shared" si="8"/>
        <v>25.241926563290608</v>
      </c>
      <c r="J32" s="367">
        <f t="shared" si="8"/>
        <v>20.193541250632485</v>
      </c>
      <c r="K32" s="367">
        <f t="shared" si="8"/>
        <v>25.241926563290608</v>
      </c>
      <c r="L32" s="367">
        <f t="shared" si="8"/>
        <v>25.241926563290608</v>
      </c>
      <c r="M32" s="367">
        <f t="shared" si="8"/>
        <v>25.241926563290608</v>
      </c>
      <c r="N32" s="367">
        <f t="shared" si="8"/>
        <v>20.193541250632485</v>
      </c>
      <c r="O32" s="367">
        <f t="shared" si="8"/>
        <v>25.241926563290608</v>
      </c>
      <c r="P32" s="367">
        <f t="shared" si="8"/>
        <v>25.241926563290608</v>
      </c>
      <c r="Q32" s="367">
        <f t="shared" si="8"/>
        <v>25.241926563290608</v>
      </c>
      <c r="R32" s="367">
        <f t="shared" si="8"/>
        <v>25.241926563290608</v>
      </c>
      <c r="S32" s="367">
        <f t="shared" si="8"/>
        <v>25.241926563290608</v>
      </c>
      <c r="T32" s="123">
        <f>'Proceso II'!F290</f>
        <v>177.72940909090909</v>
      </c>
      <c r="U32" s="125">
        <f>'Proceso III'!D101</f>
        <v>31.274951298701303</v>
      </c>
      <c r="V32" s="127">
        <f>'Proceso IV'!D82</f>
        <v>179.72130868506494</v>
      </c>
      <c r="W32" s="129">
        <f t="shared" si="9"/>
        <v>388.72566907467535</v>
      </c>
    </row>
    <row r="33" spans="1:23" s="86" customFormat="1" ht="14.25" customHeight="1" x14ac:dyDescent="0.2">
      <c r="A33" s="544"/>
      <c r="B33" s="317" t="s">
        <v>76</v>
      </c>
      <c r="C33" s="6" t="s">
        <v>147</v>
      </c>
      <c r="D33" s="367">
        <f t="shared" si="8"/>
        <v>18.864591124872319</v>
      </c>
      <c r="E33" s="367">
        <f t="shared" si="8"/>
        <v>24.254474303407267</v>
      </c>
      <c r="F33" s="367">
        <f t="shared" si="8"/>
        <v>24.254474303407267</v>
      </c>
      <c r="G33" s="367">
        <f t="shared" si="8"/>
        <v>48.508948606814535</v>
      </c>
      <c r="H33" s="367">
        <f t="shared" si="8"/>
        <v>18.864591124872319</v>
      </c>
      <c r="I33" s="367">
        <f t="shared" si="8"/>
        <v>21.559532714139795</v>
      </c>
      <c r="J33" s="367">
        <f t="shared" si="8"/>
        <v>23.35616044031811</v>
      </c>
      <c r="K33" s="367">
        <f t="shared" si="8"/>
        <v>25.152788166496428</v>
      </c>
      <c r="L33" s="367">
        <f t="shared" si="8"/>
        <v>15.271335672515688</v>
      </c>
      <c r="M33" s="367">
        <f t="shared" si="8"/>
        <v>12.576394083248214</v>
      </c>
      <c r="N33" s="367">
        <f t="shared" si="8"/>
        <v>30.542671345031376</v>
      </c>
      <c r="O33" s="367">
        <f t="shared" si="8"/>
        <v>19.762904987961477</v>
      </c>
      <c r="P33" s="367">
        <f t="shared" si="8"/>
        <v>20.661218851050638</v>
      </c>
      <c r="Q33" s="367">
        <f t="shared" si="8"/>
        <v>26.051102029585586</v>
      </c>
      <c r="R33" s="367">
        <f t="shared" si="8"/>
        <v>45.814007017547063</v>
      </c>
      <c r="S33" s="367">
        <f t="shared" si="8"/>
        <v>24.254474303407267</v>
      </c>
      <c r="T33" s="124">
        <f>'Proceso II'!G290</f>
        <v>188.75340909090909</v>
      </c>
      <c r="U33" s="125">
        <f>'Proceso III'!D102</f>
        <v>31.274951298701303</v>
      </c>
      <c r="V33" s="127">
        <f>'Proceso IV'!D83</f>
        <v>179.72130868506494</v>
      </c>
      <c r="W33" s="130">
        <f t="shared" si="9"/>
        <v>399.74966907467535</v>
      </c>
    </row>
    <row r="34" spans="1:23" s="86" customFormat="1" ht="14.25" customHeight="1" x14ac:dyDescent="0.2">
      <c r="A34" s="366" t="s">
        <v>519</v>
      </c>
      <c r="B34" s="317" t="s">
        <v>78</v>
      </c>
      <c r="C34" s="316" t="s">
        <v>150</v>
      </c>
      <c r="D34" s="367">
        <f t="shared" si="8"/>
        <v>156.13280814606742</v>
      </c>
      <c r="E34" s="367">
        <f t="shared" si="8"/>
        <v>200.74218190208666</v>
      </c>
      <c r="F34" s="367">
        <f t="shared" si="8"/>
        <v>200.74218190208666</v>
      </c>
      <c r="G34" s="367">
        <f t="shared" si="8"/>
        <v>401.48436380417331</v>
      </c>
      <c r="H34" s="367">
        <f t="shared" si="8"/>
        <v>156.13280814606742</v>
      </c>
      <c r="I34" s="367">
        <f t="shared" si="8"/>
        <v>178.43749502407704</v>
      </c>
      <c r="J34" s="367">
        <f t="shared" si="8"/>
        <v>193.30728627608346</v>
      </c>
      <c r="K34" s="367">
        <f t="shared" si="8"/>
        <v>208.17707752808988</v>
      </c>
      <c r="L34" s="367">
        <f t="shared" si="8"/>
        <v>126.39322564205456</v>
      </c>
      <c r="M34" s="367">
        <f t="shared" si="8"/>
        <v>104.08853876404494</v>
      </c>
      <c r="N34" s="367">
        <f t="shared" si="8"/>
        <v>252.78645128410912</v>
      </c>
      <c r="O34" s="367">
        <f t="shared" si="8"/>
        <v>163.56770377207062</v>
      </c>
      <c r="P34" s="367">
        <f t="shared" si="8"/>
        <v>171.00259939807381</v>
      </c>
      <c r="Q34" s="367">
        <f t="shared" si="8"/>
        <v>215.61197315409311</v>
      </c>
      <c r="R34" s="367">
        <f t="shared" si="8"/>
        <v>379.17967692616367</v>
      </c>
      <c r="S34" s="367">
        <f t="shared" si="8"/>
        <v>200.74218190208666</v>
      </c>
      <c r="T34" s="111">
        <f>'Proceso II'!C313</f>
        <v>286.37297077922079</v>
      </c>
      <c r="U34" s="114">
        <f>'Proceso III'!D107</f>
        <v>312.74951298701296</v>
      </c>
      <c r="V34" s="127">
        <f>'Proceso IV'!D88</f>
        <v>2709.4060698051949</v>
      </c>
      <c r="W34" s="128">
        <f t="shared" si="9"/>
        <v>3308.5285535714283</v>
      </c>
    </row>
    <row r="35" spans="1:23" x14ac:dyDescent="0.2">
      <c r="A35" s="542" t="s">
        <v>151</v>
      </c>
      <c r="B35" s="317" t="s">
        <v>79</v>
      </c>
      <c r="C35" s="6" t="s">
        <v>154</v>
      </c>
      <c r="D35" s="367">
        <f t="shared" si="8"/>
        <v>47.727428260457067</v>
      </c>
      <c r="E35" s="367">
        <f t="shared" si="8"/>
        <v>47.727428260457067</v>
      </c>
      <c r="F35" s="367">
        <f t="shared" si="8"/>
        <v>38.181942608365659</v>
      </c>
      <c r="G35" s="367">
        <f t="shared" si="8"/>
        <v>47.727428260457067</v>
      </c>
      <c r="H35" s="367">
        <f t="shared" si="8"/>
        <v>47.727428260457067</v>
      </c>
      <c r="I35" s="367">
        <f t="shared" si="8"/>
        <v>47.727428260457067</v>
      </c>
      <c r="J35" s="367">
        <f t="shared" si="8"/>
        <v>38.181942608365659</v>
      </c>
      <c r="K35" s="367">
        <f t="shared" si="8"/>
        <v>47.727428260457067</v>
      </c>
      <c r="L35" s="367">
        <f t="shared" si="8"/>
        <v>47.727428260457067</v>
      </c>
      <c r="M35" s="367">
        <f t="shared" si="8"/>
        <v>47.727428260457067</v>
      </c>
      <c r="N35" s="367">
        <f t="shared" si="8"/>
        <v>38.181942608365659</v>
      </c>
      <c r="O35" s="367">
        <f t="shared" si="8"/>
        <v>47.727428260457067</v>
      </c>
      <c r="P35" s="367">
        <f t="shared" si="8"/>
        <v>47.727428260457067</v>
      </c>
      <c r="Q35" s="367">
        <f t="shared" si="8"/>
        <v>47.727428260457067</v>
      </c>
      <c r="R35" s="367">
        <f t="shared" si="8"/>
        <v>47.727428260457067</v>
      </c>
      <c r="S35" s="367">
        <f t="shared" si="8"/>
        <v>47.727428260457067</v>
      </c>
      <c r="T35" s="111">
        <f>'Proceso II'!C340</f>
        <v>69.362418831168839</v>
      </c>
      <c r="U35" s="114">
        <f>'Proceso III'!D112</f>
        <v>93.824853896103889</v>
      </c>
      <c r="V35" s="127">
        <f>'Proceso IV'!D93</f>
        <v>571.81512248376612</v>
      </c>
      <c r="W35" s="128">
        <f t="shared" si="9"/>
        <v>735.0023952110389</v>
      </c>
    </row>
    <row r="36" spans="1:23" x14ac:dyDescent="0.2">
      <c r="A36" s="543"/>
      <c r="B36" s="317" t="s">
        <v>74</v>
      </c>
      <c r="C36" s="141" t="s">
        <v>153</v>
      </c>
      <c r="D36" s="367">
        <f t="shared" si="8"/>
        <v>33.098525950219823</v>
      </c>
      <c r="E36" s="367">
        <f t="shared" si="8"/>
        <v>42.555247650282631</v>
      </c>
      <c r="F36" s="367">
        <f t="shared" si="8"/>
        <v>21.277623825141315</v>
      </c>
      <c r="G36" s="367">
        <f t="shared" si="8"/>
        <v>85.110495300565262</v>
      </c>
      <c r="H36" s="367">
        <f t="shared" si="8"/>
        <v>33.098525950219823</v>
      </c>
      <c r="I36" s="367">
        <f t="shared" si="8"/>
        <v>37.826886800251224</v>
      </c>
      <c r="J36" s="367">
        <f t="shared" si="8"/>
        <v>20.489563683469413</v>
      </c>
      <c r="K36" s="367">
        <f t="shared" si="8"/>
        <v>44.131367933626436</v>
      </c>
      <c r="L36" s="367">
        <f t="shared" si="8"/>
        <v>18.913443400125612</v>
      </c>
      <c r="M36" s="367">
        <f t="shared" si="8"/>
        <v>22.065683966813218</v>
      </c>
      <c r="N36" s="367">
        <f t="shared" si="8"/>
        <v>26.794044816844622</v>
      </c>
      <c r="O36" s="367">
        <f t="shared" si="8"/>
        <v>17.337323116781814</v>
      </c>
      <c r="P36" s="367">
        <f t="shared" si="8"/>
        <v>18.125383258453713</v>
      </c>
      <c r="Q36" s="367">
        <f t="shared" si="8"/>
        <v>22.853744108485117</v>
      </c>
      <c r="R36" s="367">
        <f t="shared" si="8"/>
        <v>40.191067225266927</v>
      </c>
      <c r="S36" s="367">
        <f t="shared" si="8"/>
        <v>21.277623825141315</v>
      </c>
      <c r="T36" s="111">
        <f>'Proceso II'!D340</f>
        <v>61.386566558441558</v>
      </c>
      <c r="U36" s="114">
        <f>'Proceso III'!D113</f>
        <v>62.549902597402593</v>
      </c>
      <c r="V36" s="127">
        <f>'Proceso IV'!D94</f>
        <v>381.21008165584414</v>
      </c>
      <c r="W36" s="128">
        <f t="shared" si="9"/>
        <v>505.14655081168826</v>
      </c>
    </row>
    <row r="37" spans="1:23" x14ac:dyDescent="0.2">
      <c r="A37" s="543"/>
      <c r="B37" s="317" t="s">
        <v>158</v>
      </c>
      <c r="C37" s="142" t="s">
        <v>155</v>
      </c>
      <c r="D37" s="367">
        <f t="shared" si="8"/>
        <v>42.754886066138909</v>
      </c>
      <c r="E37" s="367">
        <f t="shared" si="8"/>
        <v>54.970567799321458</v>
      </c>
      <c r="F37" s="367">
        <f t="shared" si="8"/>
        <v>54.970567799321458</v>
      </c>
      <c r="G37" s="367">
        <f t="shared" si="8"/>
        <v>109.94113559864292</v>
      </c>
      <c r="H37" s="367">
        <f t="shared" si="8"/>
        <v>42.754886066138909</v>
      </c>
      <c r="I37" s="367">
        <f t="shared" si="8"/>
        <v>48.862726932730183</v>
      </c>
      <c r="J37" s="367">
        <f t="shared" si="8"/>
        <v>52.934620843791031</v>
      </c>
      <c r="K37" s="367">
        <f t="shared" si="8"/>
        <v>57.006514754851878</v>
      </c>
      <c r="L37" s="367">
        <f t="shared" si="8"/>
        <v>34.611098244017214</v>
      </c>
      <c r="M37" s="367">
        <f t="shared" si="8"/>
        <v>28.503257377425939</v>
      </c>
      <c r="N37" s="367">
        <f t="shared" si="8"/>
        <v>69.222196488034427</v>
      </c>
      <c r="O37" s="367">
        <f t="shared" si="8"/>
        <v>44.790833021669336</v>
      </c>
      <c r="P37" s="367">
        <f t="shared" si="8"/>
        <v>46.826779977199763</v>
      </c>
      <c r="Q37" s="367">
        <f t="shared" si="8"/>
        <v>59.042461710382305</v>
      </c>
      <c r="R37" s="367">
        <f t="shared" si="8"/>
        <v>103.83329473205164</v>
      </c>
      <c r="S37" s="367">
        <f t="shared" si="8"/>
        <v>54.970567799321458</v>
      </c>
      <c r="T37" s="111">
        <f>'Proceso II'!E340</f>
        <v>240.35641883116884</v>
      </c>
      <c r="U37" s="114">
        <f>'Proceso III'!D114</f>
        <v>93.824853896103889</v>
      </c>
      <c r="V37" s="127">
        <f>'Proceso IV'!D95</f>
        <v>571.81512248376612</v>
      </c>
      <c r="W37" s="128">
        <f t="shared" si="9"/>
        <v>905.99639521103882</v>
      </c>
    </row>
    <row r="38" spans="1:23" x14ac:dyDescent="0.2">
      <c r="A38" s="544"/>
      <c r="B38" s="317" t="s">
        <v>159</v>
      </c>
      <c r="C38" s="141" t="s">
        <v>157</v>
      </c>
      <c r="D38" s="367">
        <f t="shared" si="8"/>
        <v>30.285919489538237</v>
      </c>
      <c r="E38" s="367">
        <f t="shared" si="8"/>
        <v>30.285919489538237</v>
      </c>
      <c r="F38" s="367">
        <f t="shared" si="8"/>
        <v>30.285919489538237</v>
      </c>
      <c r="G38" s="367">
        <f t="shared" si="8"/>
        <v>60.571838979076475</v>
      </c>
      <c r="H38" s="367">
        <f t="shared" si="8"/>
        <v>30.285919489538237</v>
      </c>
      <c r="I38" s="367">
        <f t="shared" si="8"/>
        <v>30.285919489538237</v>
      </c>
      <c r="J38" s="367">
        <f t="shared" si="8"/>
        <v>30.285919489538237</v>
      </c>
      <c r="K38" s="367">
        <f t="shared" si="8"/>
        <v>30.285919489538237</v>
      </c>
      <c r="L38" s="367">
        <f t="shared" si="8"/>
        <v>30.285919489538237</v>
      </c>
      <c r="M38" s="367">
        <f t="shared" si="8"/>
        <v>15.142959744769119</v>
      </c>
      <c r="N38" s="367">
        <f t="shared" si="8"/>
        <v>45.428879234307352</v>
      </c>
      <c r="O38" s="367">
        <f t="shared" si="8"/>
        <v>30.285919489538237</v>
      </c>
      <c r="P38" s="367">
        <f t="shared" si="8"/>
        <v>30.285919489538237</v>
      </c>
      <c r="Q38" s="367">
        <f t="shared" si="8"/>
        <v>30.285919489538237</v>
      </c>
      <c r="R38" s="367">
        <f t="shared" si="8"/>
        <v>60.571838979076475</v>
      </c>
      <c r="S38" s="367">
        <f t="shared" si="8"/>
        <v>30.285919489538237</v>
      </c>
      <c r="T38" s="111">
        <f>'Proceso II'!F340</f>
        <v>101.38656655844156</v>
      </c>
      <c r="U38" s="114">
        <f>'Proceso III'!D115</f>
        <v>62.549902597402593</v>
      </c>
      <c r="V38" s="127">
        <f>'Proceso IV'!D96</f>
        <v>381.21008165584414</v>
      </c>
      <c r="W38" s="128">
        <f t="shared" si="9"/>
        <v>545.14655081168826</v>
      </c>
    </row>
    <row r="39" spans="1:23" x14ac:dyDescent="0.2">
      <c r="A39" s="538" t="s">
        <v>518</v>
      </c>
      <c r="B39" s="317" t="s">
        <v>516</v>
      </c>
      <c r="C39" s="6" t="s">
        <v>208</v>
      </c>
      <c r="D39" s="367">
        <f t="shared" si="8"/>
        <v>176.63245543323865</v>
      </c>
      <c r="E39" s="367">
        <f t="shared" si="8"/>
        <v>176.63245543323865</v>
      </c>
      <c r="F39" s="367">
        <f t="shared" si="8"/>
        <v>176.63245543323865</v>
      </c>
      <c r="G39" s="367">
        <f t="shared" si="8"/>
        <v>176.63245543323865</v>
      </c>
      <c r="H39" s="367">
        <f t="shared" si="8"/>
        <v>176.63245543323865</v>
      </c>
      <c r="I39" s="367">
        <f t="shared" si="8"/>
        <v>176.63245543323865</v>
      </c>
      <c r="J39" s="367">
        <f t="shared" si="8"/>
        <v>176.63245543323865</v>
      </c>
      <c r="K39" s="367">
        <f t="shared" si="8"/>
        <v>176.63245543323865</v>
      </c>
      <c r="L39" s="367">
        <f t="shared" si="8"/>
        <v>176.63245543323865</v>
      </c>
      <c r="M39" s="367">
        <f t="shared" si="8"/>
        <v>176.63245543323865</v>
      </c>
      <c r="N39" s="367">
        <f t="shared" si="8"/>
        <v>176.63245543323865</v>
      </c>
      <c r="O39" s="367">
        <f t="shared" si="8"/>
        <v>176.63245543323865</v>
      </c>
      <c r="P39" s="367">
        <f t="shared" si="8"/>
        <v>176.63245543323865</v>
      </c>
      <c r="Q39" s="367">
        <f t="shared" si="8"/>
        <v>176.63245543323865</v>
      </c>
      <c r="R39" s="367">
        <f t="shared" si="8"/>
        <v>176.63245543323865</v>
      </c>
      <c r="S39" s="367">
        <f t="shared" si="8"/>
        <v>176.63245543323865</v>
      </c>
      <c r="T39" s="111">
        <f>'Proceso II'!C363</f>
        <v>666.05714285714294</v>
      </c>
      <c r="U39" s="114">
        <f>'Proceso III'!D120</f>
        <v>1261.4556006493508</v>
      </c>
      <c r="V39" s="127">
        <f>'Proceso IV'!D101</f>
        <v>898.60654342532462</v>
      </c>
      <c r="W39" s="128">
        <f t="shared" si="9"/>
        <v>2826.1192869318184</v>
      </c>
    </row>
    <row r="40" spans="1:23" x14ac:dyDescent="0.2">
      <c r="A40" s="539"/>
      <c r="B40" s="317" t="s">
        <v>517</v>
      </c>
      <c r="C40" s="6" t="s">
        <v>209</v>
      </c>
      <c r="D40" s="367">
        <f t="shared" si="8"/>
        <v>293.12520686303827</v>
      </c>
      <c r="E40" s="367">
        <f t="shared" si="8"/>
        <v>146.56260343151914</v>
      </c>
      <c r="F40" s="367">
        <f t="shared" si="8"/>
        <v>146.56260343151914</v>
      </c>
      <c r="G40" s="367">
        <f t="shared" si="8"/>
        <v>293.12520686303827</v>
      </c>
      <c r="H40" s="367">
        <f t="shared" si="8"/>
        <v>195.41680457535884</v>
      </c>
      <c r="I40" s="367">
        <f t="shared" si="8"/>
        <v>293.12520686303827</v>
      </c>
      <c r="J40" s="367">
        <f t="shared" si="8"/>
        <v>293.12520686303827</v>
      </c>
      <c r="K40" s="367">
        <f t="shared" si="8"/>
        <v>293.12520686303827</v>
      </c>
      <c r="L40" s="367">
        <f t="shared" si="8"/>
        <v>195.41680457535884</v>
      </c>
      <c r="M40" s="367">
        <f t="shared" si="8"/>
        <v>195.41680457535884</v>
      </c>
      <c r="N40" s="367">
        <f t="shared" si="8"/>
        <v>195.41680457535884</v>
      </c>
      <c r="O40" s="367">
        <f t="shared" si="8"/>
        <v>293.12520686303827</v>
      </c>
      <c r="P40" s="367">
        <f t="shared" si="8"/>
        <v>146.56260343151914</v>
      </c>
      <c r="Q40" s="367">
        <f t="shared" si="8"/>
        <v>244.27100571919857</v>
      </c>
      <c r="R40" s="367">
        <f t="shared" si="8"/>
        <v>146.56260343151914</v>
      </c>
      <c r="S40" s="367">
        <f t="shared" si="8"/>
        <v>341.97940800687797</v>
      </c>
      <c r="T40" s="111">
        <f>'Proceso II'!D363</f>
        <v>1552.8571428571429</v>
      </c>
      <c r="U40" s="114">
        <f>'Proceso III'!D121</f>
        <v>1261.4556006493508</v>
      </c>
      <c r="V40" s="127">
        <f>'Proceso IV'!D102</f>
        <v>898.60654342532462</v>
      </c>
      <c r="W40" s="128">
        <f t="shared" si="9"/>
        <v>3712.9192869318181</v>
      </c>
    </row>
    <row r="41" spans="1:23" x14ac:dyDescent="0.2">
      <c r="C41" s="142" t="s">
        <v>96</v>
      </c>
      <c r="D41" s="368">
        <f>SUM(D26:D40)</f>
        <v>1042.7501119919086</v>
      </c>
      <c r="E41" s="368">
        <f t="shared" ref="E41:S41" si="10">SUM(E26:E40)</f>
        <v>981.18443287098785</v>
      </c>
      <c r="F41" s="368">
        <f t="shared" si="10"/>
        <v>945.31293808109695</v>
      </c>
      <c r="G41" s="368">
        <f t="shared" si="10"/>
        <v>1540.5191151897377</v>
      </c>
      <c r="H41" s="368">
        <f t="shared" si="10"/>
        <v>945.04170970422922</v>
      </c>
      <c r="I41" s="368">
        <f t="shared" si="10"/>
        <v>1085.2485741472078</v>
      </c>
      <c r="J41" s="368">
        <f t="shared" si="10"/>
        <v>1078.4974476025216</v>
      </c>
      <c r="K41" s="368">
        <f t="shared" si="10"/>
        <v>1141.9131903542734</v>
      </c>
      <c r="L41" s="368">
        <f t="shared" si="10"/>
        <v>880.49649208044457</v>
      </c>
      <c r="M41" s="368">
        <f t="shared" si="10"/>
        <v>830.73567159709535</v>
      </c>
      <c r="N41" s="368">
        <f t="shared" si="10"/>
        <v>1102.9567563403673</v>
      </c>
      <c r="O41" s="368">
        <f t="shared" si="10"/>
        <v>1039.5789429268932</v>
      </c>
      <c r="P41" s="368">
        <f t="shared" si="10"/>
        <v>906.3944334054687</v>
      </c>
      <c r="Q41" s="368">
        <f t="shared" si="10"/>
        <v>1084.3713991537149</v>
      </c>
      <c r="R41" s="368">
        <f t="shared" si="10"/>
        <v>1311.2669823776523</v>
      </c>
      <c r="S41" s="368">
        <f t="shared" si="10"/>
        <v>1155.3236136212054</v>
      </c>
      <c r="T41" s="131">
        <f>SUM(T26:T40)</f>
        <v>4496.9094155844159</v>
      </c>
      <c r="U41" s="131">
        <f>SUM(U26:U40)</f>
        <v>3773.9092532467535</v>
      </c>
      <c r="V41" s="131">
        <f>SUM(V26:V40)</f>
        <v>8800.7731426136361</v>
      </c>
      <c r="W41" s="131">
        <f>SUM(W26:W40)</f>
        <v>17071.591811444807</v>
      </c>
    </row>
    <row r="42" spans="1:23" x14ac:dyDescent="0.2">
      <c r="I42" s="30"/>
      <c r="J42" s="30"/>
      <c r="K42" s="30"/>
    </row>
    <row r="43" spans="1:23" x14ac:dyDescent="0.2">
      <c r="I43" s="30"/>
      <c r="J43" s="30"/>
      <c r="K43" s="30"/>
    </row>
    <row r="44" spans="1:23" x14ac:dyDescent="0.2">
      <c r="I44" s="30"/>
      <c r="J44" s="30"/>
      <c r="K44" s="30"/>
    </row>
    <row r="45" spans="1:23" x14ac:dyDescent="0.2">
      <c r="I45" s="30"/>
      <c r="J45" s="30"/>
      <c r="K45" s="30"/>
    </row>
    <row r="46" spans="1:23" x14ac:dyDescent="0.2">
      <c r="I46" s="30"/>
      <c r="J46" s="30"/>
      <c r="K46" s="30"/>
    </row>
    <row r="47" spans="1:23" x14ac:dyDescent="0.2">
      <c r="I47" s="30"/>
      <c r="J47" s="30"/>
      <c r="K47" s="30"/>
    </row>
    <row r="48" spans="1:23" x14ac:dyDescent="0.2">
      <c r="I48" s="30"/>
      <c r="J48" s="30"/>
      <c r="K48" s="30"/>
    </row>
    <row r="49" spans="1:19" ht="13.5" thickBot="1" x14ac:dyDescent="0.25"/>
    <row r="50" spans="1:19" s="135" customFormat="1" ht="37.5" customHeight="1" thickTop="1" thickBot="1" x14ac:dyDescent="0.25">
      <c r="A50" s="545" t="s">
        <v>125</v>
      </c>
      <c r="B50" s="545"/>
      <c r="C50" s="545"/>
      <c r="D50" s="545"/>
      <c r="E50" s="545"/>
      <c r="F50" s="545"/>
      <c r="G50" s="545"/>
      <c r="H50" s="545"/>
      <c r="I50" s="545"/>
      <c r="J50" s="545"/>
      <c r="K50" s="545"/>
    </row>
    <row r="51" spans="1:19" ht="13.5" thickTop="1" x14ac:dyDescent="0.2"/>
    <row r="53" spans="1:19" x14ac:dyDescent="0.2">
      <c r="D53" s="475" t="s">
        <v>262</v>
      </c>
      <c r="E53" s="475" t="s">
        <v>263</v>
      </c>
      <c r="F53" s="475" t="s">
        <v>264</v>
      </c>
      <c r="G53" s="475" t="s">
        <v>265</v>
      </c>
      <c r="H53" s="475" t="s">
        <v>266</v>
      </c>
      <c r="I53" s="475" t="s">
        <v>267</v>
      </c>
      <c r="J53" s="475" t="s">
        <v>268</v>
      </c>
      <c r="K53" s="475" t="s">
        <v>269</v>
      </c>
      <c r="L53" s="475" t="s">
        <v>270</v>
      </c>
      <c r="M53" s="475" t="s">
        <v>271</v>
      </c>
      <c r="N53" s="475" t="s">
        <v>272</v>
      </c>
      <c r="O53" s="475" t="s">
        <v>273</v>
      </c>
      <c r="P53" s="475" t="s">
        <v>274</v>
      </c>
      <c r="Q53" s="475" t="s">
        <v>275</v>
      </c>
      <c r="R53" s="475" t="s">
        <v>276</v>
      </c>
      <c r="S53" s="475" t="s">
        <v>277</v>
      </c>
    </row>
    <row r="54" spans="1:19" x14ac:dyDescent="0.2"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</row>
    <row r="55" spans="1:19" x14ac:dyDescent="0.2">
      <c r="C55" s="134" t="s">
        <v>126</v>
      </c>
      <c r="D55" s="369">
        <f>D41+CSD!C27+CMOD!G33+CMD!D62</f>
        <v>2063.6358482426476</v>
      </c>
      <c r="E55" s="369">
        <f>E41+CSD!D27+CMOD!H33+CMD!E62</f>
        <v>2260.0018080505097</v>
      </c>
      <c r="F55" s="369">
        <f>F41+CSD!E27+CMOD!I33+CMD!F62</f>
        <v>1429.9589222831751</v>
      </c>
      <c r="G55" s="369">
        <f>G41+CSD!F27+CMOD!J33+CMD!G62</f>
        <v>3963.1538655487816</v>
      </c>
      <c r="H55" s="369">
        <f>H41+CSD!G27+CMOD!K33+CMD!H62</f>
        <v>2027.5274459549687</v>
      </c>
      <c r="I55" s="369">
        <f>I41+CSD!H27+CMOD!L33+CMD!I62</f>
        <v>2234.7751298623384</v>
      </c>
      <c r="J55" s="369">
        <f>J41+CSD!I27+CMOD!M33+CMD!J62</f>
        <v>1522.4435805378562</v>
      </c>
      <c r="K55" s="369">
        <f>K41+CSD!J27+CMOD!N33+CMD!K62</f>
        <v>2415.0285720219258</v>
      </c>
      <c r="L55" s="369">
        <f>L41+CSD!K27+CMOD!O33+CMD!L62</f>
        <v>1644.9594023786617</v>
      </c>
      <c r="M55" s="369">
        <f>M41+CSD!L27+CMOD!P33+CMD!M62</f>
        <v>1509.6293624309214</v>
      </c>
      <c r="N55" s="369">
        <f>N41+CSD!M27+CMOD!Q33+CMD!N62</f>
        <v>1703.0516994096511</v>
      </c>
      <c r="O55" s="369">
        <f>O41+CSD!N27+CMOD!R33+CMD!O62</f>
        <v>2039.883885665763</v>
      </c>
      <c r="P55" s="369">
        <f>P41+CSD!O27+CMOD!S33+CMD!P62</f>
        <v>2036.6697826324687</v>
      </c>
      <c r="Q55" s="369">
        <f>Q41+CSD!P27+CMOD!T33+CMD!Q62</f>
        <v>2458.0551873094978</v>
      </c>
      <c r="R55" s="369">
        <f>R41+CSD!Q27+CMOD!U33+CMD!R62</f>
        <v>3717.5991969815773</v>
      </c>
      <c r="S55" s="369">
        <f>S41+CSD!R27+CMOD!V33+CMD!S62</f>
        <v>2382.9705888007275</v>
      </c>
    </row>
    <row r="56" spans="1:19" x14ac:dyDescent="0.2">
      <c r="C56" s="134" t="s">
        <v>112</v>
      </c>
      <c r="D56" s="5">
        <v>21</v>
      </c>
      <c r="E56" s="5">
        <v>27</v>
      </c>
      <c r="F56" s="5">
        <v>27</v>
      </c>
      <c r="G56" s="5">
        <v>54</v>
      </c>
      <c r="H56" s="5">
        <v>21</v>
      </c>
      <c r="I56" s="5">
        <v>24</v>
      </c>
      <c r="J56" s="5">
        <v>26</v>
      </c>
      <c r="K56" s="5">
        <v>28</v>
      </c>
      <c r="L56" s="5">
        <v>17</v>
      </c>
      <c r="M56" s="5">
        <v>14</v>
      </c>
      <c r="N56" s="5">
        <v>34</v>
      </c>
      <c r="O56" s="5">
        <v>22</v>
      </c>
      <c r="P56" s="5">
        <v>23</v>
      </c>
      <c r="Q56" s="5">
        <v>29</v>
      </c>
      <c r="R56" s="5">
        <v>51</v>
      </c>
      <c r="S56" s="5">
        <v>27</v>
      </c>
    </row>
    <row r="57" spans="1:19" x14ac:dyDescent="0.2">
      <c r="C57" s="134" t="s">
        <v>123</v>
      </c>
      <c r="D57" s="370">
        <f>D55/D56</f>
        <v>98.268373725840362</v>
      </c>
      <c r="E57" s="370">
        <f t="shared" ref="E57:S57" si="11">E55/E56</f>
        <v>83.703770668537402</v>
      </c>
      <c r="F57" s="370">
        <f t="shared" si="11"/>
        <v>52.961441566043518</v>
      </c>
      <c r="G57" s="370">
        <f t="shared" si="11"/>
        <v>73.391738250903359</v>
      </c>
      <c r="H57" s="370">
        <f t="shared" si="11"/>
        <v>96.548925997855648</v>
      </c>
      <c r="I57" s="370">
        <f t="shared" si="11"/>
        <v>93.115630410930763</v>
      </c>
      <c r="J57" s="370">
        <f t="shared" si="11"/>
        <v>58.555522328379084</v>
      </c>
      <c r="K57" s="370">
        <f t="shared" si="11"/>
        <v>86.251020429354497</v>
      </c>
      <c r="L57" s="370">
        <f t="shared" si="11"/>
        <v>96.762317786980105</v>
      </c>
      <c r="M57" s="370">
        <f t="shared" si="11"/>
        <v>107.83066874506582</v>
      </c>
      <c r="N57" s="370">
        <f t="shared" si="11"/>
        <v>50.089755864989741</v>
      </c>
      <c r="O57" s="370">
        <f t="shared" si="11"/>
        <v>92.721994802989229</v>
      </c>
      <c r="P57" s="370">
        <f t="shared" si="11"/>
        <v>88.550860114455162</v>
      </c>
      <c r="Q57" s="370">
        <f t="shared" si="11"/>
        <v>84.760523700327511</v>
      </c>
      <c r="R57" s="370">
        <f t="shared" si="11"/>
        <v>72.894101901599555</v>
      </c>
      <c r="S57" s="370">
        <f t="shared" si="11"/>
        <v>88.258169955582503</v>
      </c>
    </row>
    <row r="60" spans="1:19" x14ac:dyDescent="0.2">
      <c r="C60" s="371" t="s">
        <v>558</v>
      </c>
    </row>
    <row r="63" spans="1:19" ht="14.25" customHeight="1" x14ac:dyDescent="0.2"/>
    <row r="64" spans="1:19" ht="12.75" customHeight="1" x14ac:dyDescent="0.2"/>
    <row r="78" ht="19.5" customHeight="1" x14ac:dyDescent="0.2"/>
  </sheetData>
  <mergeCells count="60">
    <mergeCell ref="A50:K50"/>
    <mergeCell ref="A1:K1"/>
    <mergeCell ref="A26:A28"/>
    <mergeCell ref="A29:A33"/>
    <mergeCell ref="A35:A38"/>
    <mergeCell ref="A39:A40"/>
    <mergeCell ref="B25:C25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R24:R25"/>
    <mergeCell ref="N53:N54"/>
    <mergeCell ref="O53:O54"/>
    <mergeCell ref="P53:P54"/>
    <mergeCell ref="Q53:Q54"/>
    <mergeCell ref="R53:R54"/>
    <mergeCell ref="Q4:Q5"/>
    <mergeCell ref="R4:R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L4:L5"/>
    <mergeCell ref="M4:M5"/>
    <mergeCell ref="N4:N5"/>
    <mergeCell ref="O4:O5"/>
    <mergeCell ref="P4:P5"/>
    <mergeCell ref="S53:S54"/>
    <mergeCell ref="A19:A20"/>
    <mergeCell ref="S4:S5"/>
    <mergeCell ref="B5:C5"/>
    <mergeCell ref="A6:A8"/>
    <mergeCell ref="A9:A13"/>
    <mergeCell ref="A15:A18"/>
    <mergeCell ref="S24:S25"/>
    <mergeCell ref="D4:D5"/>
    <mergeCell ref="E4:E5"/>
    <mergeCell ref="F4:F5"/>
    <mergeCell ref="G4:G5"/>
    <mergeCell ref="H4:H5"/>
    <mergeCell ref="I4:I5"/>
    <mergeCell ref="J4:J5"/>
    <mergeCell ref="K4:K5"/>
  </mergeCells>
  <pageMargins left="0.7" right="0.7" top="0.75" bottom="0.75" header="0.3" footer="0.3"/>
  <pageSetup paperSize="9" orientation="portrait" verticalDpi="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-0.249977111117893"/>
  </sheetPr>
  <dimension ref="A1:C25"/>
  <sheetViews>
    <sheetView workbookViewId="0">
      <selection activeCell="A14" sqref="A14"/>
    </sheetView>
  </sheetViews>
  <sheetFormatPr baseColWidth="10" defaultRowHeight="12.75" x14ac:dyDescent="0.2"/>
  <cols>
    <col min="1" max="1" width="17.85546875" bestFit="1" customWidth="1"/>
    <col min="2" max="2" width="19.85546875" bestFit="1" customWidth="1"/>
    <col min="3" max="3" width="14.5703125" bestFit="1" customWidth="1"/>
  </cols>
  <sheetData>
    <row r="1" spans="1:3" ht="23.25" x14ac:dyDescent="0.2">
      <c r="A1" s="547" t="s">
        <v>559</v>
      </c>
      <c r="B1" s="547"/>
      <c r="C1" s="547"/>
    </row>
    <row r="2" spans="1:3" x14ac:dyDescent="0.2">
      <c r="A2" s="384"/>
      <c r="B2" s="384"/>
      <c r="C2" s="384"/>
    </row>
    <row r="3" spans="1:3" x14ac:dyDescent="0.2">
      <c r="A3" s="384"/>
      <c r="B3" s="384" t="s">
        <v>560</v>
      </c>
      <c r="C3" s="384"/>
    </row>
    <row r="4" spans="1:3" x14ac:dyDescent="0.2">
      <c r="A4" s="384" t="s">
        <v>315</v>
      </c>
      <c r="B4" s="384" t="s">
        <v>317</v>
      </c>
      <c r="C4" s="384" t="s">
        <v>316</v>
      </c>
    </row>
    <row r="5" spans="1:3" x14ac:dyDescent="0.2">
      <c r="A5" s="385" t="s">
        <v>278</v>
      </c>
      <c r="B5" s="384">
        <v>95</v>
      </c>
      <c r="C5" s="384">
        <v>100</v>
      </c>
    </row>
    <row r="6" spans="1:3" x14ac:dyDescent="0.2">
      <c r="A6" s="384"/>
      <c r="B6" s="384" t="s">
        <v>561</v>
      </c>
      <c r="C6" s="384"/>
    </row>
    <row r="7" spans="1:3" x14ac:dyDescent="0.2">
      <c r="A7" s="386" t="s">
        <v>313</v>
      </c>
      <c r="B7" s="386">
        <v>4</v>
      </c>
      <c r="C7" s="386">
        <v>4</v>
      </c>
    </row>
    <row r="8" spans="1:3" x14ac:dyDescent="0.2">
      <c r="A8" s="386" t="s">
        <v>318</v>
      </c>
      <c r="B8" s="386">
        <v>3</v>
      </c>
      <c r="C8" s="386">
        <v>3</v>
      </c>
    </row>
    <row r="9" spans="1:3" x14ac:dyDescent="0.2">
      <c r="A9" s="386" t="s">
        <v>312</v>
      </c>
      <c r="B9" s="386">
        <v>10</v>
      </c>
      <c r="C9" s="386">
        <v>10</v>
      </c>
    </row>
    <row r="10" spans="1:3" x14ac:dyDescent="0.2">
      <c r="A10" s="386" t="s">
        <v>322</v>
      </c>
      <c r="B10" s="386">
        <v>2</v>
      </c>
      <c r="C10" s="386">
        <v>2</v>
      </c>
    </row>
    <row r="11" spans="1:3" x14ac:dyDescent="0.2">
      <c r="A11" s="384"/>
      <c r="B11" s="384"/>
      <c r="C11" s="384"/>
    </row>
    <row r="12" spans="1:3" x14ac:dyDescent="0.2">
      <c r="A12" s="384"/>
      <c r="B12" s="384" t="s">
        <v>560</v>
      </c>
      <c r="C12" s="384"/>
    </row>
    <row r="13" spans="1:3" x14ac:dyDescent="0.2">
      <c r="A13" s="384" t="s">
        <v>315</v>
      </c>
      <c r="B13" s="26" t="s">
        <v>372</v>
      </c>
      <c r="C13" s="26" t="s">
        <v>320</v>
      </c>
    </row>
    <row r="14" spans="1:3" x14ac:dyDescent="0.2">
      <c r="A14" s="385" t="s">
        <v>279</v>
      </c>
      <c r="B14" s="384">
        <v>55</v>
      </c>
      <c r="C14" s="384">
        <v>50</v>
      </c>
    </row>
    <row r="15" spans="1:3" x14ac:dyDescent="0.2">
      <c r="A15" s="384"/>
      <c r="B15" s="384" t="s">
        <v>561</v>
      </c>
      <c r="C15" s="384"/>
    </row>
    <row r="16" spans="1:3" x14ac:dyDescent="0.2">
      <c r="A16" s="386" t="s">
        <v>309</v>
      </c>
      <c r="B16" s="386">
        <v>2</v>
      </c>
      <c r="C16" s="386">
        <v>2</v>
      </c>
    </row>
    <row r="17" spans="1:3" x14ac:dyDescent="0.2">
      <c r="A17" s="386" t="s">
        <v>314</v>
      </c>
      <c r="B17" s="386">
        <v>2</v>
      </c>
      <c r="C17" s="386">
        <v>2</v>
      </c>
    </row>
    <row r="18" spans="1:3" x14ac:dyDescent="0.2">
      <c r="A18" s="386" t="s">
        <v>323</v>
      </c>
      <c r="B18" s="386">
        <v>2</v>
      </c>
      <c r="C18" s="386">
        <v>2</v>
      </c>
    </row>
    <row r="19" spans="1:3" x14ac:dyDescent="0.2">
      <c r="A19" s="384"/>
      <c r="B19" s="384"/>
      <c r="C19" s="384"/>
    </row>
    <row r="20" spans="1:3" x14ac:dyDescent="0.2">
      <c r="A20" s="384"/>
      <c r="B20" s="384" t="s">
        <v>560</v>
      </c>
      <c r="C20" s="384"/>
    </row>
    <row r="21" spans="1:3" x14ac:dyDescent="0.2">
      <c r="A21" s="384" t="s">
        <v>315</v>
      </c>
      <c r="B21" s="384" t="s">
        <v>317</v>
      </c>
      <c r="C21" s="384" t="s">
        <v>316</v>
      </c>
    </row>
    <row r="22" spans="1:3" x14ac:dyDescent="0.2">
      <c r="A22" s="385" t="s">
        <v>280</v>
      </c>
      <c r="B22" s="384">
        <v>90</v>
      </c>
      <c r="C22" s="384">
        <v>95</v>
      </c>
    </row>
    <row r="23" spans="1:3" x14ac:dyDescent="0.2">
      <c r="A23" s="384"/>
      <c r="B23" s="384" t="s">
        <v>561</v>
      </c>
      <c r="C23" s="384"/>
    </row>
    <row r="24" spans="1:3" x14ac:dyDescent="0.2">
      <c r="A24" s="386" t="s">
        <v>312</v>
      </c>
      <c r="B24" s="386">
        <v>4</v>
      </c>
      <c r="C24" s="386">
        <v>4</v>
      </c>
    </row>
    <row r="25" spans="1:3" x14ac:dyDescent="0.2">
      <c r="A25" s="386" t="s">
        <v>322</v>
      </c>
      <c r="B25" s="386">
        <v>2</v>
      </c>
      <c r="C25" s="386">
        <v>2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 tint="0.39997558519241921"/>
  </sheetPr>
  <dimension ref="A1:E130"/>
  <sheetViews>
    <sheetView workbookViewId="0">
      <selection activeCell="C9" sqref="C9"/>
    </sheetView>
  </sheetViews>
  <sheetFormatPr baseColWidth="10" defaultRowHeight="12.75" x14ac:dyDescent="0.2"/>
  <cols>
    <col min="1" max="1" width="16.42578125" bestFit="1" customWidth="1"/>
    <col min="2" max="3" width="19.85546875" bestFit="1" customWidth="1"/>
    <col min="5" max="5" width="16.7109375" bestFit="1" customWidth="1"/>
  </cols>
  <sheetData>
    <row r="1" spans="1:5" x14ac:dyDescent="0.2">
      <c r="A1" s="547" t="s">
        <v>595</v>
      </c>
      <c r="B1" s="547"/>
      <c r="C1" s="547"/>
    </row>
    <row r="2" spans="1:5" x14ac:dyDescent="0.2">
      <c r="A2" s="547"/>
      <c r="B2" s="547"/>
      <c r="C2" s="547"/>
    </row>
    <row r="4" spans="1:5" ht="12.75" customHeight="1" x14ac:dyDescent="0.2">
      <c r="A4" s="396" t="s">
        <v>566</v>
      </c>
      <c r="B4" s="384" t="s">
        <v>582</v>
      </c>
      <c r="C4" s="384">
        <v>21</v>
      </c>
      <c r="D4" s="384"/>
      <c r="E4" s="384"/>
    </row>
    <row r="5" spans="1:5" x14ac:dyDescent="0.2">
      <c r="A5" s="387" t="s">
        <v>313</v>
      </c>
      <c r="B5" s="387" t="s">
        <v>318</v>
      </c>
      <c r="C5" s="387" t="s">
        <v>319</v>
      </c>
      <c r="D5" s="387" t="s">
        <v>312</v>
      </c>
      <c r="E5" s="388" t="s">
        <v>322</v>
      </c>
    </row>
    <row r="6" spans="1:5" x14ac:dyDescent="0.2">
      <c r="A6" s="387" t="s">
        <v>310</v>
      </c>
      <c r="B6" s="387" t="s">
        <v>310</v>
      </c>
      <c r="C6" s="387" t="s">
        <v>317</v>
      </c>
      <c r="D6" s="387" t="s">
        <v>310</v>
      </c>
      <c r="E6" s="388" t="s">
        <v>310</v>
      </c>
    </row>
    <row r="7" spans="1:5" x14ac:dyDescent="0.2">
      <c r="A7" s="384"/>
      <c r="B7" s="384"/>
      <c r="C7" s="384"/>
      <c r="D7" s="384"/>
      <c r="E7" s="384"/>
    </row>
    <row r="8" spans="1:5" ht="15" x14ac:dyDescent="0.25">
      <c r="A8" s="384"/>
      <c r="B8" s="548" t="s">
        <v>562</v>
      </c>
      <c r="C8" s="549"/>
      <c r="D8" s="389" t="s">
        <v>563</v>
      </c>
      <c r="E8" s="384"/>
    </row>
    <row r="9" spans="1:5" x14ac:dyDescent="0.2">
      <c r="A9" s="384"/>
      <c r="B9" s="390">
        <f>Precio_de_venta!B5+Precio_de_venta!B7+Precio_de_venta!B8+Precio_de_venta!B9+Precio_de_venta!B10</f>
        <v>114</v>
      </c>
      <c r="C9" s="391">
        <f>1.18*B9</f>
        <v>134.51999999999998</v>
      </c>
      <c r="D9" s="69">
        <f>C9*C4</f>
        <v>2824.9199999999996</v>
      </c>
      <c r="E9" s="384"/>
    </row>
    <row r="10" spans="1:5" x14ac:dyDescent="0.2">
      <c r="A10" s="384"/>
      <c r="B10" s="391" t="s">
        <v>564</v>
      </c>
      <c r="C10" s="69" t="s">
        <v>565</v>
      </c>
      <c r="D10" s="384"/>
      <c r="E10" s="384"/>
    </row>
    <row r="12" spans="1:5" x14ac:dyDescent="0.2">
      <c r="A12" s="396" t="s">
        <v>567</v>
      </c>
      <c r="B12" s="384" t="s">
        <v>582</v>
      </c>
      <c r="C12" s="384">
        <v>27</v>
      </c>
      <c r="D12" s="384"/>
      <c r="E12" s="384"/>
    </row>
    <row r="13" spans="1:5" x14ac:dyDescent="0.2">
      <c r="A13" s="387" t="s">
        <v>313</v>
      </c>
      <c r="B13" s="387" t="s">
        <v>318</v>
      </c>
      <c r="C13" s="387" t="s">
        <v>319</v>
      </c>
      <c r="D13" s="387" t="s">
        <v>312</v>
      </c>
      <c r="E13" s="388" t="s">
        <v>322</v>
      </c>
    </row>
    <row r="14" spans="1:5" x14ac:dyDescent="0.2">
      <c r="A14" s="387" t="s">
        <v>310</v>
      </c>
      <c r="B14" s="387" t="s">
        <v>583</v>
      </c>
      <c r="C14" s="387" t="s">
        <v>317</v>
      </c>
      <c r="D14" s="387" t="s">
        <v>310</v>
      </c>
      <c r="E14" s="388" t="s">
        <v>310</v>
      </c>
    </row>
    <row r="15" spans="1:5" x14ac:dyDescent="0.2">
      <c r="A15" s="384"/>
      <c r="B15" s="384"/>
      <c r="C15" s="384"/>
      <c r="D15" s="384"/>
      <c r="E15" s="384"/>
    </row>
    <row r="16" spans="1:5" ht="15" x14ac:dyDescent="0.25">
      <c r="A16" s="384"/>
      <c r="B16" s="548" t="s">
        <v>562</v>
      </c>
      <c r="C16" s="549"/>
      <c r="D16" s="389" t="s">
        <v>563</v>
      </c>
      <c r="E16" s="384"/>
    </row>
    <row r="17" spans="1:5" x14ac:dyDescent="0.2">
      <c r="A17" s="384"/>
      <c r="B17" s="390">
        <f>Precio_de_venta!B5+Precio_de_venta!B7+Precio_de_venta!B9+Precio_de_venta!B10</f>
        <v>111</v>
      </c>
      <c r="C17" s="391">
        <f>1.18*B17</f>
        <v>130.97999999999999</v>
      </c>
      <c r="D17" s="69">
        <f>C17*C12</f>
        <v>3536.4599999999996</v>
      </c>
      <c r="E17" s="384"/>
    </row>
    <row r="18" spans="1:5" x14ac:dyDescent="0.2">
      <c r="A18" s="384"/>
      <c r="B18" s="391" t="s">
        <v>564</v>
      </c>
      <c r="C18" s="69" t="s">
        <v>565</v>
      </c>
      <c r="D18" s="384"/>
      <c r="E18" s="384"/>
    </row>
    <row r="20" spans="1:5" x14ac:dyDescent="0.2">
      <c r="A20" s="396" t="s">
        <v>568</v>
      </c>
      <c r="B20" s="384" t="s">
        <v>279</v>
      </c>
      <c r="C20" s="384">
        <v>27</v>
      </c>
      <c r="D20" s="384"/>
      <c r="E20" s="384"/>
    </row>
    <row r="21" spans="1:5" x14ac:dyDescent="0.2">
      <c r="A21" s="387" t="s">
        <v>445</v>
      </c>
      <c r="B21" s="387" t="s">
        <v>584</v>
      </c>
      <c r="C21" s="387" t="s">
        <v>319</v>
      </c>
      <c r="D21" s="387" t="s">
        <v>312</v>
      </c>
      <c r="E21" s="388" t="s">
        <v>322</v>
      </c>
    </row>
    <row r="22" spans="1:5" x14ac:dyDescent="0.2">
      <c r="A22" s="387" t="s">
        <v>310</v>
      </c>
      <c r="B22" s="387" t="s">
        <v>311</v>
      </c>
      <c r="C22" s="387" t="s">
        <v>321</v>
      </c>
      <c r="D22" s="387" t="s">
        <v>310</v>
      </c>
      <c r="E22" s="388" t="s">
        <v>310</v>
      </c>
    </row>
    <row r="23" spans="1:5" x14ac:dyDescent="0.2">
      <c r="A23" s="384"/>
      <c r="B23" s="384"/>
      <c r="C23" s="384"/>
      <c r="D23" s="384"/>
      <c r="E23" s="384"/>
    </row>
    <row r="24" spans="1:5" ht="15" x14ac:dyDescent="0.25">
      <c r="A24" s="384"/>
      <c r="B24" s="548" t="s">
        <v>562</v>
      </c>
      <c r="C24" s="549"/>
      <c r="D24" s="389" t="s">
        <v>563</v>
      </c>
      <c r="E24" s="384"/>
    </row>
    <row r="25" spans="1:5" x14ac:dyDescent="0.2">
      <c r="A25" s="384"/>
      <c r="B25" s="390">
        <f>Precio_de_venta!B14+Precio_de_venta!B16+Precio_de_venta!B18</f>
        <v>59</v>
      </c>
      <c r="C25" s="391">
        <f>1.18*B25</f>
        <v>69.61999999999999</v>
      </c>
      <c r="D25" s="69">
        <f>C25*C20</f>
        <v>1879.7399999999998</v>
      </c>
      <c r="E25" s="384"/>
    </row>
    <row r="26" spans="1:5" x14ac:dyDescent="0.2">
      <c r="A26" s="384"/>
      <c r="B26" s="391" t="s">
        <v>564</v>
      </c>
      <c r="C26" s="69" t="s">
        <v>565</v>
      </c>
      <c r="D26" s="384"/>
      <c r="E26" s="384"/>
    </row>
    <row r="28" spans="1:5" x14ac:dyDescent="0.2">
      <c r="A28" s="396" t="s">
        <v>569</v>
      </c>
      <c r="B28" s="384" t="s">
        <v>280</v>
      </c>
      <c r="C28" s="384">
        <v>54</v>
      </c>
      <c r="D28" s="384"/>
      <c r="E28" s="384"/>
    </row>
    <row r="29" spans="1:5" x14ac:dyDescent="0.2">
      <c r="A29" s="387" t="s">
        <v>312</v>
      </c>
      <c r="B29" s="387" t="s">
        <v>315</v>
      </c>
      <c r="C29" s="387" t="s">
        <v>322</v>
      </c>
      <c r="D29" s="387" t="s">
        <v>409</v>
      </c>
      <c r="E29" s="388" t="s">
        <v>409</v>
      </c>
    </row>
    <row r="30" spans="1:5" x14ac:dyDescent="0.2">
      <c r="A30" s="387" t="s">
        <v>310</v>
      </c>
      <c r="B30" s="387" t="s">
        <v>317</v>
      </c>
      <c r="C30" s="387" t="s">
        <v>310</v>
      </c>
      <c r="D30" s="387"/>
      <c r="E30" s="388"/>
    </row>
    <row r="31" spans="1:5" x14ac:dyDescent="0.2">
      <c r="A31" s="384"/>
      <c r="B31" s="384"/>
      <c r="C31" s="384"/>
      <c r="D31" s="384"/>
      <c r="E31" s="384"/>
    </row>
    <row r="32" spans="1:5" ht="15" x14ac:dyDescent="0.25">
      <c r="A32" s="384"/>
      <c r="B32" s="548" t="s">
        <v>562</v>
      </c>
      <c r="C32" s="549"/>
      <c r="D32" s="389" t="s">
        <v>563</v>
      </c>
      <c r="E32" s="384"/>
    </row>
    <row r="33" spans="1:5" x14ac:dyDescent="0.2">
      <c r="A33" s="384"/>
      <c r="B33" s="390">
        <f>Precio_de_venta!B22+Precio_de_venta!B24+Precio_de_venta!B25</f>
        <v>96</v>
      </c>
      <c r="C33" s="391">
        <f>1.18*B33</f>
        <v>113.28</v>
      </c>
      <c r="D33" s="69">
        <f>C33*C28</f>
        <v>6117.12</v>
      </c>
      <c r="E33" s="384"/>
    </row>
    <row r="34" spans="1:5" x14ac:dyDescent="0.2">
      <c r="A34" s="384"/>
      <c r="B34" s="391" t="s">
        <v>564</v>
      </c>
      <c r="C34" s="69" t="s">
        <v>565</v>
      </c>
      <c r="D34" s="384"/>
      <c r="E34" s="384"/>
    </row>
    <row r="36" spans="1:5" x14ac:dyDescent="0.2">
      <c r="A36" s="396" t="s">
        <v>570</v>
      </c>
      <c r="B36" s="384" t="s">
        <v>582</v>
      </c>
      <c r="C36" s="384">
        <v>21</v>
      </c>
      <c r="D36" s="384"/>
      <c r="E36" s="384"/>
    </row>
    <row r="37" spans="1:5" x14ac:dyDescent="0.2">
      <c r="A37" s="387" t="s">
        <v>313</v>
      </c>
      <c r="B37" s="387" t="s">
        <v>318</v>
      </c>
      <c r="C37" s="387" t="s">
        <v>319</v>
      </c>
      <c r="D37" s="387" t="s">
        <v>312</v>
      </c>
      <c r="E37" s="388" t="s">
        <v>322</v>
      </c>
    </row>
    <row r="38" spans="1:5" x14ac:dyDescent="0.2">
      <c r="A38" s="387" t="s">
        <v>310</v>
      </c>
      <c r="B38" s="387" t="s">
        <v>310</v>
      </c>
      <c r="C38" s="387" t="s">
        <v>316</v>
      </c>
      <c r="D38" s="387" t="s">
        <v>310</v>
      </c>
      <c r="E38" s="388" t="s">
        <v>310</v>
      </c>
    </row>
    <row r="39" spans="1:5" x14ac:dyDescent="0.2">
      <c r="A39" s="384"/>
      <c r="B39" s="384"/>
      <c r="C39" s="384"/>
      <c r="D39" s="384"/>
      <c r="E39" s="384"/>
    </row>
    <row r="40" spans="1:5" ht="15" x14ac:dyDescent="0.25">
      <c r="A40" s="384"/>
      <c r="B40" s="548" t="s">
        <v>562</v>
      </c>
      <c r="C40" s="549"/>
      <c r="D40" s="389" t="s">
        <v>563</v>
      </c>
      <c r="E40" s="384"/>
    </row>
    <row r="41" spans="1:5" x14ac:dyDescent="0.2">
      <c r="A41" s="384"/>
      <c r="B41" s="390">
        <f>Precio_de_venta!C5+Precio_de_venta!C7+Precio_de_venta!C8+Precio_de_venta!C9+Precio_de_venta!C10</f>
        <v>119</v>
      </c>
      <c r="C41" s="391">
        <f>1.18*B41</f>
        <v>140.41999999999999</v>
      </c>
      <c r="D41" s="69">
        <f>C41*C36</f>
        <v>2948.8199999999997</v>
      </c>
      <c r="E41" s="384"/>
    </row>
    <row r="42" spans="1:5" x14ac:dyDescent="0.2">
      <c r="A42" s="384"/>
      <c r="B42" s="391" t="s">
        <v>564</v>
      </c>
      <c r="C42" s="69" t="s">
        <v>565</v>
      </c>
      <c r="D42" s="384"/>
      <c r="E42" s="384"/>
    </row>
    <row r="44" spans="1:5" x14ac:dyDescent="0.2">
      <c r="A44" s="396" t="s">
        <v>571</v>
      </c>
      <c r="B44" s="384" t="s">
        <v>585</v>
      </c>
      <c r="C44" s="384">
        <v>24</v>
      </c>
      <c r="D44" s="384"/>
      <c r="E44" s="384"/>
    </row>
    <row r="45" spans="1:5" x14ac:dyDescent="0.2">
      <c r="A45" s="387" t="s">
        <v>312</v>
      </c>
      <c r="B45" s="387" t="s">
        <v>315</v>
      </c>
      <c r="C45" s="387" t="s">
        <v>322</v>
      </c>
      <c r="D45" s="387" t="s">
        <v>409</v>
      </c>
      <c r="E45" s="388" t="s">
        <v>409</v>
      </c>
    </row>
    <row r="46" spans="1:5" x14ac:dyDescent="0.2">
      <c r="A46" s="387" t="s">
        <v>310</v>
      </c>
      <c r="B46" s="387" t="s">
        <v>316</v>
      </c>
      <c r="C46" s="387" t="s">
        <v>310</v>
      </c>
      <c r="D46" s="387"/>
      <c r="E46" s="388"/>
    </row>
    <row r="47" spans="1:5" x14ac:dyDescent="0.2">
      <c r="A47" s="384"/>
      <c r="B47" s="384"/>
      <c r="C47" s="384"/>
      <c r="D47" s="384"/>
      <c r="E47" s="384"/>
    </row>
    <row r="48" spans="1:5" ht="15" x14ac:dyDescent="0.25">
      <c r="A48" s="384"/>
      <c r="B48" s="548" t="s">
        <v>562</v>
      </c>
      <c r="C48" s="549"/>
      <c r="D48" s="389" t="s">
        <v>563</v>
      </c>
      <c r="E48" s="384"/>
    </row>
    <row r="49" spans="1:5" x14ac:dyDescent="0.2">
      <c r="A49" s="384"/>
      <c r="B49" s="390">
        <f>Precio_de_venta!C22+Precio_de_venta!C24+Precio_de_venta!C25</f>
        <v>101</v>
      </c>
      <c r="C49" s="391">
        <f>1.18*B49</f>
        <v>119.17999999999999</v>
      </c>
      <c r="D49" s="69">
        <f>C49*C44</f>
        <v>2860.3199999999997</v>
      </c>
      <c r="E49" s="384"/>
    </row>
    <row r="50" spans="1:5" x14ac:dyDescent="0.2">
      <c r="A50" s="384"/>
      <c r="B50" s="391" t="s">
        <v>564</v>
      </c>
      <c r="C50" s="69" t="s">
        <v>565</v>
      </c>
      <c r="D50" s="384"/>
      <c r="E50" s="384"/>
    </row>
    <row r="52" spans="1:5" x14ac:dyDescent="0.2">
      <c r="A52" s="396" t="s">
        <v>572</v>
      </c>
      <c r="B52" s="384" t="s">
        <v>279</v>
      </c>
      <c r="C52" s="384">
        <v>26</v>
      </c>
      <c r="D52" s="384"/>
      <c r="E52" s="384"/>
    </row>
    <row r="53" spans="1:5" x14ac:dyDescent="0.2">
      <c r="A53" s="387" t="s">
        <v>309</v>
      </c>
      <c r="B53" s="387" t="s">
        <v>314</v>
      </c>
      <c r="C53" s="387" t="s">
        <v>319</v>
      </c>
      <c r="D53" s="387" t="s">
        <v>323</v>
      </c>
      <c r="E53" s="388" t="s">
        <v>324</v>
      </c>
    </row>
    <row r="54" spans="1:5" x14ac:dyDescent="0.2">
      <c r="A54" s="387" t="s">
        <v>310</v>
      </c>
      <c r="B54" s="387" t="s">
        <v>311</v>
      </c>
      <c r="C54" s="387" t="s">
        <v>416</v>
      </c>
      <c r="D54" s="387" t="s">
        <v>310</v>
      </c>
      <c r="E54" s="388" t="s">
        <v>325</v>
      </c>
    </row>
    <row r="55" spans="1:5" x14ac:dyDescent="0.2">
      <c r="A55" s="384"/>
      <c r="B55" s="384"/>
      <c r="C55" s="384"/>
      <c r="D55" s="384"/>
      <c r="E55" s="384"/>
    </row>
    <row r="56" spans="1:5" ht="15" x14ac:dyDescent="0.25">
      <c r="A56" s="384"/>
      <c r="B56" s="548" t="s">
        <v>562</v>
      </c>
      <c r="C56" s="549"/>
      <c r="D56" s="389" t="s">
        <v>563</v>
      </c>
      <c r="E56" s="384"/>
    </row>
    <row r="57" spans="1:5" x14ac:dyDescent="0.2">
      <c r="A57" s="384"/>
      <c r="B57" s="390">
        <f>Precio_de_venta!C14+Precio_de_venta!C16+Precio_de_venta!C18</f>
        <v>54</v>
      </c>
      <c r="C57" s="391">
        <f>1.18*B57</f>
        <v>63.72</v>
      </c>
      <c r="D57" s="69">
        <f>C57*C52</f>
        <v>1656.72</v>
      </c>
      <c r="E57" s="384"/>
    </row>
    <row r="58" spans="1:5" x14ac:dyDescent="0.2">
      <c r="A58" s="384"/>
      <c r="B58" s="391" t="s">
        <v>564</v>
      </c>
      <c r="C58" s="69" t="s">
        <v>565</v>
      </c>
      <c r="D58" s="384"/>
      <c r="E58" s="384"/>
    </row>
    <row r="60" spans="1:5" x14ac:dyDescent="0.2">
      <c r="A60" s="396" t="s">
        <v>573</v>
      </c>
      <c r="B60" s="384" t="s">
        <v>280</v>
      </c>
      <c r="C60" s="384">
        <v>28</v>
      </c>
      <c r="D60" s="384"/>
      <c r="E60" s="384"/>
    </row>
    <row r="61" spans="1:5" x14ac:dyDescent="0.2">
      <c r="A61" s="387" t="s">
        <v>312</v>
      </c>
      <c r="B61" s="387" t="s">
        <v>315</v>
      </c>
      <c r="C61" s="387" t="s">
        <v>322</v>
      </c>
      <c r="D61" s="387" t="s">
        <v>409</v>
      </c>
      <c r="E61" s="388" t="s">
        <v>409</v>
      </c>
    </row>
    <row r="62" spans="1:5" x14ac:dyDescent="0.2">
      <c r="A62" s="387" t="s">
        <v>310</v>
      </c>
      <c r="B62" s="387" t="s">
        <v>317</v>
      </c>
      <c r="C62" s="387" t="s">
        <v>310</v>
      </c>
      <c r="D62" s="387"/>
      <c r="E62" s="388"/>
    </row>
    <row r="63" spans="1:5" x14ac:dyDescent="0.2">
      <c r="A63" s="384"/>
      <c r="B63" s="384"/>
      <c r="C63" s="384"/>
      <c r="D63" s="384"/>
      <c r="E63" s="384"/>
    </row>
    <row r="64" spans="1:5" ht="15" x14ac:dyDescent="0.25">
      <c r="A64" s="384"/>
      <c r="B64" s="548" t="s">
        <v>562</v>
      </c>
      <c r="C64" s="549"/>
      <c r="D64" s="389" t="s">
        <v>563</v>
      </c>
      <c r="E64" s="384"/>
    </row>
    <row r="65" spans="1:5" x14ac:dyDescent="0.2">
      <c r="A65" s="384"/>
      <c r="B65" s="390">
        <f>Precio_de_venta!B22+Precio_de_venta!B24+Precio_de_venta!B25</f>
        <v>96</v>
      </c>
      <c r="C65" s="391">
        <f>1.18*B65</f>
        <v>113.28</v>
      </c>
      <c r="D65" s="69">
        <f>C65*C60</f>
        <v>3171.84</v>
      </c>
      <c r="E65" s="384"/>
    </row>
    <row r="66" spans="1:5" x14ac:dyDescent="0.2">
      <c r="A66" s="384"/>
      <c r="B66" s="391" t="s">
        <v>564</v>
      </c>
      <c r="C66" s="69" t="s">
        <v>565</v>
      </c>
      <c r="D66" s="384"/>
      <c r="E66" s="384"/>
    </row>
    <row r="68" spans="1:5" x14ac:dyDescent="0.2">
      <c r="A68" s="396" t="s">
        <v>574</v>
      </c>
      <c r="B68" s="384" t="s">
        <v>280</v>
      </c>
      <c r="C68" s="384">
        <v>17</v>
      </c>
      <c r="D68" s="384"/>
      <c r="E68" s="384"/>
    </row>
    <row r="69" spans="1:5" x14ac:dyDescent="0.2">
      <c r="A69" s="387" t="s">
        <v>312</v>
      </c>
      <c r="B69" s="387" t="s">
        <v>315</v>
      </c>
      <c r="C69" s="387" t="s">
        <v>322</v>
      </c>
      <c r="D69" s="387" t="s">
        <v>409</v>
      </c>
      <c r="E69" s="388" t="s">
        <v>409</v>
      </c>
    </row>
    <row r="70" spans="1:5" x14ac:dyDescent="0.2">
      <c r="A70" s="387" t="s">
        <v>310</v>
      </c>
      <c r="B70" s="387" t="s">
        <v>317</v>
      </c>
      <c r="C70" s="387" t="s">
        <v>310</v>
      </c>
      <c r="D70" s="387"/>
      <c r="E70" s="388"/>
    </row>
    <row r="71" spans="1:5" x14ac:dyDescent="0.2">
      <c r="A71" s="384"/>
      <c r="B71" s="384"/>
      <c r="C71" s="384"/>
      <c r="D71" s="384"/>
      <c r="E71" s="384"/>
    </row>
    <row r="72" spans="1:5" ht="15" x14ac:dyDescent="0.25">
      <c r="A72" s="384"/>
      <c r="B72" s="548" t="s">
        <v>562</v>
      </c>
      <c r="C72" s="549"/>
      <c r="D72" s="389" t="s">
        <v>563</v>
      </c>
      <c r="E72" s="384"/>
    </row>
    <row r="73" spans="1:5" x14ac:dyDescent="0.2">
      <c r="A73" s="384"/>
      <c r="B73" s="390">
        <f>Precio_de_venta!B22+Precio_de_venta!B24+Precio_de_venta!B25</f>
        <v>96</v>
      </c>
      <c r="C73" s="391">
        <f>1.18*B73</f>
        <v>113.28</v>
      </c>
      <c r="D73" s="69">
        <f>C73*C68</f>
        <v>1925.76</v>
      </c>
      <c r="E73" s="384"/>
    </row>
    <row r="74" spans="1:5" x14ac:dyDescent="0.2">
      <c r="A74" s="384"/>
      <c r="B74" s="391" t="s">
        <v>564</v>
      </c>
      <c r="C74" s="69" t="s">
        <v>565</v>
      </c>
      <c r="D74" s="384"/>
      <c r="E74" s="384"/>
    </row>
    <row r="76" spans="1:5" x14ac:dyDescent="0.2">
      <c r="A76" s="396" t="s">
        <v>575</v>
      </c>
      <c r="B76" s="384" t="s">
        <v>280</v>
      </c>
      <c r="C76" s="384">
        <v>14</v>
      </c>
      <c r="D76" s="384"/>
      <c r="E76" s="384"/>
    </row>
    <row r="77" spans="1:5" x14ac:dyDescent="0.2">
      <c r="A77" s="387" t="s">
        <v>312</v>
      </c>
      <c r="B77" s="387" t="s">
        <v>315</v>
      </c>
      <c r="C77" s="387" t="s">
        <v>322</v>
      </c>
      <c r="D77" s="387" t="s">
        <v>409</v>
      </c>
      <c r="E77" s="388" t="s">
        <v>409</v>
      </c>
    </row>
    <row r="78" spans="1:5" x14ac:dyDescent="0.2">
      <c r="A78" s="387" t="s">
        <v>310</v>
      </c>
      <c r="B78" s="387" t="s">
        <v>316</v>
      </c>
      <c r="C78" s="387" t="s">
        <v>310</v>
      </c>
      <c r="D78" s="387"/>
      <c r="E78" s="388"/>
    </row>
    <row r="79" spans="1:5" x14ac:dyDescent="0.2">
      <c r="A79" s="384"/>
      <c r="B79" s="384"/>
      <c r="C79" s="384"/>
      <c r="D79" s="384"/>
      <c r="E79" s="384"/>
    </row>
    <row r="80" spans="1:5" ht="15" x14ac:dyDescent="0.25">
      <c r="A80" s="384"/>
      <c r="B80" s="548" t="s">
        <v>562</v>
      </c>
      <c r="C80" s="549"/>
      <c r="D80" s="389" t="s">
        <v>563</v>
      </c>
      <c r="E80" s="384"/>
    </row>
    <row r="81" spans="1:5" x14ac:dyDescent="0.2">
      <c r="A81" s="384"/>
      <c r="B81" s="390">
        <f>Precio_de_venta!C22+Precio_de_venta!C24+Precio_de_venta!C25</f>
        <v>101</v>
      </c>
      <c r="C81" s="391">
        <f>1.18*B81</f>
        <v>119.17999999999999</v>
      </c>
      <c r="D81" s="69">
        <f>C81*C76</f>
        <v>1668.52</v>
      </c>
      <c r="E81" s="384"/>
    </row>
    <row r="82" spans="1:5" x14ac:dyDescent="0.2">
      <c r="A82" s="384"/>
      <c r="B82" s="391" t="s">
        <v>564</v>
      </c>
      <c r="C82" s="69" t="s">
        <v>565</v>
      </c>
      <c r="D82" s="384"/>
      <c r="E82" s="384"/>
    </row>
    <row r="84" spans="1:5" x14ac:dyDescent="0.2">
      <c r="A84" s="396" t="s">
        <v>576</v>
      </c>
      <c r="B84" s="384" t="s">
        <v>279</v>
      </c>
      <c r="C84" s="384">
        <v>34</v>
      </c>
      <c r="D84" s="384"/>
      <c r="E84" s="384"/>
    </row>
    <row r="85" spans="1:5" x14ac:dyDescent="0.2">
      <c r="A85" s="387" t="s">
        <v>309</v>
      </c>
      <c r="B85" s="387" t="s">
        <v>314</v>
      </c>
      <c r="C85" s="387" t="s">
        <v>319</v>
      </c>
      <c r="D85" s="387" t="s">
        <v>323</v>
      </c>
      <c r="E85" s="388" t="s">
        <v>324</v>
      </c>
    </row>
    <row r="86" spans="1:5" x14ac:dyDescent="0.2">
      <c r="A86" s="387" t="s">
        <v>310</v>
      </c>
      <c r="B86" s="387" t="s">
        <v>311</v>
      </c>
      <c r="C86" s="387" t="s">
        <v>321</v>
      </c>
      <c r="D86" s="387" t="s">
        <v>310</v>
      </c>
      <c r="E86" s="388" t="s">
        <v>326</v>
      </c>
    </row>
    <row r="87" spans="1:5" x14ac:dyDescent="0.2">
      <c r="A87" s="384"/>
      <c r="B87" s="384"/>
      <c r="C87" s="384"/>
      <c r="D87" s="384"/>
      <c r="E87" s="384"/>
    </row>
    <row r="88" spans="1:5" ht="15" x14ac:dyDescent="0.25">
      <c r="A88" s="384"/>
      <c r="B88" s="548" t="s">
        <v>562</v>
      </c>
      <c r="C88" s="549"/>
      <c r="D88" s="389" t="s">
        <v>563</v>
      </c>
      <c r="E88" s="384"/>
    </row>
    <row r="89" spans="1:5" x14ac:dyDescent="0.2">
      <c r="A89" s="384"/>
      <c r="B89" s="390">
        <f>Precio_de_venta!B14+Precio_de_venta!B16+Precio_de_venta!B18</f>
        <v>59</v>
      </c>
      <c r="C89" s="391">
        <f>1.18*B89</f>
        <v>69.61999999999999</v>
      </c>
      <c r="D89" s="69">
        <f>C89*C84</f>
        <v>2367.0799999999995</v>
      </c>
      <c r="E89" s="384"/>
    </row>
    <row r="90" spans="1:5" x14ac:dyDescent="0.2">
      <c r="A90" s="384"/>
      <c r="B90" s="391" t="s">
        <v>564</v>
      </c>
      <c r="C90" s="69" t="s">
        <v>565</v>
      </c>
      <c r="D90" s="384"/>
      <c r="E90" s="384"/>
    </row>
    <row r="92" spans="1:5" x14ac:dyDescent="0.2">
      <c r="A92" s="396" t="s">
        <v>577</v>
      </c>
      <c r="B92" s="384" t="s">
        <v>585</v>
      </c>
      <c r="C92" s="384">
        <v>22</v>
      </c>
      <c r="D92" s="384"/>
      <c r="E92" s="384"/>
    </row>
    <row r="93" spans="1:5" x14ac:dyDescent="0.2">
      <c r="A93" s="387" t="s">
        <v>312</v>
      </c>
      <c r="B93" s="387" t="s">
        <v>315</v>
      </c>
      <c r="C93" s="387" t="s">
        <v>322</v>
      </c>
      <c r="D93" s="387" t="s">
        <v>409</v>
      </c>
      <c r="E93" s="388" t="s">
        <v>409</v>
      </c>
    </row>
    <row r="94" spans="1:5" x14ac:dyDescent="0.2">
      <c r="A94" s="387" t="s">
        <v>310</v>
      </c>
      <c r="B94" s="387" t="s">
        <v>316</v>
      </c>
      <c r="C94" s="387" t="s">
        <v>310</v>
      </c>
      <c r="D94" s="387"/>
      <c r="E94" s="388"/>
    </row>
    <row r="95" spans="1:5" x14ac:dyDescent="0.2">
      <c r="A95" s="384"/>
      <c r="B95" s="384"/>
      <c r="C95" s="384"/>
      <c r="D95" s="384"/>
      <c r="E95" s="384"/>
    </row>
    <row r="96" spans="1:5" ht="15" x14ac:dyDescent="0.25">
      <c r="A96" s="384"/>
      <c r="B96" s="548" t="s">
        <v>562</v>
      </c>
      <c r="C96" s="549"/>
      <c r="D96" s="389" t="s">
        <v>563</v>
      </c>
      <c r="E96" s="384"/>
    </row>
    <row r="97" spans="1:5" x14ac:dyDescent="0.2">
      <c r="A97" s="384"/>
      <c r="B97" s="390">
        <f>Precio_de_venta!C22+Precio_de_venta!C24+Precio_de_venta!C25</f>
        <v>101</v>
      </c>
      <c r="C97" s="391">
        <f>1.18*B97</f>
        <v>119.17999999999999</v>
      </c>
      <c r="D97" s="69">
        <f>C97*C92</f>
        <v>2621.96</v>
      </c>
      <c r="E97" s="384"/>
    </row>
    <row r="98" spans="1:5" x14ac:dyDescent="0.2">
      <c r="A98" s="384"/>
      <c r="B98" s="391" t="s">
        <v>564</v>
      </c>
      <c r="C98" s="69" t="s">
        <v>565</v>
      </c>
      <c r="D98" s="384"/>
      <c r="E98" s="384"/>
    </row>
    <row r="100" spans="1:5" x14ac:dyDescent="0.2">
      <c r="A100" s="396" t="s">
        <v>578</v>
      </c>
      <c r="B100" s="384" t="s">
        <v>278</v>
      </c>
      <c r="C100" s="384">
        <v>23</v>
      </c>
      <c r="D100" s="384"/>
      <c r="E100" s="384"/>
    </row>
    <row r="101" spans="1:5" x14ac:dyDescent="0.2">
      <c r="A101" s="387" t="s">
        <v>313</v>
      </c>
      <c r="B101" s="387" t="s">
        <v>318</v>
      </c>
      <c r="C101" s="387" t="s">
        <v>319</v>
      </c>
      <c r="D101" s="387" t="s">
        <v>312</v>
      </c>
      <c r="E101" s="388" t="s">
        <v>322</v>
      </c>
    </row>
    <row r="102" spans="1:5" x14ac:dyDescent="0.2">
      <c r="A102" s="387" t="s">
        <v>311</v>
      </c>
      <c r="B102" s="387" t="s">
        <v>310</v>
      </c>
      <c r="C102" s="387" t="s">
        <v>316</v>
      </c>
      <c r="D102" s="387" t="s">
        <v>310</v>
      </c>
      <c r="E102" s="388" t="s">
        <v>310</v>
      </c>
    </row>
    <row r="103" spans="1:5" x14ac:dyDescent="0.2">
      <c r="A103" s="384"/>
      <c r="B103" s="384"/>
      <c r="C103" s="384"/>
      <c r="D103" s="384"/>
      <c r="E103" s="384"/>
    </row>
    <row r="104" spans="1:5" ht="15" x14ac:dyDescent="0.25">
      <c r="A104" s="384"/>
      <c r="B104" s="548" t="s">
        <v>562</v>
      </c>
      <c r="C104" s="549"/>
      <c r="D104" s="389" t="s">
        <v>563</v>
      </c>
      <c r="E104" s="384"/>
    </row>
    <row r="105" spans="1:5" x14ac:dyDescent="0.2">
      <c r="A105" s="384"/>
      <c r="B105" s="390">
        <f>Precio_de_venta!C5+Precio_de_venta!B8+Precio_de_venta!B9+Precio_de_venta!B10</f>
        <v>115</v>
      </c>
      <c r="C105" s="391">
        <f>1.18*B105</f>
        <v>135.69999999999999</v>
      </c>
      <c r="D105" s="69">
        <f>C105*C100</f>
        <v>3121.1</v>
      </c>
      <c r="E105" s="384"/>
    </row>
    <row r="106" spans="1:5" x14ac:dyDescent="0.2">
      <c r="A106" s="384"/>
      <c r="B106" s="391" t="s">
        <v>564</v>
      </c>
      <c r="C106" s="69" t="s">
        <v>565</v>
      </c>
      <c r="D106" s="384"/>
      <c r="E106" s="384"/>
    </row>
    <row r="108" spans="1:5" x14ac:dyDescent="0.2">
      <c r="A108" s="396" t="s">
        <v>579</v>
      </c>
      <c r="B108" s="384" t="s">
        <v>278</v>
      </c>
      <c r="C108" s="384">
        <v>29</v>
      </c>
      <c r="D108" s="384"/>
      <c r="E108" s="384"/>
    </row>
    <row r="109" spans="1:5" x14ac:dyDescent="0.2">
      <c r="A109" s="387" t="s">
        <v>313</v>
      </c>
      <c r="B109" s="387" t="s">
        <v>318</v>
      </c>
      <c r="C109" s="387" t="s">
        <v>319</v>
      </c>
      <c r="D109" s="387" t="s">
        <v>312</v>
      </c>
      <c r="E109" s="388" t="s">
        <v>322</v>
      </c>
    </row>
    <row r="110" spans="1:5" x14ac:dyDescent="0.2">
      <c r="A110" s="387" t="s">
        <v>310</v>
      </c>
      <c r="B110" s="387" t="s">
        <v>311</v>
      </c>
      <c r="C110" s="387" t="s">
        <v>317</v>
      </c>
      <c r="D110" s="387" t="s">
        <v>310</v>
      </c>
      <c r="E110" s="388" t="s">
        <v>310</v>
      </c>
    </row>
    <row r="111" spans="1:5" x14ac:dyDescent="0.2">
      <c r="A111" s="384"/>
      <c r="B111" s="384"/>
      <c r="C111" s="384"/>
      <c r="D111" s="384"/>
      <c r="E111" s="384"/>
    </row>
    <row r="112" spans="1:5" ht="15" x14ac:dyDescent="0.25">
      <c r="A112" s="384"/>
      <c r="B112" s="548" t="s">
        <v>562</v>
      </c>
      <c r="C112" s="549"/>
      <c r="D112" s="389" t="s">
        <v>563</v>
      </c>
      <c r="E112" s="384"/>
    </row>
    <row r="113" spans="1:5" x14ac:dyDescent="0.2">
      <c r="A113" s="384"/>
      <c r="B113" s="390">
        <f>Precio_de_venta!B5+Precio_de_venta!B7+Precio_de_venta!B9+Precio_de_venta!B10</f>
        <v>111</v>
      </c>
      <c r="C113" s="391">
        <f>1.18*B113</f>
        <v>130.97999999999999</v>
      </c>
      <c r="D113" s="69">
        <f>C113*C108</f>
        <v>3798.4199999999996</v>
      </c>
      <c r="E113" s="384"/>
    </row>
    <row r="114" spans="1:5" x14ac:dyDescent="0.2">
      <c r="A114" s="384"/>
      <c r="B114" s="391" t="s">
        <v>564</v>
      </c>
      <c r="C114" s="69" t="s">
        <v>565</v>
      </c>
      <c r="D114" s="384"/>
      <c r="E114" s="384"/>
    </row>
    <row r="116" spans="1:5" x14ac:dyDescent="0.2">
      <c r="A116" s="396" t="s">
        <v>580</v>
      </c>
      <c r="B116" s="384" t="s">
        <v>582</v>
      </c>
      <c r="C116" s="384">
        <v>51</v>
      </c>
      <c r="D116" s="384"/>
      <c r="E116" s="384"/>
    </row>
    <row r="117" spans="1:5" x14ac:dyDescent="0.2">
      <c r="A117" s="387" t="s">
        <v>313</v>
      </c>
      <c r="B117" s="387" t="s">
        <v>318</v>
      </c>
      <c r="C117" s="387" t="s">
        <v>319</v>
      </c>
      <c r="D117" s="387" t="s">
        <v>312</v>
      </c>
      <c r="E117" s="388" t="s">
        <v>322</v>
      </c>
    </row>
    <row r="118" spans="1:5" x14ac:dyDescent="0.2">
      <c r="A118" s="387" t="s">
        <v>310</v>
      </c>
      <c r="B118" s="387" t="s">
        <v>433</v>
      </c>
      <c r="C118" s="387" t="s">
        <v>317</v>
      </c>
      <c r="D118" s="387" t="s">
        <v>310</v>
      </c>
      <c r="E118" s="388" t="s">
        <v>310</v>
      </c>
    </row>
    <row r="119" spans="1:5" x14ac:dyDescent="0.2">
      <c r="A119" s="384"/>
      <c r="B119" s="384"/>
      <c r="C119" s="384"/>
      <c r="D119" s="384"/>
      <c r="E119" s="384"/>
    </row>
    <row r="120" spans="1:5" ht="15" x14ac:dyDescent="0.25">
      <c r="A120" s="384"/>
      <c r="B120" s="548" t="s">
        <v>562</v>
      </c>
      <c r="C120" s="549"/>
      <c r="D120" s="389" t="s">
        <v>563</v>
      </c>
      <c r="E120" s="384"/>
    </row>
    <row r="121" spans="1:5" x14ac:dyDescent="0.2">
      <c r="A121" s="384"/>
      <c r="B121" s="390">
        <f>Precio_de_venta!B5+Precio_de_venta!B7+Precio_de_venta!B8+Precio_de_venta!B9+Precio_de_venta!B10</f>
        <v>114</v>
      </c>
      <c r="C121" s="391">
        <f>1.18*B121</f>
        <v>134.51999999999998</v>
      </c>
      <c r="D121" s="69">
        <f>C121*C116</f>
        <v>6860.5199999999986</v>
      </c>
      <c r="E121" s="384"/>
    </row>
    <row r="122" spans="1:5" x14ac:dyDescent="0.2">
      <c r="A122" s="384"/>
      <c r="B122" s="391" t="s">
        <v>564</v>
      </c>
      <c r="C122" s="69" t="s">
        <v>565</v>
      </c>
      <c r="D122" s="384"/>
      <c r="E122" s="384"/>
    </row>
    <row r="124" spans="1:5" x14ac:dyDescent="0.2">
      <c r="A124" s="396" t="s">
        <v>581</v>
      </c>
      <c r="B124" s="384" t="s">
        <v>585</v>
      </c>
      <c r="C124" s="384">
        <v>27</v>
      </c>
      <c r="D124" s="384"/>
      <c r="E124" s="384"/>
    </row>
    <row r="125" spans="1:5" x14ac:dyDescent="0.2">
      <c r="A125" s="387" t="s">
        <v>312</v>
      </c>
      <c r="B125" s="387" t="s">
        <v>315</v>
      </c>
      <c r="C125" s="387" t="s">
        <v>322</v>
      </c>
      <c r="D125" s="387" t="s">
        <v>409</v>
      </c>
      <c r="E125" s="388" t="s">
        <v>409</v>
      </c>
    </row>
    <row r="126" spans="1:5" x14ac:dyDescent="0.2">
      <c r="A126" s="387" t="s">
        <v>310</v>
      </c>
      <c r="B126" s="387" t="s">
        <v>317</v>
      </c>
      <c r="C126" s="387" t="s">
        <v>310</v>
      </c>
      <c r="D126" s="387"/>
      <c r="E126" s="388"/>
    </row>
    <row r="127" spans="1:5" x14ac:dyDescent="0.2">
      <c r="A127" s="384"/>
      <c r="B127" s="384"/>
      <c r="C127" s="384"/>
      <c r="D127" s="384"/>
      <c r="E127" s="384"/>
    </row>
    <row r="128" spans="1:5" ht="15" x14ac:dyDescent="0.25">
      <c r="A128" s="384"/>
      <c r="B128" s="548" t="s">
        <v>562</v>
      </c>
      <c r="C128" s="549"/>
      <c r="D128" s="389" t="s">
        <v>563</v>
      </c>
      <c r="E128" s="384"/>
    </row>
    <row r="129" spans="1:5" x14ac:dyDescent="0.2">
      <c r="A129" s="384"/>
      <c r="B129" s="390">
        <f>Precio_de_venta!B22+Precio_de_venta!B24+Precio_de_venta!B25</f>
        <v>96</v>
      </c>
      <c r="C129" s="391">
        <f>1.18*B129</f>
        <v>113.28</v>
      </c>
      <c r="D129" s="69">
        <f>C129*C124</f>
        <v>3058.56</v>
      </c>
      <c r="E129" s="384"/>
    </row>
    <row r="130" spans="1:5" x14ac:dyDescent="0.2">
      <c r="A130" s="384"/>
      <c r="B130" s="391" t="s">
        <v>564</v>
      </c>
      <c r="C130" s="69" t="s">
        <v>565</v>
      </c>
      <c r="D130" s="384"/>
      <c r="E130" s="384"/>
    </row>
  </sheetData>
  <mergeCells count="17">
    <mergeCell ref="B128:C128"/>
    <mergeCell ref="B56:C56"/>
    <mergeCell ref="B64:C64"/>
    <mergeCell ref="B72:C72"/>
    <mergeCell ref="B80:C80"/>
    <mergeCell ref="B88:C88"/>
    <mergeCell ref="B96:C96"/>
    <mergeCell ref="B40:C40"/>
    <mergeCell ref="A1:C2"/>
    <mergeCell ref="B104:C104"/>
    <mergeCell ref="B112:C112"/>
    <mergeCell ref="B120:C120"/>
    <mergeCell ref="B48:C48"/>
    <mergeCell ref="B8:C8"/>
    <mergeCell ref="B16:C16"/>
    <mergeCell ref="B24:C24"/>
    <mergeCell ref="B32:C32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X112"/>
  <sheetViews>
    <sheetView workbookViewId="0">
      <selection activeCell="C70" sqref="C70"/>
    </sheetView>
  </sheetViews>
  <sheetFormatPr baseColWidth="10" defaultRowHeight="12.75" x14ac:dyDescent="0.2"/>
  <cols>
    <col min="3" max="3" width="20.28515625" customWidth="1"/>
    <col min="4" max="4" width="1.5703125" customWidth="1"/>
    <col min="5" max="5" width="12.85546875" customWidth="1"/>
    <col min="6" max="6" width="12.140625" customWidth="1"/>
    <col min="7" max="7" width="16.42578125" customWidth="1"/>
    <col min="8" max="8" width="12.42578125" customWidth="1"/>
    <col min="9" max="10" width="12.5703125" bestFit="1" customWidth="1"/>
  </cols>
  <sheetData>
    <row r="1" spans="1:24" ht="55.5" customHeight="1" x14ac:dyDescent="0.2">
      <c r="A1" s="551" t="s">
        <v>586</v>
      </c>
      <c r="B1" s="551"/>
      <c r="C1" s="551"/>
      <c r="D1" s="397"/>
      <c r="E1" s="551" t="s">
        <v>586</v>
      </c>
      <c r="F1" s="551"/>
      <c r="G1" s="551"/>
    </row>
    <row r="2" spans="1:24" ht="15" x14ac:dyDescent="0.25">
      <c r="A2" s="552" t="s">
        <v>402</v>
      </c>
      <c r="B2" s="552"/>
      <c r="C2" s="553">
        <v>21</v>
      </c>
      <c r="D2" s="397"/>
      <c r="H2" t="s">
        <v>278</v>
      </c>
      <c r="I2" t="s">
        <v>278</v>
      </c>
      <c r="J2" t="s">
        <v>279</v>
      </c>
      <c r="K2" t="s">
        <v>280</v>
      </c>
      <c r="L2" t="s">
        <v>278</v>
      </c>
      <c r="M2" t="s">
        <v>280</v>
      </c>
      <c r="N2" t="s">
        <v>279</v>
      </c>
      <c r="O2" t="s">
        <v>280</v>
      </c>
      <c r="P2" t="s">
        <v>280</v>
      </c>
      <c r="Q2" t="s">
        <v>280</v>
      </c>
      <c r="R2" t="s">
        <v>279</v>
      </c>
      <c r="S2" t="s">
        <v>280</v>
      </c>
      <c r="T2" t="s">
        <v>278</v>
      </c>
      <c r="U2" t="s">
        <v>278</v>
      </c>
      <c r="V2" t="s">
        <v>278</v>
      </c>
      <c r="W2" t="s">
        <v>280</v>
      </c>
    </row>
    <row r="3" spans="1:24" ht="15" x14ac:dyDescent="0.25">
      <c r="A3" s="552" t="s">
        <v>278</v>
      </c>
      <c r="B3" s="552"/>
      <c r="C3" s="553"/>
      <c r="D3" s="397"/>
      <c r="E3" s="384"/>
      <c r="F3" s="384"/>
      <c r="G3" s="384"/>
      <c r="H3" s="389" t="s">
        <v>592</v>
      </c>
      <c r="I3" s="389" t="s">
        <v>263</v>
      </c>
      <c r="J3" s="389" t="s">
        <v>264</v>
      </c>
      <c r="K3" s="389" t="s">
        <v>265</v>
      </c>
      <c r="L3" s="389" t="s">
        <v>410</v>
      </c>
      <c r="M3" s="389" t="s">
        <v>412</v>
      </c>
      <c r="N3" s="389" t="s">
        <v>414</v>
      </c>
      <c r="O3" s="389" t="s">
        <v>417</v>
      </c>
      <c r="P3" s="389" t="s">
        <v>419</v>
      </c>
      <c r="Q3" s="389" t="s">
        <v>421</v>
      </c>
      <c r="R3" s="389" t="s">
        <v>423</v>
      </c>
      <c r="S3" s="389" t="s">
        <v>425</v>
      </c>
      <c r="T3" s="389" t="s">
        <v>427</v>
      </c>
      <c r="U3" s="389" t="s">
        <v>429</v>
      </c>
      <c r="V3" s="389" t="s">
        <v>431</v>
      </c>
      <c r="W3" s="389" t="s">
        <v>434</v>
      </c>
      <c r="X3" s="389" t="s">
        <v>96</v>
      </c>
    </row>
    <row r="4" spans="1:24" ht="30" x14ac:dyDescent="0.2">
      <c r="A4" s="550" t="s">
        <v>587</v>
      </c>
      <c r="B4" s="550"/>
      <c r="C4" s="392" t="s">
        <v>588</v>
      </c>
      <c r="D4" s="397"/>
      <c r="E4" s="550" t="s">
        <v>593</v>
      </c>
      <c r="F4" s="550"/>
      <c r="G4" s="550"/>
      <c r="H4" s="69">
        <f>C5*C2</f>
        <v>2394</v>
      </c>
      <c r="I4" s="69">
        <f>C12*C9</f>
        <v>2997</v>
      </c>
      <c r="J4" s="69">
        <f>C19*C16</f>
        <v>1593</v>
      </c>
      <c r="K4" s="69">
        <f>C26*C23</f>
        <v>5184</v>
      </c>
      <c r="L4" s="69">
        <f>C33*C30</f>
        <v>2499</v>
      </c>
      <c r="M4" s="69">
        <f>C40*C37</f>
        <v>2424</v>
      </c>
      <c r="N4" s="69">
        <f>C47*C44</f>
        <v>1404</v>
      </c>
      <c r="O4" s="69">
        <f>C54*C51</f>
        <v>2688</v>
      </c>
      <c r="P4" s="69">
        <f>C61*C58</f>
        <v>1632</v>
      </c>
      <c r="Q4" s="69">
        <f>C68*C65</f>
        <v>1414</v>
      </c>
      <c r="R4" s="69">
        <f>C75*C72</f>
        <v>2006</v>
      </c>
      <c r="S4" s="69">
        <f>C82*C79</f>
        <v>2222</v>
      </c>
      <c r="T4" s="69">
        <f>C89*C86</f>
        <v>2645</v>
      </c>
      <c r="U4" s="69">
        <f>C96*C93</f>
        <v>3219</v>
      </c>
      <c r="V4" s="69">
        <f>C103*C100</f>
        <v>5814</v>
      </c>
      <c r="W4" s="69">
        <f>C110*C107</f>
        <v>2592</v>
      </c>
      <c r="X4" s="395">
        <f>SUM(H4:W4)</f>
        <v>42727</v>
      </c>
    </row>
    <row r="5" spans="1:24" ht="15" x14ac:dyDescent="0.25">
      <c r="A5" s="548" t="s">
        <v>589</v>
      </c>
      <c r="B5" s="549"/>
      <c r="C5" s="393">
        <f>Valor_de_venta_por_OT!B9</f>
        <v>114</v>
      </c>
      <c r="D5" s="397"/>
      <c r="E5" s="550" t="s">
        <v>594</v>
      </c>
      <c r="F5" s="550"/>
      <c r="G5" s="550"/>
      <c r="H5" s="69">
        <f>C6*C2</f>
        <v>2063.6358482426476</v>
      </c>
      <c r="I5" s="69">
        <f>C13*C9</f>
        <v>2260.0018080505097</v>
      </c>
      <c r="J5" s="69">
        <f>C20*C16</f>
        <v>1429.9589222831751</v>
      </c>
      <c r="K5" s="69">
        <f>C34*C30</f>
        <v>2027.5274459549687</v>
      </c>
      <c r="L5" s="69">
        <f>C34*C30</f>
        <v>2027.5274459549687</v>
      </c>
      <c r="M5" s="69">
        <f>C41*C37</f>
        <v>2234.7751298623384</v>
      </c>
      <c r="N5" s="69">
        <f>C48*C44</f>
        <v>1522.4435805378562</v>
      </c>
      <c r="O5" s="69">
        <f>C55*C51</f>
        <v>2415.0285720219258</v>
      </c>
      <c r="P5" s="69">
        <f>C62*C58</f>
        <v>1644.9594023786617</v>
      </c>
      <c r="Q5" s="69">
        <f>C69*C65</f>
        <v>1509.6293624309214</v>
      </c>
      <c r="R5" s="69">
        <f>C76*C72</f>
        <v>1703.0516994096511</v>
      </c>
      <c r="S5" s="69">
        <f>C83*C79</f>
        <v>2039.883885665763</v>
      </c>
      <c r="T5" s="69">
        <f>C90*C86</f>
        <v>2036.6697826324687</v>
      </c>
      <c r="U5" s="69">
        <f>C97*C93</f>
        <v>2458.0551873094978</v>
      </c>
      <c r="V5" s="69">
        <f>C104*C100</f>
        <v>3717.5991969815773</v>
      </c>
      <c r="W5" s="69">
        <f>C111*C107</f>
        <v>2382.9705888007275</v>
      </c>
      <c r="X5" s="395">
        <f>SUM(H5:W5)</f>
        <v>33473.717858517659</v>
      </c>
    </row>
    <row r="6" spans="1:24" ht="15" x14ac:dyDescent="0.25">
      <c r="A6" s="548" t="s">
        <v>590</v>
      </c>
      <c r="B6" s="549"/>
      <c r="C6" s="393">
        <f>'Proceso V'!D57</f>
        <v>98.268373725840362</v>
      </c>
      <c r="D6" s="397"/>
      <c r="E6" s="550" t="s">
        <v>616</v>
      </c>
      <c r="F6" s="550"/>
      <c r="G6" s="550"/>
      <c r="H6" s="69">
        <f>H4-H5</f>
        <v>330.36415175735237</v>
      </c>
      <c r="I6" s="69">
        <f t="shared" ref="I6:W6" si="0">I4-I5</f>
        <v>736.99819194949032</v>
      </c>
      <c r="J6" s="69">
        <f t="shared" si="0"/>
        <v>163.04107771682493</v>
      </c>
      <c r="K6" s="69">
        <f t="shared" si="0"/>
        <v>3156.4725540450313</v>
      </c>
      <c r="L6" s="69">
        <f t="shared" si="0"/>
        <v>471.4725540450313</v>
      </c>
      <c r="M6" s="69">
        <f t="shared" si="0"/>
        <v>189.22487013766158</v>
      </c>
      <c r="N6" s="69">
        <f t="shared" si="0"/>
        <v>-118.44358053785618</v>
      </c>
      <c r="O6" s="69">
        <f t="shared" si="0"/>
        <v>272.97142797807419</v>
      </c>
      <c r="P6" s="69">
        <f t="shared" si="0"/>
        <v>-12.959402378661707</v>
      </c>
      <c r="Q6" s="69">
        <f t="shared" si="0"/>
        <v>-95.629362430921447</v>
      </c>
      <c r="R6" s="69">
        <f t="shared" si="0"/>
        <v>302.94830059034894</v>
      </c>
      <c r="S6" s="69">
        <f t="shared" si="0"/>
        <v>182.11611433423695</v>
      </c>
      <c r="T6" s="69">
        <f t="shared" si="0"/>
        <v>608.3302173675313</v>
      </c>
      <c r="U6" s="69">
        <f t="shared" si="0"/>
        <v>760.9448126905022</v>
      </c>
      <c r="V6" s="69">
        <f t="shared" si="0"/>
        <v>2096.4008030184227</v>
      </c>
      <c r="W6" s="69">
        <f t="shared" si="0"/>
        <v>209.02941119927254</v>
      </c>
      <c r="X6" s="395">
        <f>X4-X5</f>
        <v>9253.2821414823411</v>
      </c>
    </row>
    <row r="7" spans="1:24" ht="15" x14ac:dyDescent="0.25">
      <c r="A7" s="548" t="s">
        <v>591</v>
      </c>
      <c r="B7" s="549"/>
      <c r="C7" s="394">
        <f>(C5-C6)/C6</f>
        <v>0.16008839545924933</v>
      </c>
      <c r="D7" s="397"/>
      <c r="X7" s="384"/>
    </row>
    <row r="8" spans="1:24" x14ac:dyDescent="0.2">
      <c r="D8" s="397"/>
    </row>
    <row r="9" spans="1:24" ht="15" x14ac:dyDescent="0.25">
      <c r="A9" s="552" t="s">
        <v>263</v>
      </c>
      <c r="B9" s="552"/>
      <c r="C9" s="553">
        <v>27</v>
      </c>
      <c r="D9" s="397"/>
      <c r="H9" s="401" t="s">
        <v>613</v>
      </c>
      <c r="I9" s="401" t="s">
        <v>614</v>
      </c>
      <c r="K9" s="554" t="s">
        <v>612</v>
      </c>
      <c r="L9" s="554"/>
      <c r="M9" s="554"/>
    </row>
    <row r="10" spans="1:24" ht="15" x14ac:dyDescent="0.25">
      <c r="A10" s="552" t="s">
        <v>278</v>
      </c>
      <c r="B10" s="552"/>
      <c r="C10" s="553"/>
      <c r="D10" s="397"/>
      <c r="E10" s="550" t="s">
        <v>615</v>
      </c>
      <c r="F10" s="550"/>
      <c r="G10" s="550"/>
      <c r="H10" s="74">
        <f>SUM(H4:W4)</f>
        <v>42727</v>
      </c>
      <c r="I10" s="73">
        <f>100%</f>
        <v>1</v>
      </c>
      <c r="K10" s="24" t="s">
        <v>278</v>
      </c>
      <c r="L10" s="24" t="s">
        <v>279</v>
      </c>
      <c r="M10" s="24" t="s">
        <v>280</v>
      </c>
    </row>
    <row r="11" spans="1:24" ht="30" x14ac:dyDescent="0.2">
      <c r="A11" s="550" t="s">
        <v>587</v>
      </c>
      <c r="B11" s="550"/>
      <c r="C11" s="392" t="s">
        <v>588</v>
      </c>
      <c r="D11" s="397"/>
      <c r="E11" s="550" t="s">
        <v>594</v>
      </c>
      <c r="F11" s="550"/>
      <c r="G11" s="550"/>
      <c r="H11" s="74">
        <f>SUM(H5:W5)</f>
        <v>33473.717858517659</v>
      </c>
      <c r="I11" s="403">
        <f>H11/H10</f>
        <v>0.78343243987449762</v>
      </c>
      <c r="K11" s="74">
        <f>SUMIF($H$2:$W$2,K10,$H$6:$W$6)</f>
        <v>5004.5107308283305</v>
      </c>
      <c r="L11" s="74">
        <f t="shared" ref="L11:M11" si="1">SUMIF($H$2:$W$2,L10,$H$6:$W$6)</f>
        <v>347.54579776931769</v>
      </c>
      <c r="M11" s="74">
        <f t="shared" si="1"/>
        <v>3901.2256128846934</v>
      </c>
      <c r="N11" s="74">
        <f>SUM(K11:M11)</f>
        <v>9253.2821414823411</v>
      </c>
    </row>
    <row r="12" spans="1:24" ht="15" x14ac:dyDescent="0.25">
      <c r="A12" s="548" t="s">
        <v>589</v>
      </c>
      <c r="B12" s="549"/>
      <c r="C12" s="393">
        <f>Valor_de_venta_por_OT!B17</f>
        <v>111</v>
      </c>
      <c r="D12" s="397"/>
      <c r="E12" s="550" t="s">
        <v>616</v>
      </c>
      <c r="F12" s="550"/>
      <c r="G12" s="550"/>
      <c r="H12" s="406">
        <f>H10-H11</f>
        <v>9253.2821414823411</v>
      </c>
      <c r="I12" s="405">
        <f>H12/H10</f>
        <v>0.21656756012550241</v>
      </c>
      <c r="K12" s="403">
        <f>K11/$N$11</f>
        <v>0.54083628428373276</v>
      </c>
      <c r="L12" s="404">
        <f>L11/$N$11</f>
        <v>3.7559191696022592E-2</v>
      </c>
      <c r="M12" s="403">
        <f>M11/$N$11</f>
        <v>0.42160452402024473</v>
      </c>
      <c r="N12" s="73">
        <f>SUM(K12:M12)</f>
        <v>1</v>
      </c>
    </row>
    <row r="13" spans="1:24" ht="15" x14ac:dyDescent="0.25">
      <c r="A13" s="548" t="s">
        <v>590</v>
      </c>
      <c r="B13" s="549"/>
      <c r="C13" s="393">
        <f>'Proceso V'!E57</f>
        <v>83.703770668537402</v>
      </c>
      <c r="D13" s="397"/>
    </row>
    <row r="14" spans="1:24" ht="15" x14ac:dyDescent="0.25">
      <c r="A14" s="548" t="s">
        <v>591</v>
      </c>
      <c r="B14" s="549"/>
      <c r="C14" s="394">
        <f>(C12-C13)/C13</f>
        <v>0.32610513377652067</v>
      </c>
      <c r="D14" s="397"/>
    </row>
    <row r="15" spans="1:24" x14ac:dyDescent="0.2">
      <c r="D15" s="397"/>
    </row>
    <row r="16" spans="1:24" ht="15" x14ac:dyDescent="0.25">
      <c r="A16" s="552" t="s">
        <v>264</v>
      </c>
      <c r="B16" s="552"/>
      <c r="C16" s="553">
        <v>27</v>
      </c>
      <c r="D16" s="397"/>
    </row>
    <row r="17" spans="1:4" ht="15" x14ac:dyDescent="0.25">
      <c r="A17" s="552" t="s">
        <v>279</v>
      </c>
      <c r="B17" s="552"/>
      <c r="C17" s="553"/>
      <c r="D17" s="397"/>
    </row>
    <row r="18" spans="1:4" ht="30" x14ac:dyDescent="0.2">
      <c r="A18" s="550" t="s">
        <v>587</v>
      </c>
      <c r="B18" s="550"/>
      <c r="C18" s="392" t="s">
        <v>588</v>
      </c>
      <c r="D18" s="397"/>
    </row>
    <row r="19" spans="1:4" ht="15" x14ac:dyDescent="0.25">
      <c r="A19" s="548" t="s">
        <v>589</v>
      </c>
      <c r="B19" s="549"/>
      <c r="C19" s="393">
        <f>Valor_de_venta_por_OT!B25</f>
        <v>59</v>
      </c>
      <c r="D19" s="397"/>
    </row>
    <row r="20" spans="1:4" ht="15" x14ac:dyDescent="0.25">
      <c r="A20" s="548" t="s">
        <v>590</v>
      </c>
      <c r="B20" s="549"/>
      <c r="C20" s="393">
        <f>'Proceso V'!F57</f>
        <v>52.961441566043518</v>
      </c>
      <c r="D20" s="397"/>
    </row>
    <row r="21" spans="1:4" ht="15" x14ac:dyDescent="0.25">
      <c r="A21" s="548" t="s">
        <v>591</v>
      </c>
      <c r="B21" s="549"/>
      <c r="C21" s="394">
        <f>(C19-C20)/C20</f>
        <v>0.11401801490668131</v>
      </c>
      <c r="D21" s="397"/>
    </row>
    <row r="22" spans="1:4" x14ac:dyDescent="0.2">
      <c r="D22" s="397"/>
    </row>
    <row r="23" spans="1:4" ht="15" x14ac:dyDescent="0.25">
      <c r="A23" s="552" t="s">
        <v>265</v>
      </c>
      <c r="B23" s="552"/>
      <c r="C23" s="553">
        <v>54</v>
      </c>
      <c r="D23" s="397"/>
    </row>
    <row r="24" spans="1:4" ht="15" x14ac:dyDescent="0.25">
      <c r="A24" s="552" t="s">
        <v>280</v>
      </c>
      <c r="B24" s="552"/>
      <c r="C24" s="553"/>
      <c r="D24" s="397"/>
    </row>
    <row r="25" spans="1:4" ht="30" x14ac:dyDescent="0.2">
      <c r="A25" s="550" t="s">
        <v>587</v>
      </c>
      <c r="B25" s="550"/>
      <c r="C25" s="392" t="s">
        <v>588</v>
      </c>
      <c r="D25" s="397"/>
    </row>
    <row r="26" spans="1:4" ht="15" x14ac:dyDescent="0.25">
      <c r="A26" s="548" t="s">
        <v>589</v>
      </c>
      <c r="B26" s="549"/>
      <c r="C26" s="393">
        <f>Valor_de_venta_por_OT!B33</f>
        <v>96</v>
      </c>
      <c r="D26" s="397"/>
    </row>
    <row r="27" spans="1:4" ht="15" x14ac:dyDescent="0.25">
      <c r="A27" s="548" t="s">
        <v>590</v>
      </c>
      <c r="B27" s="549"/>
      <c r="C27" s="393">
        <f>'Proceso V'!G57</f>
        <v>73.391738250903359</v>
      </c>
      <c r="D27" s="397"/>
    </row>
    <row r="28" spans="1:4" ht="15" x14ac:dyDescent="0.25">
      <c r="A28" s="548" t="s">
        <v>591</v>
      </c>
      <c r="B28" s="549"/>
      <c r="C28" s="394">
        <f>(C26-C27)/C27</f>
        <v>0.30804913860748301</v>
      </c>
      <c r="D28" s="397"/>
    </row>
    <row r="29" spans="1:4" x14ac:dyDescent="0.2">
      <c r="D29" s="397"/>
    </row>
    <row r="30" spans="1:4" ht="15" x14ac:dyDescent="0.25">
      <c r="A30" s="552" t="s">
        <v>410</v>
      </c>
      <c r="B30" s="552"/>
      <c r="C30" s="553">
        <v>21</v>
      </c>
      <c r="D30" s="397"/>
    </row>
    <row r="31" spans="1:4" ht="15" x14ac:dyDescent="0.25">
      <c r="A31" s="552" t="s">
        <v>278</v>
      </c>
      <c r="B31" s="552"/>
      <c r="C31" s="553"/>
      <c r="D31" s="397"/>
    </row>
    <row r="32" spans="1:4" ht="30" x14ac:dyDescent="0.2">
      <c r="A32" s="550" t="s">
        <v>587</v>
      </c>
      <c r="B32" s="550"/>
      <c r="C32" s="392" t="s">
        <v>588</v>
      </c>
      <c r="D32" s="397"/>
    </row>
    <row r="33" spans="1:4" ht="15" x14ac:dyDescent="0.25">
      <c r="A33" s="548" t="s">
        <v>589</v>
      </c>
      <c r="B33" s="549"/>
      <c r="C33" s="393">
        <f>Valor_de_venta_por_OT!B41</f>
        <v>119</v>
      </c>
      <c r="D33" s="397"/>
    </row>
    <row r="34" spans="1:4" ht="15" x14ac:dyDescent="0.25">
      <c r="A34" s="548" t="s">
        <v>590</v>
      </c>
      <c r="B34" s="549"/>
      <c r="C34" s="393">
        <f>'Proceso V'!H57</f>
        <v>96.548925997855648</v>
      </c>
      <c r="D34" s="397"/>
    </row>
    <row r="35" spans="1:4" ht="15" x14ac:dyDescent="0.25">
      <c r="A35" s="548" t="s">
        <v>591</v>
      </c>
      <c r="B35" s="549"/>
      <c r="C35" s="394">
        <f>(C33-C34)/C34</f>
        <v>0.2325357197929161</v>
      </c>
      <c r="D35" s="397"/>
    </row>
    <row r="36" spans="1:4" x14ac:dyDescent="0.2">
      <c r="D36" s="397"/>
    </row>
    <row r="37" spans="1:4" ht="15" x14ac:dyDescent="0.25">
      <c r="A37" s="552" t="s">
        <v>412</v>
      </c>
      <c r="B37" s="552"/>
      <c r="C37" s="553">
        <v>24</v>
      </c>
      <c r="D37" s="397"/>
    </row>
    <row r="38" spans="1:4" ht="15" x14ac:dyDescent="0.25">
      <c r="A38" s="552" t="s">
        <v>280</v>
      </c>
      <c r="B38" s="552"/>
      <c r="C38" s="553"/>
      <c r="D38" s="397"/>
    </row>
    <row r="39" spans="1:4" ht="30" x14ac:dyDescent="0.2">
      <c r="A39" s="550" t="s">
        <v>587</v>
      </c>
      <c r="B39" s="550"/>
      <c r="C39" s="392" t="s">
        <v>588</v>
      </c>
      <c r="D39" s="397"/>
    </row>
    <row r="40" spans="1:4" ht="15" x14ac:dyDescent="0.25">
      <c r="A40" s="548" t="s">
        <v>589</v>
      </c>
      <c r="B40" s="549"/>
      <c r="C40" s="393">
        <f>Valor_de_venta_por_OT!B49</f>
        <v>101</v>
      </c>
      <c r="D40" s="397"/>
    </row>
    <row r="41" spans="1:4" ht="15" x14ac:dyDescent="0.25">
      <c r="A41" s="548" t="s">
        <v>590</v>
      </c>
      <c r="B41" s="549"/>
      <c r="C41" s="393">
        <f>'Proceso V'!I57</f>
        <v>93.115630410930763</v>
      </c>
      <c r="D41" s="397"/>
    </row>
    <row r="42" spans="1:4" ht="15" x14ac:dyDescent="0.25">
      <c r="A42" s="548" t="s">
        <v>591</v>
      </c>
      <c r="B42" s="549"/>
      <c r="C42" s="394">
        <f>(C40-C41)/C41</f>
        <v>8.4672890622922728E-2</v>
      </c>
      <c r="D42" s="397"/>
    </row>
    <row r="43" spans="1:4" x14ac:dyDescent="0.2">
      <c r="D43" s="397"/>
    </row>
    <row r="44" spans="1:4" ht="15" x14ac:dyDescent="0.25">
      <c r="A44" s="552" t="s">
        <v>414</v>
      </c>
      <c r="B44" s="552"/>
      <c r="C44" s="553">
        <v>26</v>
      </c>
      <c r="D44" s="397"/>
    </row>
    <row r="45" spans="1:4" ht="15" x14ac:dyDescent="0.25">
      <c r="A45" s="552" t="s">
        <v>279</v>
      </c>
      <c r="B45" s="552"/>
      <c r="C45" s="553"/>
      <c r="D45" s="397"/>
    </row>
    <row r="46" spans="1:4" ht="30" x14ac:dyDescent="0.2">
      <c r="A46" s="550" t="s">
        <v>587</v>
      </c>
      <c r="B46" s="550"/>
      <c r="C46" s="392" t="s">
        <v>588</v>
      </c>
      <c r="D46" s="397"/>
    </row>
    <row r="47" spans="1:4" ht="15" x14ac:dyDescent="0.25">
      <c r="A47" s="548" t="s">
        <v>589</v>
      </c>
      <c r="B47" s="549"/>
      <c r="C47" s="393">
        <f>Valor_de_venta_por_OT!B57</f>
        <v>54</v>
      </c>
      <c r="D47" s="397"/>
    </row>
    <row r="48" spans="1:4" ht="15" x14ac:dyDescent="0.25">
      <c r="A48" s="548" t="s">
        <v>590</v>
      </c>
      <c r="B48" s="549"/>
      <c r="C48" s="393">
        <f>'Proceso V'!J57</f>
        <v>58.555522328379084</v>
      </c>
      <c r="D48" s="397"/>
    </row>
    <row r="49" spans="1:4" ht="15" x14ac:dyDescent="0.25">
      <c r="A49" s="548" t="s">
        <v>591</v>
      </c>
      <c r="B49" s="549"/>
      <c r="C49" s="394">
        <f>(C47-C48)/C48</f>
        <v>-7.7798338179475832E-2</v>
      </c>
      <c r="D49" s="397"/>
    </row>
    <row r="50" spans="1:4" x14ac:dyDescent="0.2">
      <c r="D50" s="397"/>
    </row>
    <row r="51" spans="1:4" ht="15" x14ac:dyDescent="0.25">
      <c r="A51" s="552" t="s">
        <v>417</v>
      </c>
      <c r="B51" s="552"/>
      <c r="C51" s="553">
        <v>28</v>
      </c>
      <c r="D51" s="397"/>
    </row>
    <row r="52" spans="1:4" ht="15" x14ac:dyDescent="0.25">
      <c r="A52" s="552" t="s">
        <v>280</v>
      </c>
      <c r="B52" s="552"/>
      <c r="C52" s="553"/>
      <c r="D52" s="397"/>
    </row>
    <row r="53" spans="1:4" ht="30" x14ac:dyDescent="0.2">
      <c r="A53" s="550" t="s">
        <v>587</v>
      </c>
      <c r="B53" s="550"/>
      <c r="C53" s="392" t="s">
        <v>588</v>
      </c>
      <c r="D53" s="397"/>
    </row>
    <row r="54" spans="1:4" ht="15" x14ac:dyDescent="0.25">
      <c r="A54" s="548" t="s">
        <v>589</v>
      </c>
      <c r="B54" s="549"/>
      <c r="C54" s="393">
        <f>Valor_de_venta_por_OT!B65</f>
        <v>96</v>
      </c>
      <c r="D54" s="397"/>
    </row>
    <row r="55" spans="1:4" ht="15" x14ac:dyDescent="0.25">
      <c r="A55" s="548" t="s">
        <v>590</v>
      </c>
      <c r="B55" s="549"/>
      <c r="C55" s="393">
        <f>'Proceso V'!K57</f>
        <v>86.251020429354497</v>
      </c>
      <c r="D55" s="397"/>
    </row>
    <row r="56" spans="1:4" ht="15" x14ac:dyDescent="0.25">
      <c r="A56" s="548" t="s">
        <v>591</v>
      </c>
      <c r="B56" s="549"/>
      <c r="C56" s="394">
        <f>(C54-C55)/C55</f>
        <v>0.11303030992694847</v>
      </c>
      <c r="D56" s="397"/>
    </row>
    <row r="57" spans="1:4" x14ac:dyDescent="0.2">
      <c r="D57" s="397"/>
    </row>
    <row r="58" spans="1:4" ht="15" x14ac:dyDescent="0.25">
      <c r="A58" s="552" t="s">
        <v>419</v>
      </c>
      <c r="B58" s="552"/>
      <c r="C58" s="553">
        <v>17</v>
      </c>
      <c r="D58" s="397"/>
    </row>
    <row r="59" spans="1:4" ht="15" x14ac:dyDescent="0.25">
      <c r="A59" s="552" t="s">
        <v>280</v>
      </c>
      <c r="B59" s="552"/>
      <c r="C59" s="553"/>
      <c r="D59" s="397"/>
    </row>
    <row r="60" spans="1:4" ht="30" x14ac:dyDescent="0.2">
      <c r="A60" s="550" t="s">
        <v>587</v>
      </c>
      <c r="B60" s="550"/>
      <c r="C60" s="392" t="s">
        <v>588</v>
      </c>
      <c r="D60" s="397"/>
    </row>
    <row r="61" spans="1:4" ht="15" x14ac:dyDescent="0.25">
      <c r="A61" s="548" t="s">
        <v>589</v>
      </c>
      <c r="B61" s="549"/>
      <c r="C61" s="393">
        <f>Valor_de_venta_por_OT!B73</f>
        <v>96</v>
      </c>
      <c r="D61" s="397"/>
    </row>
    <row r="62" spans="1:4" ht="15" x14ac:dyDescent="0.25">
      <c r="A62" s="548" t="s">
        <v>590</v>
      </c>
      <c r="B62" s="549"/>
      <c r="C62" s="393">
        <f>'Proceso V'!L57</f>
        <v>96.762317786980105</v>
      </c>
      <c r="D62" s="397"/>
    </row>
    <row r="63" spans="1:4" ht="15" x14ac:dyDescent="0.25">
      <c r="A63" s="548" t="s">
        <v>591</v>
      </c>
      <c r="B63" s="549"/>
      <c r="C63" s="394">
        <f>(C61-C62)/C62</f>
        <v>-7.8782505877787005E-3</v>
      </c>
      <c r="D63" s="397"/>
    </row>
    <row r="64" spans="1:4" x14ac:dyDescent="0.2">
      <c r="D64" s="397"/>
    </row>
    <row r="65" spans="1:4" ht="15" x14ac:dyDescent="0.25">
      <c r="A65" s="552" t="s">
        <v>421</v>
      </c>
      <c r="B65" s="552"/>
      <c r="C65" s="553">
        <v>14</v>
      </c>
      <c r="D65" s="397"/>
    </row>
    <row r="66" spans="1:4" ht="15" x14ac:dyDescent="0.25">
      <c r="A66" s="552" t="s">
        <v>280</v>
      </c>
      <c r="B66" s="552"/>
      <c r="C66" s="553"/>
      <c r="D66" s="397"/>
    </row>
    <row r="67" spans="1:4" ht="30" x14ac:dyDescent="0.2">
      <c r="A67" s="550" t="s">
        <v>587</v>
      </c>
      <c r="B67" s="550"/>
      <c r="C67" s="392" t="s">
        <v>588</v>
      </c>
      <c r="D67" s="397"/>
    </row>
    <row r="68" spans="1:4" ht="15" x14ac:dyDescent="0.25">
      <c r="A68" s="548" t="s">
        <v>589</v>
      </c>
      <c r="B68" s="549"/>
      <c r="C68" s="393">
        <f>Valor_de_venta_por_OT!B81</f>
        <v>101</v>
      </c>
      <c r="D68" s="397"/>
    </row>
    <row r="69" spans="1:4" ht="15" x14ac:dyDescent="0.25">
      <c r="A69" s="548" t="s">
        <v>590</v>
      </c>
      <c r="B69" s="549"/>
      <c r="C69" s="393">
        <f>'Proceso V'!M57</f>
        <v>107.83066874506582</v>
      </c>
      <c r="D69" s="397"/>
    </row>
    <row r="70" spans="1:4" ht="15" x14ac:dyDescent="0.25">
      <c r="A70" s="548" t="s">
        <v>591</v>
      </c>
      <c r="B70" s="549"/>
      <c r="C70" s="394">
        <f>(C68-C69)/C69</f>
        <v>-6.3346252272764317E-2</v>
      </c>
      <c r="D70" s="397"/>
    </row>
    <row r="71" spans="1:4" x14ac:dyDescent="0.2">
      <c r="D71" s="397"/>
    </row>
    <row r="72" spans="1:4" ht="15" x14ac:dyDescent="0.25">
      <c r="A72" s="552" t="s">
        <v>423</v>
      </c>
      <c r="B72" s="552"/>
      <c r="C72" s="553">
        <v>34</v>
      </c>
      <c r="D72" s="397"/>
    </row>
    <row r="73" spans="1:4" ht="15" x14ac:dyDescent="0.25">
      <c r="A73" s="552" t="s">
        <v>279</v>
      </c>
      <c r="B73" s="552"/>
      <c r="C73" s="553"/>
      <c r="D73" s="397"/>
    </row>
    <row r="74" spans="1:4" ht="30" x14ac:dyDescent="0.2">
      <c r="A74" s="550" t="s">
        <v>587</v>
      </c>
      <c r="B74" s="550"/>
      <c r="C74" s="392" t="s">
        <v>588</v>
      </c>
      <c r="D74" s="397"/>
    </row>
    <row r="75" spans="1:4" ht="15" x14ac:dyDescent="0.25">
      <c r="A75" s="548" t="s">
        <v>589</v>
      </c>
      <c r="B75" s="549"/>
      <c r="C75" s="393">
        <f>Valor_de_venta_por_OT!B89</f>
        <v>59</v>
      </c>
      <c r="D75" s="397"/>
    </row>
    <row r="76" spans="1:4" ht="15" x14ac:dyDescent="0.25">
      <c r="A76" s="548" t="s">
        <v>590</v>
      </c>
      <c r="B76" s="549"/>
      <c r="C76" s="393">
        <f>'Proceso V'!N57</f>
        <v>50.089755864989741</v>
      </c>
      <c r="D76" s="397"/>
    </row>
    <row r="77" spans="1:4" ht="15" x14ac:dyDescent="0.25">
      <c r="A77" s="548" t="s">
        <v>591</v>
      </c>
      <c r="B77" s="549"/>
      <c r="C77" s="394">
        <f>(C75-C76)/C76</f>
        <v>0.17788555725898594</v>
      </c>
      <c r="D77" s="397"/>
    </row>
    <row r="78" spans="1:4" x14ac:dyDescent="0.2">
      <c r="D78" s="397"/>
    </row>
    <row r="79" spans="1:4" ht="15" x14ac:dyDescent="0.25">
      <c r="A79" s="552" t="s">
        <v>425</v>
      </c>
      <c r="B79" s="552"/>
      <c r="C79" s="553">
        <v>22</v>
      </c>
      <c r="D79" s="397"/>
    </row>
    <row r="80" spans="1:4" ht="15" x14ac:dyDescent="0.25">
      <c r="A80" s="552" t="s">
        <v>280</v>
      </c>
      <c r="B80" s="552"/>
      <c r="C80" s="553"/>
      <c r="D80" s="397"/>
    </row>
    <row r="81" spans="1:4" ht="30" x14ac:dyDescent="0.2">
      <c r="A81" s="550" t="s">
        <v>587</v>
      </c>
      <c r="B81" s="550"/>
      <c r="C81" s="392" t="s">
        <v>588</v>
      </c>
      <c r="D81" s="397"/>
    </row>
    <row r="82" spans="1:4" ht="15" x14ac:dyDescent="0.25">
      <c r="A82" s="548" t="s">
        <v>589</v>
      </c>
      <c r="B82" s="549"/>
      <c r="C82" s="393">
        <f>Valor_de_venta_por_OT!B97</f>
        <v>101</v>
      </c>
      <c r="D82" s="397"/>
    </row>
    <row r="83" spans="1:4" ht="15" x14ac:dyDescent="0.25">
      <c r="A83" s="548" t="s">
        <v>590</v>
      </c>
      <c r="B83" s="549"/>
      <c r="C83" s="393">
        <f>'Proceso V'!O57</f>
        <v>92.721994802989229</v>
      </c>
      <c r="D83" s="397"/>
    </row>
    <row r="84" spans="1:4" ht="15" x14ac:dyDescent="0.25">
      <c r="A84" s="548" t="s">
        <v>591</v>
      </c>
      <c r="B84" s="549"/>
      <c r="C84" s="394">
        <f>(C82-C83)/C83</f>
        <v>8.9277686643815593E-2</v>
      </c>
      <c r="D84" s="397"/>
    </row>
    <row r="85" spans="1:4" x14ac:dyDescent="0.2">
      <c r="D85" s="397"/>
    </row>
    <row r="86" spans="1:4" ht="15" x14ac:dyDescent="0.25">
      <c r="A86" s="552" t="s">
        <v>427</v>
      </c>
      <c r="B86" s="552"/>
      <c r="C86" s="553">
        <v>23</v>
      </c>
      <c r="D86" s="397"/>
    </row>
    <row r="87" spans="1:4" ht="15" x14ac:dyDescent="0.25">
      <c r="A87" s="552" t="s">
        <v>278</v>
      </c>
      <c r="B87" s="552"/>
      <c r="C87" s="553"/>
      <c r="D87" s="397"/>
    </row>
    <row r="88" spans="1:4" ht="30" x14ac:dyDescent="0.2">
      <c r="A88" s="550" t="s">
        <v>587</v>
      </c>
      <c r="B88" s="550"/>
      <c r="C88" s="392" t="s">
        <v>588</v>
      </c>
      <c r="D88" s="397"/>
    </row>
    <row r="89" spans="1:4" ht="15" x14ac:dyDescent="0.25">
      <c r="A89" s="548" t="s">
        <v>589</v>
      </c>
      <c r="B89" s="549"/>
      <c r="C89" s="393">
        <f>Valor_de_venta_por_OT!B105</f>
        <v>115</v>
      </c>
      <c r="D89" s="397"/>
    </row>
    <row r="90" spans="1:4" ht="15" x14ac:dyDescent="0.25">
      <c r="A90" s="548" t="s">
        <v>590</v>
      </c>
      <c r="B90" s="549"/>
      <c r="C90" s="393">
        <f>'Proceso V'!P57</f>
        <v>88.550860114455162</v>
      </c>
      <c r="D90" s="397"/>
    </row>
    <row r="91" spans="1:4" ht="15" x14ac:dyDescent="0.25">
      <c r="A91" s="548" t="s">
        <v>591</v>
      </c>
      <c r="B91" s="549"/>
      <c r="C91" s="394">
        <f>(C89-C90)/C90</f>
        <v>0.29868868412298172</v>
      </c>
      <c r="D91" s="397"/>
    </row>
    <row r="92" spans="1:4" x14ac:dyDescent="0.2">
      <c r="D92" s="397"/>
    </row>
    <row r="93" spans="1:4" ht="15" x14ac:dyDescent="0.25">
      <c r="A93" s="552" t="s">
        <v>429</v>
      </c>
      <c r="B93" s="552"/>
      <c r="C93" s="553">
        <v>29</v>
      </c>
      <c r="D93" s="397"/>
    </row>
    <row r="94" spans="1:4" ht="15" x14ac:dyDescent="0.25">
      <c r="A94" s="552" t="s">
        <v>278</v>
      </c>
      <c r="B94" s="552"/>
      <c r="C94" s="553"/>
      <c r="D94" s="397"/>
    </row>
    <row r="95" spans="1:4" ht="30" x14ac:dyDescent="0.2">
      <c r="A95" s="550" t="s">
        <v>587</v>
      </c>
      <c r="B95" s="550"/>
      <c r="C95" s="392" t="s">
        <v>588</v>
      </c>
      <c r="D95" s="397"/>
    </row>
    <row r="96" spans="1:4" ht="15" x14ac:dyDescent="0.25">
      <c r="A96" s="548" t="s">
        <v>589</v>
      </c>
      <c r="B96" s="549"/>
      <c r="C96" s="393">
        <f>Valor_de_venta_por_OT!B113</f>
        <v>111</v>
      </c>
      <c r="D96" s="397"/>
    </row>
    <row r="97" spans="1:4" ht="15" x14ac:dyDescent="0.25">
      <c r="A97" s="548" t="s">
        <v>590</v>
      </c>
      <c r="B97" s="549"/>
      <c r="C97" s="393">
        <f>'Proceso V'!Q57</f>
        <v>84.760523700327511</v>
      </c>
      <c r="D97" s="397"/>
    </row>
    <row r="98" spans="1:4" ht="15" x14ac:dyDescent="0.25">
      <c r="A98" s="548" t="s">
        <v>591</v>
      </c>
      <c r="B98" s="549"/>
      <c r="C98" s="394">
        <f>(C96-C97)/C97</f>
        <v>0.30957189920678962</v>
      </c>
      <c r="D98" s="397"/>
    </row>
    <row r="99" spans="1:4" x14ac:dyDescent="0.2">
      <c r="D99" s="397"/>
    </row>
    <row r="100" spans="1:4" ht="15" x14ac:dyDescent="0.25">
      <c r="A100" s="552" t="s">
        <v>431</v>
      </c>
      <c r="B100" s="552"/>
      <c r="C100" s="553">
        <v>51</v>
      </c>
      <c r="D100" s="397"/>
    </row>
    <row r="101" spans="1:4" ht="15" x14ac:dyDescent="0.25">
      <c r="A101" s="552" t="s">
        <v>278</v>
      </c>
      <c r="B101" s="552"/>
      <c r="C101" s="553"/>
      <c r="D101" s="397"/>
    </row>
    <row r="102" spans="1:4" ht="30" x14ac:dyDescent="0.2">
      <c r="A102" s="550" t="s">
        <v>587</v>
      </c>
      <c r="B102" s="550"/>
      <c r="C102" s="392" t="s">
        <v>588</v>
      </c>
      <c r="D102" s="397"/>
    </row>
    <row r="103" spans="1:4" ht="15" x14ac:dyDescent="0.25">
      <c r="A103" s="548" t="s">
        <v>589</v>
      </c>
      <c r="B103" s="549"/>
      <c r="C103" s="393">
        <f>Valor_de_venta_por_OT!B121</f>
        <v>114</v>
      </c>
      <c r="D103" s="397"/>
    </row>
    <row r="104" spans="1:4" ht="15" x14ac:dyDescent="0.25">
      <c r="A104" s="548" t="s">
        <v>590</v>
      </c>
      <c r="B104" s="549"/>
      <c r="C104" s="393">
        <f>'Proceso V'!R57</f>
        <v>72.894101901599555</v>
      </c>
      <c r="D104" s="397"/>
    </row>
    <row r="105" spans="1:4" ht="15" x14ac:dyDescent="0.25">
      <c r="A105" s="548" t="s">
        <v>591</v>
      </c>
      <c r="B105" s="549"/>
      <c r="C105" s="394">
        <f>(C103-C104)/C104</f>
        <v>0.56391253923245654</v>
      </c>
      <c r="D105" s="397"/>
    </row>
    <row r="106" spans="1:4" x14ac:dyDescent="0.2">
      <c r="D106" s="397"/>
    </row>
    <row r="107" spans="1:4" ht="15" x14ac:dyDescent="0.25">
      <c r="A107" s="552" t="s">
        <v>434</v>
      </c>
      <c r="B107" s="552"/>
      <c r="C107" s="553">
        <v>27</v>
      </c>
      <c r="D107" s="397"/>
    </row>
    <row r="108" spans="1:4" ht="15" x14ac:dyDescent="0.25">
      <c r="A108" s="552" t="s">
        <v>280</v>
      </c>
      <c r="B108" s="552"/>
      <c r="C108" s="553"/>
      <c r="D108" s="397"/>
    </row>
    <row r="109" spans="1:4" ht="30" x14ac:dyDescent="0.2">
      <c r="A109" s="550" t="s">
        <v>587</v>
      </c>
      <c r="B109" s="550"/>
      <c r="C109" s="392" t="s">
        <v>588</v>
      </c>
      <c r="D109" s="397"/>
    </row>
    <row r="110" spans="1:4" ht="15" x14ac:dyDescent="0.25">
      <c r="A110" s="548" t="s">
        <v>589</v>
      </c>
      <c r="B110" s="549"/>
      <c r="C110" s="393">
        <f>Valor_de_venta_por_OT!B129</f>
        <v>96</v>
      </c>
      <c r="D110" s="397"/>
    </row>
    <row r="111" spans="1:4" ht="15" x14ac:dyDescent="0.25">
      <c r="A111" s="548" t="s">
        <v>590</v>
      </c>
      <c r="B111" s="549"/>
      <c r="C111" s="393">
        <f>'Proceso V'!S57</f>
        <v>88.258169955582503</v>
      </c>
      <c r="D111" s="397"/>
    </row>
    <row r="112" spans="1:4" ht="15" x14ac:dyDescent="0.25">
      <c r="A112" s="548" t="s">
        <v>591</v>
      </c>
      <c r="B112" s="549"/>
      <c r="C112" s="394">
        <f>(C110-C111)/C111</f>
        <v>8.7717998779191897E-2</v>
      </c>
      <c r="D112" s="397"/>
    </row>
  </sheetData>
  <mergeCells count="121">
    <mergeCell ref="K9:M9"/>
    <mergeCell ref="E10:G10"/>
    <mergeCell ref="E11:G11"/>
    <mergeCell ref="E12:G12"/>
    <mergeCell ref="A6:B6"/>
    <mergeCell ref="A7:B7"/>
    <mergeCell ref="A9:B9"/>
    <mergeCell ref="C9:C10"/>
    <mergeCell ref="A10:B10"/>
    <mergeCell ref="A11:B11"/>
    <mergeCell ref="A1:C1"/>
    <mergeCell ref="A2:B2"/>
    <mergeCell ref="C2:C3"/>
    <mergeCell ref="A3:B3"/>
    <mergeCell ref="A4:B4"/>
    <mergeCell ref="A5:B5"/>
    <mergeCell ref="A18:B18"/>
    <mergeCell ref="A19:B19"/>
    <mergeCell ref="A20:B20"/>
    <mergeCell ref="A21:B21"/>
    <mergeCell ref="A23:B23"/>
    <mergeCell ref="C23:C24"/>
    <mergeCell ref="A24:B24"/>
    <mergeCell ref="A12:B12"/>
    <mergeCell ref="A13:B13"/>
    <mergeCell ref="A14:B14"/>
    <mergeCell ref="A16:B16"/>
    <mergeCell ref="C16:C17"/>
    <mergeCell ref="A17:B17"/>
    <mergeCell ref="A32:B32"/>
    <mergeCell ref="A33:B33"/>
    <mergeCell ref="A34:B34"/>
    <mergeCell ref="A35:B35"/>
    <mergeCell ref="A37:B37"/>
    <mergeCell ref="C37:C38"/>
    <mergeCell ref="A38:B38"/>
    <mergeCell ref="A25:B25"/>
    <mergeCell ref="A26:B26"/>
    <mergeCell ref="A27:B27"/>
    <mergeCell ref="A28:B28"/>
    <mergeCell ref="A30:B30"/>
    <mergeCell ref="C30:C31"/>
    <mergeCell ref="A31:B31"/>
    <mergeCell ref="A46:B46"/>
    <mergeCell ref="A47:B47"/>
    <mergeCell ref="A48:B48"/>
    <mergeCell ref="A49:B49"/>
    <mergeCell ref="A51:B51"/>
    <mergeCell ref="C51:C52"/>
    <mergeCell ref="A52:B52"/>
    <mergeCell ref="A39:B39"/>
    <mergeCell ref="A40:B40"/>
    <mergeCell ref="A41:B41"/>
    <mergeCell ref="A42:B42"/>
    <mergeCell ref="A44:B44"/>
    <mergeCell ref="C44:C45"/>
    <mergeCell ref="A45:B45"/>
    <mergeCell ref="A60:B60"/>
    <mergeCell ref="A61:B61"/>
    <mergeCell ref="A62:B62"/>
    <mergeCell ref="A63:B63"/>
    <mergeCell ref="A65:B65"/>
    <mergeCell ref="C65:C66"/>
    <mergeCell ref="A66:B66"/>
    <mergeCell ref="A53:B53"/>
    <mergeCell ref="A54:B54"/>
    <mergeCell ref="A55:B55"/>
    <mergeCell ref="A56:B56"/>
    <mergeCell ref="A58:B58"/>
    <mergeCell ref="C58:C59"/>
    <mergeCell ref="A59:B59"/>
    <mergeCell ref="A74:B74"/>
    <mergeCell ref="A75:B75"/>
    <mergeCell ref="A76:B76"/>
    <mergeCell ref="A77:B77"/>
    <mergeCell ref="A79:B79"/>
    <mergeCell ref="C79:C80"/>
    <mergeCell ref="A80:B80"/>
    <mergeCell ref="A67:B67"/>
    <mergeCell ref="A68:B68"/>
    <mergeCell ref="A69:B69"/>
    <mergeCell ref="A70:B70"/>
    <mergeCell ref="A72:B72"/>
    <mergeCell ref="C72:C73"/>
    <mergeCell ref="A73:B73"/>
    <mergeCell ref="A90:B90"/>
    <mergeCell ref="A91:B91"/>
    <mergeCell ref="A93:B93"/>
    <mergeCell ref="C93:C94"/>
    <mergeCell ref="A94:B94"/>
    <mergeCell ref="A81:B81"/>
    <mergeCell ref="A82:B82"/>
    <mergeCell ref="A83:B83"/>
    <mergeCell ref="A84:B84"/>
    <mergeCell ref="A86:B86"/>
    <mergeCell ref="C86:C87"/>
    <mergeCell ref="A87:B87"/>
    <mergeCell ref="A109:B109"/>
    <mergeCell ref="A110:B110"/>
    <mergeCell ref="A111:B111"/>
    <mergeCell ref="A112:B112"/>
    <mergeCell ref="E1:G1"/>
    <mergeCell ref="E4:G4"/>
    <mergeCell ref="E5:G5"/>
    <mergeCell ref="E6:G6"/>
    <mergeCell ref="A102:B102"/>
    <mergeCell ref="A103:B103"/>
    <mergeCell ref="A104:B104"/>
    <mergeCell ref="A105:B105"/>
    <mergeCell ref="A107:B107"/>
    <mergeCell ref="C107:C108"/>
    <mergeCell ref="A108:B108"/>
    <mergeCell ref="A95:B95"/>
    <mergeCell ref="A96:B96"/>
    <mergeCell ref="A97:B97"/>
    <mergeCell ref="A98:B98"/>
    <mergeCell ref="A100:B100"/>
    <mergeCell ref="C100:C101"/>
    <mergeCell ref="A101:B101"/>
    <mergeCell ref="A88:B88"/>
    <mergeCell ref="A89:B8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6600"/>
  </sheetPr>
  <dimension ref="A1:K24"/>
  <sheetViews>
    <sheetView workbookViewId="0">
      <selection activeCell="G11" sqref="G11"/>
    </sheetView>
  </sheetViews>
  <sheetFormatPr baseColWidth="10" defaultRowHeight="12.75" x14ac:dyDescent="0.2"/>
  <cols>
    <col min="1" max="1" width="16.7109375" customWidth="1"/>
    <col min="2" max="2" width="19.140625" customWidth="1"/>
    <col min="3" max="3" width="21" customWidth="1"/>
    <col min="4" max="4" width="15.5703125" customWidth="1"/>
    <col min="5" max="5" width="15.85546875" customWidth="1"/>
    <col min="6" max="6" width="16.140625" customWidth="1"/>
  </cols>
  <sheetData>
    <row r="1" spans="1:8" x14ac:dyDescent="0.2">
      <c r="A1" s="547" t="s">
        <v>596</v>
      </c>
      <c r="B1" s="547"/>
      <c r="C1" s="547"/>
    </row>
    <row r="2" spans="1:8" x14ac:dyDescent="0.2">
      <c r="A2" s="547"/>
      <c r="B2" s="547"/>
      <c r="C2" s="547"/>
    </row>
    <row r="4" spans="1:8" x14ac:dyDescent="0.2">
      <c r="A4" s="556" t="s">
        <v>607</v>
      </c>
      <c r="B4" s="556"/>
      <c r="C4" s="556"/>
      <c r="D4" s="556"/>
      <c r="E4" s="556"/>
      <c r="F4" s="556"/>
      <c r="G4" s="556"/>
      <c r="H4" s="556"/>
    </row>
    <row r="5" spans="1:8" x14ac:dyDescent="0.2">
      <c r="A5" s="556"/>
      <c r="B5" s="556"/>
      <c r="C5" s="556"/>
      <c r="D5" s="556"/>
      <c r="E5" s="556"/>
      <c r="F5" s="556"/>
      <c r="G5" s="556"/>
      <c r="H5" s="556"/>
    </row>
    <row r="6" spans="1:8" x14ac:dyDescent="0.2">
      <c r="A6" s="556"/>
      <c r="B6" s="556"/>
      <c r="C6" s="556"/>
      <c r="D6" s="556"/>
      <c r="E6" s="556"/>
      <c r="F6" s="556"/>
      <c r="G6" s="556"/>
      <c r="H6" s="556"/>
    </row>
    <row r="9" spans="1:8" x14ac:dyDescent="0.2">
      <c r="C9" s="398" t="s">
        <v>402</v>
      </c>
      <c r="D9" s="398" t="s">
        <v>263</v>
      </c>
      <c r="E9" s="398" t="s">
        <v>264</v>
      </c>
      <c r="F9" s="398" t="s">
        <v>265</v>
      </c>
    </row>
    <row r="10" spans="1:8" x14ac:dyDescent="0.2">
      <c r="C10" s="398" t="s">
        <v>278</v>
      </c>
      <c r="D10" s="398" t="s">
        <v>278</v>
      </c>
      <c r="E10" s="398" t="s">
        <v>279</v>
      </c>
      <c r="F10" s="398" t="s">
        <v>280</v>
      </c>
    </row>
    <row r="11" spans="1:8" ht="15" x14ac:dyDescent="0.25">
      <c r="A11" s="548" t="s">
        <v>597</v>
      </c>
      <c r="B11" s="557" t="s">
        <v>598</v>
      </c>
      <c r="C11" s="24">
        <v>21</v>
      </c>
      <c r="D11" s="24">
        <v>27</v>
      </c>
      <c r="E11" s="24">
        <v>27</v>
      </c>
      <c r="F11" s="24">
        <v>54</v>
      </c>
    </row>
    <row r="12" spans="1:8" ht="15" x14ac:dyDescent="0.25">
      <c r="A12" s="548" t="s">
        <v>599</v>
      </c>
      <c r="B12" s="549"/>
      <c r="C12" s="399">
        <v>83.848593853149552</v>
      </c>
      <c r="D12" s="399">
        <v>78.914369777076871</v>
      </c>
      <c r="E12" s="399">
        <v>51.525884594044044</v>
      </c>
      <c r="F12" s="399">
        <v>75.422463295057284</v>
      </c>
    </row>
    <row r="13" spans="1:8" ht="15" x14ac:dyDescent="0.25">
      <c r="A13" s="548" t="s">
        <v>600</v>
      </c>
      <c r="B13" s="549"/>
      <c r="C13" s="370">
        <f>Análisis_de_Rentabilidad!C6</f>
        <v>98.268373725840362</v>
      </c>
      <c r="D13" s="370">
        <f>Análisis_de_Rentabilidad!C13</f>
        <v>83.703770668537402</v>
      </c>
      <c r="E13" s="370">
        <f>Análisis_de_Rentabilidad!C20</f>
        <v>52.961441566043518</v>
      </c>
      <c r="F13" s="370">
        <f>Análisis_de_Rentabilidad!C27</f>
        <v>73.391738250903359</v>
      </c>
    </row>
    <row r="15" spans="1:8" x14ac:dyDescent="0.2">
      <c r="A15" t="s">
        <v>601</v>
      </c>
      <c r="C15" s="400"/>
      <c r="D15" t="s">
        <v>602</v>
      </c>
    </row>
    <row r="16" spans="1:8" x14ac:dyDescent="0.2">
      <c r="A16" t="s">
        <v>603</v>
      </c>
      <c r="C16" s="400"/>
      <c r="D16" t="s">
        <v>604</v>
      </c>
    </row>
    <row r="17" spans="1:11" x14ac:dyDescent="0.2">
      <c r="A17" s="558" t="s">
        <v>605</v>
      </c>
      <c r="B17" s="558"/>
      <c r="C17" s="559"/>
      <c r="D17" t="s">
        <v>606</v>
      </c>
    </row>
    <row r="18" spans="1:11" ht="11.25" customHeight="1" x14ac:dyDescent="0.2">
      <c r="A18" s="558"/>
      <c r="B18" s="558"/>
      <c r="C18" s="559"/>
      <c r="D18" s="560" t="s">
        <v>608</v>
      </c>
      <c r="E18" s="561"/>
      <c r="F18" s="561"/>
      <c r="G18" s="561"/>
      <c r="H18" s="561"/>
      <c r="I18" s="561"/>
      <c r="J18" s="561"/>
      <c r="K18" s="561"/>
    </row>
    <row r="19" spans="1:11" x14ac:dyDescent="0.2">
      <c r="A19" s="558"/>
      <c r="B19" s="558"/>
      <c r="C19" s="559"/>
      <c r="D19" s="560"/>
      <c r="E19" s="561"/>
      <c r="F19" s="561"/>
      <c r="G19" s="561"/>
      <c r="H19" s="561"/>
      <c r="I19" s="561"/>
      <c r="J19" s="561"/>
      <c r="K19" s="561"/>
    </row>
    <row r="20" spans="1:11" x14ac:dyDescent="0.2">
      <c r="C20" s="400"/>
      <c r="D20" s="560"/>
      <c r="E20" s="561"/>
      <c r="F20" s="561"/>
      <c r="G20" s="561"/>
      <c r="H20" s="561"/>
      <c r="I20" s="561"/>
      <c r="J20" s="561"/>
      <c r="K20" s="561"/>
    </row>
    <row r="21" spans="1:11" x14ac:dyDescent="0.2">
      <c r="C21" s="15"/>
      <c r="D21" s="15"/>
    </row>
    <row r="22" spans="1:11" x14ac:dyDescent="0.2">
      <c r="A22" s="555" t="s">
        <v>609</v>
      </c>
      <c r="B22" s="555"/>
      <c r="C22" s="555"/>
      <c r="D22" s="555"/>
      <c r="E22" s="555"/>
      <c r="F22" s="555"/>
    </row>
    <row r="23" spans="1:11" x14ac:dyDescent="0.2">
      <c r="A23" s="555"/>
      <c r="B23" s="555"/>
      <c r="C23" s="555"/>
      <c r="D23" s="555"/>
      <c r="E23" s="555"/>
      <c r="F23" s="555"/>
    </row>
    <row r="24" spans="1:11" x14ac:dyDescent="0.2">
      <c r="A24" s="555"/>
      <c r="B24" s="555"/>
      <c r="C24" s="555"/>
      <c r="D24" s="555"/>
      <c r="E24" s="555"/>
      <c r="F24" s="555"/>
    </row>
  </sheetData>
  <mergeCells count="8">
    <mergeCell ref="A22:F24"/>
    <mergeCell ref="A1:C2"/>
    <mergeCell ref="A4:H6"/>
    <mergeCell ref="A11:B11"/>
    <mergeCell ref="A12:B12"/>
    <mergeCell ref="A13:B13"/>
    <mergeCell ref="A17:C19"/>
    <mergeCell ref="D18:K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Inicio</vt:lpstr>
      <vt:lpstr>OT</vt:lpstr>
      <vt:lpstr>Elección de Características</vt:lpstr>
      <vt:lpstr>Modelo_de_Cálculo_Costos</vt:lpstr>
      <vt:lpstr>Centro de actividades</vt:lpstr>
      <vt:lpstr>Maestro_Servicios_Directos</vt:lpstr>
      <vt:lpstr>Maestro_Materiales</vt:lpstr>
      <vt:lpstr>Matriz_Remu_MOD </vt:lpstr>
      <vt:lpstr>Matriz_Tiemp_Efec_MOD </vt:lpstr>
      <vt:lpstr>CMD</vt:lpstr>
      <vt:lpstr>CMOD</vt:lpstr>
      <vt:lpstr>CSD</vt:lpstr>
      <vt:lpstr>Elementos de Costo</vt:lpstr>
      <vt:lpstr>Auxiliar 1</vt:lpstr>
      <vt:lpstr>Proceso I</vt:lpstr>
      <vt:lpstr>Auxiliar 2</vt:lpstr>
      <vt:lpstr>Proceso II</vt:lpstr>
      <vt:lpstr>Proceso III</vt:lpstr>
      <vt:lpstr>Proceso IV</vt:lpstr>
      <vt:lpstr>Proceso V</vt:lpstr>
      <vt:lpstr>Precio_de_venta</vt:lpstr>
      <vt:lpstr>Valor_de_venta_por_OT</vt:lpstr>
      <vt:lpstr>Análisis_de_Rentabilidad</vt:lpstr>
      <vt:lpstr>Comparación de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William Oria</cp:lastModifiedBy>
  <dcterms:created xsi:type="dcterms:W3CDTF">2009-12-13T21:29:58Z</dcterms:created>
  <dcterms:modified xsi:type="dcterms:W3CDTF">2021-06-13T08:52:56Z</dcterms:modified>
</cp:coreProperties>
</file>