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ISCO D TOSHIBA\WOCH DOCENCIA UNIV\UNIVERSIDAD UNI\FIIS UNI\PRE GRADO FIIS UNI\CICLO 2020 01 VIRTUAL\GE605U FIIS UNI\Semana 07 Virtual\"/>
    </mc:Choice>
  </mc:AlternateContent>
  <xr:revisionPtr revIDLastSave="0" documentId="13_ncr:1_{9EF8BE2D-C006-4023-8A56-B2D41F80DBB2}" xr6:coauthVersionLast="45" xr6:coauthVersionMax="45" xr10:uidLastSave="{00000000-0000-0000-0000-000000000000}"/>
  <bookViews>
    <workbookView xWindow="-120" yWindow="-120" windowWidth="20730" windowHeight="11160" activeTab="3" xr2:uid="{00000000-000D-0000-FFFF-FFFF00000000}"/>
  </bookViews>
  <sheets>
    <sheet name="Modelo" sheetId="1" r:id="rId1"/>
    <sheet name="Data" sheetId="2" r:id="rId2"/>
    <sheet name="Costo MD" sheetId="6" r:id="rId3"/>
    <sheet name="Costo MOD" sheetId="7" r:id="rId4"/>
    <sheet name="Costo Indirectos" sheetId="8" r:id="rId5"/>
    <sheet name="Proceso 1" sheetId="12" r:id="rId6"/>
    <sheet name="Proceso 2" sheetId="3" r:id="rId7"/>
    <sheet name="Proceso 3" sheetId="4" r:id="rId8"/>
    <sheet name="Hoja Costos OT" sheetId="13" r:id="rId9"/>
    <sheet name="HC OT Unit" sheetId="14" r:id="rId10"/>
    <sheet name="Resumen Costos" sheetId="5" r:id="rId11"/>
    <sheet name="CONTABILIDAD COSTOS" sheetId="10" r:id="rId1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9" i="7" l="1"/>
  <c r="G19" i="7"/>
  <c r="F19" i="7"/>
  <c r="E19" i="7"/>
  <c r="D19" i="7"/>
  <c r="H18" i="7"/>
  <c r="G18" i="7"/>
  <c r="F18" i="7"/>
  <c r="E18" i="7"/>
  <c r="D18" i="7"/>
  <c r="H17" i="7"/>
  <c r="G17" i="7"/>
  <c r="F17" i="7"/>
  <c r="E17" i="7"/>
  <c r="D17" i="7"/>
  <c r="H16" i="7"/>
  <c r="G16" i="7"/>
  <c r="F16" i="7"/>
  <c r="E16" i="7"/>
  <c r="D16" i="7"/>
  <c r="H25" i="6"/>
  <c r="G25" i="6"/>
  <c r="F25" i="6"/>
  <c r="E25" i="6"/>
  <c r="D25" i="6"/>
  <c r="H24" i="6"/>
  <c r="G24" i="6"/>
  <c r="F24" i="6"/>
  <c r="E24" i="6"/>
  <c r="D24" i="6"/>
  <c r="H23" i="6"/>
  <c r="G23" i="6"/>
  <c r="F23" i="6"/>
  <c r="E23" i="6"/>
  <c r="D23" i="6"/>
  <c r="H22" i="6"/>
  <c r="G22" i="6"/>
  <c r="F22" i="6"/>
  <c r="E22" i="6"/>
  <c r="D22" i="6"/>
  <c r="H21" i="6"/>
  <c r="G21" i="6"/>
  <c r="F21" i="6"/>
  <c r="E21" i="6"/>
  <c r="D21" i="6"/>
  <c r="H20" i="6"/>
  <c r="G20" i="6"/>
  <c r="F20" i="6"/>
  <c r="E20" i="6"/>
  <c r="D20" i="6"/>
  <c r="H19" i="6"/>
  <c r="G19" i="6"/>
  <c r="F19" i="6"/>
  <c r="E19" i="6"/>
  <c r="D19" i="6"/>
  <c r="E22" i="14" l="1"/>
  <c r="D22" i="14"/>
  <c r="E8" i="14"/>
  <c r="D8" i="14"/>
  <c r="F4" i="14"/>
  <c r="E4" i="14"/>
  <c r="D4" i="14"/>
  <c r="C4" i="14"/>
  <c r="B4" i="14"/>
  <c r="C62" i="12"/>
  <c r="C61" i="12"/>
  <c r="C60" i="12"/>
  <c r="C59" i="12"/>
  <c r="C58" i="12"/>
  <c r="C57" i="12"/>
  <c r="C56" i="12"/>
  <c r="C55" i="12"/>
  <c r="C54" i="12"/>
  <c r="C53" i="12"/>
  <c r="E46" i="2"/>
  <c r="C63" i="12" l="1"/>
  <c r="E23" i="14"/>
  <c r="D23" i="14"/>
  <c r="F4" i="13"/>
  <c r="E4" i="13"/>
  <c r="D4" i="13"/>
  <c r="C4" i="13"/>
  <c r="B4" i="13"/>
  <c r="N12" i="2"/>
  <c r="N11" i="2"/>
  <c r="N10" i="2"/>
  <c r="N9" i="2"/>
  <c r="M12" i="2"/>
  <c r="O12" i="2" s="1"/>
  <c r="M11" i="2"/>
  <c r="O11" i="2" s="1"/>
  <c r="M10" i="2"/>
  <c r="O10" i="2" s="1"/>
  <c r="M9" i="2"/>
  <c r="O9" i="2" s="1"/>
  <c r="H6" i="6" l="1"/>
  <c r="G6" i="6"/>
  <c r="F6" i="6"/>
  <c r="E6" i="6"/>
  <c r="D6" i="6"/>
  <c r="H6" i="7"/>
  <c r="G13" i="4" s="1"/>
  <c r="J44" i="4" s="1"/>
  <c r="J55" i="4" s="1"/>
  <c r="G6" i="7"/>
  <c r="F13" i="4" s="1"/>
  <c r="I44" i="4" s="1"/>
  <c r="I55" i="4" s="1"/>
  <c r="F6" i="7"/>
  <c r="E13" i="4" s="1"/>
  <c r="H44" i="4" s="1"/>
  <c r="H55" i="4" s="1"/>
  <c r="E6" i="7"/>
  <c r="D13" i="4" s="1"/>
  <c r="G44" i="4" s="1"/>
  <c r="D6" i="7"/>
  <c r="D15" i="7" s="1"/>
  <c r="B10" i="7"/>
  <c r="B19" i="7" s="1"/>
  <c r="B9" i="7"/>
  <c r="B18" i="7" s="1"/>
  <c r="B8" i="7"/>
  <c r="B17" i="7" s="1"/>
  <c r="B7" i="7"/>
  <c r="B16" i="7" s="1"/>
  <c r="C5" i="13" l="1"/>
  <c r="C5" i="14"/>
  <c r="E5" i="13"/>
  <c r="E5" i="14"/>
  <c r="B5" i="13"/>
  <c r="B5" i="14"/>
  <c r="D5" i="13"/>
  <c r="D5" i="14"/>
  <c r="F5" i="13"/>
  <c r="F5" i="14"/>
  <c r="E15" i="7"/>
  <c r="G18" i="6"/>
  <c r="G15" i="7"/>
  <c r="H15" i="7"/>
  <c r="F15" i="7"/>
  <c r="D18" i="6"/>
  <c r="E18" i="6"/>
  <c r="F18" i="6"/>
  <c r="I61" i="4"/>
  <c r="G56" i="4"/>
  <c r="G61" i="4"/>
  <c r="H61" i="4"/>
  <c r="J61" i="4"/>
  <c r="H18" i="6"/>
  <c r="C13" i="4"/>
  <c r="F44" i="4" s="1"/>
  <c r="B20" i="3"/>
  <c r="B31" i="3" s="1"/>
  <c r="B42" i="3" s="1"/>
  <c r="B54" i="3" s="1"/>
  <c r="B19" i="3"/>
  <c r="B30" i="3" s="1"/>
  <c r="B41" i="3" s="1"/>
  <c r="B53" i="3" s="1"/>
  <c r="B18" i="3"/>
  <c r="B29" i="3" s="1"/>
  <c r="B40" i="3" s="1"/>
  <c r="B52" i="3" s="1"/>
  <c r="B17" i="3"/>
  <c r="B28" i="3" s="1"/>
  <c r="B39" i="3" s="1"/>
  <c r="B51" i="3" s="1"/>
  <c r="B16" i="3"/>
  <c r="B27" i="3" s="1"/>
  <c r="B38" i="3" s="1"/>
  <c r="B50" i="3" s="1"/>
  <c r="B15" i="3"/>
  <c r="B26" i="3" s="1"/>
  <c r="B37" i="3" s="1"/>
  <c r="B49" i="3" s="1"/>
  <c r="B14" i="3"/>
  <c r="B25" i="3" s="1"/>
  <c r="B36" i="3" s="1"/>
  <c r="B48" i="3" s="1"/>
  <c r="B13" i="3"/>
  <c r="B24" i="3" s="1"/>
  <c r="B35" i="3" s="1"/>
  <c r="B47" i="3" s="1"/>
  <c r="F56" i="4" l="1"/>
  <c r="F61" i="4"/>
  <c r="C48" i="12"/>
  <c r="C47" i="12"/>
  <c r="C46" i="12"/>
  <c r="C45" i="12"/>
  <c r="C44" i="12"/>
  <c r="C43" i="12"/>
  <c r="C42" i="12"/>
  <c r="C41" i="12"/>
  <c r="C40" i="12"/>
  <c r="C39" i="12"/>
  <c r="H10" i="7"/>
  <c r="F10" i="7"/>
  <c r="D10" i="7"/>
  <c r="H9" i="7"/>
  <c r="G9" i="7"/>
  <c r="F9" i="7"/>
  <c r="H8" i="7"/>
  <c r="G8" i="7"/>
  <c r="F8" i="7"/>
  <c r="H7" i="7"/>
  <c r="G7" i="7"/>
  <c r="E7" i="7"/>
  <c r="E20" i="7" s="1"/>
  <c r="D7" i="7"/>
  <c r="H10" i="6"/>
  <c r="H9" i="6"/>
  <c r="G9" i="6"/>
  <c r="F9" i="6"/>
  <c r="E9" i="6"/>
  <c r="H8" i="6"/>
  <c r="G8" i="6"/>
  <c r="F8" i="6"/>
  <c r="E8" i="6"/>
  <c r="D8" i="6"/>
  <c r="H7" i="6"/>
  <c r="G7" i="6"/>
  <c r="F7" i="6"/>
  <c r="E7" i="6"/>
  <c r="D7" i="6"/>
  <c r="H13" i="6"/>
  <c r="G13" i="6"/>
  <c r="F13" i="6"/>
  <c r="E13" i="6"/>
  <c r="D13" i="6"/>
  <c r="H12" i="6"/>
  <c r="G12" i="6"/>
  <c r="F12" i="6"/>
  <c r="E12" i="6"/>
  <c r="D12" i="6"/>
  <c r="H11" i="6"/>
  <c r="G11" i="6"/>
  <c r="F11" i="6"/>
  <c r="E11" i="6"/>
  <c r="D11" i="6"/>
  <c r="G10" i="6"/>
  <c r="F10" i="6"/>
  <c r="D9" i="6"/>
  <c r="G20" i="7" l="1"/>
  <c r="D26" i="6"/>
  <c r="E26" i="6"/>
  <c r="F26" i="6"/>
  <c r="H26" i="6"/>
  <c r="H20" i="7"/>
  <c r="F20" i="7"/>
  <c r="G26" i="6"/>
  <c r="D20" i="7"/>
  <c r="K56" i="4"/>
  <c r="K54" i="4"/>
  <c r="K53" i="4"/>
  <c r="K52" i="4"/>
  <c r="K51" i="4"/>
  <c r="K50" i="4"/>
  <c r="K49" i="4"/>
  <c r="K48" i="4"/>
  <c r="K47" i="4"/>
  <c r="K46" i="4"/>
  <c r="K45" i="4"/>
  <c r="C56" i="4"/>
  <c r="C55" i="4"/>
  <c r="C54" i="4"/>
  <c r="C53" i="4"/>
  <c r="C52" i="4"/>
  <c r="C51" i="4"/>
  <c r="C50" i="4"/>
  <c r="C49" i="4"/>
  <c r="C48" i="4"/>
  <c r="C47" i="4"/>
  <c r="C46" i="4"/>
  <c r="C45" i="4"/>
  <c r="G31" i="6" l="1"/>
  <c r="G30" i="6"/>
  <c r="H24" i="7"/>
  <c r="H25" i="7"/>
  <c r="F8" i="13"/>
  <c r="B8" i="13"/>
  <c r="D8" i="13"/>
  <c r="K55" i="4"/>
  <c r="R42" i="3"/>
  <c r="R41" i="3"/>
  <c r="R40" i="3"/>
  <c r="R39" i="3"/>
  <c r="R38" i="3"/>
  <c r="R37" i="3"/>
  <c r="R36" i="3"/>
  <c r="R35" i="3"/>
  <c r="C42" i="3"/>
  <c r="C41" i="3"/>
  <c r="C40" i="3"/>
  <c r="C39" i="3"/>
  <c r="C38" i="3"/>
  <c r="C37" i="3"/>
  <c r="C36" i="3"/>
  <c r="C35" i="3"/>
  <c r="C8" i="13" l="1"/>
  <c r="C8" i="14"/>
  <c r="E8" i="13"/>
  <c r="C19" i="2"/>
  <c r="F8" i="14" l="1"/>
  <c r="B8" i="14"/>
  <c r="N40" i="12"/>
  <c r="N46" i="12"/>
  <c r="N44" i="12"/>
  <c r="N42" i="12"/>
  <c r="N48" i="12"/>
  <c r="N45" i="12"/>
  <c r="N47" i="12"/>
  <c r="N43" i="12"/>
  <c r="N41" i="12"/>
  <c r="N39" i="12"/>
  <c r="N60" i="12" l="1"/>
  <c r="N56" i="12"/>
  <c r="J63" i="12"/>
  <c r="K63" i="12"/>
  <c r="H63" i="12"/>
  <c r="I63" i="12"/>
  <c r="N54" i="12"/>
  <c r="N58" i="12"/>
  <c r="N62" i="12"/>
  <c r="N61" i="12"/>
  <c r="N55" i="12"/>
  <c r="N59" i="12"/>
  <c r="N57" i="12"/>
  <c r="N53" i="12"/>
  <c r="N63" i="12" s="1"/>
  <c r="F63" i="12"/>
  <c r="G63" i="12"/>
  <c r="M63" i="12"/>
  <c r="L63" i="12"/>
  <c r="C55" i="3" l="1"/>
  <c r="R49" i="3" l="1"/>
  <c r="G55" i="3"/>
  <c r="K55" i="3"/>
  <c r="O55" i="3"/>
  <c r="H55" i="3"/>
  <c r="P55" i="3"/>
  <c r="R54" i="3"/>
  <c r="R52" i="3"/>
  <c r="R50" i="3"/>
  <c r="R48" i="3"/>
  <c r="R53" i="3"/>
  <c r="L55" i="3"/>
  <c r="R51" i="3"/>
  <c r="F55" i="3"/>
  <c r="R47" i="3"/>
  <c r="J55" i="3"/>
  <c r="N55" i="3"/>
  <c r="I55" i="3"/>
  <c r="M55" i="3"/>
  <c r="Q55" i="3"/>
  <c r="R55" i="3" l="1"/>
  <c r="K63" i="4"/>
  <c r="K67" i="4"/>
  <c r="C74" i="4"/>
  <c r="K71" i="4"/>
  <c r="G74" i="4" l="1"/>
  <c r="F74" i="4"/>
  <c r="K62" i="4"/>
  <c r="K65" i="4"/>
  <c r="K69" i="4"/>
  <c r="K68" i="4"/>
  <c r="I74" i="4"/>
  <c r="H74" i="4"/>
  <c r="K66" i="4"/>
  <c r="K73" i="4"/>
  <c r="K72" i="4"/>
  <c r="K64" i="4"/>
  <c r="J74" i="4"/>
  <c r="K70" i="4"/>
  <c r="D22" i="13" l="1"/>
  <c r="K74" i="4"/>
  <c r="F22" i="14"/>
  <c r="F23" i="14" s="1"/>
  <c r="F22" i="13"/>
  <c r="J78" i="4"/>
  <c r="E22" i="13"/>
  <c r="B22" i="14"/>
  <c r="B23" i="14" s="1"/>
  <c r="B22" i="13"/>
  <c r="J77" i="4"/>
  <c r="C22" i="14"/>
  <c r="C23" i="14" s="1"/>
  <c r="C22" i="13"/>
  <c r="C23" i="13" l="1"/>
  <c r="C24" i="13" s="1"/>
  <c r="C25" i="14" s="1"/>
  <c r="E23" i="13"/>
  <c r="B23" i="13"/>
  <c r="B24" i="13" s="1"/>
  <c r="B25" i="14" s="1"/>
  <c r="F23" i="13"/>
  <c r="F24" i="13" s="1"/>
  <c r="F25" i="14" s="1"/>
  <c r="D23" i="13"/>
  <c r="D13" i="5" l="1"/>
  <c r="D12" i="5"/>
</calcChain>
</file>

<file path=xl/sharedStrings.xml><?xml version="1.0" encoding="utf-8"?>
<sst xmlns="http://schemas.openxmlformats.org/spreadsheetml/2006/main" count="979" uniqueCount="244">
  <si>
    <t>ELEMENTOS DE COSTOS - PRODUCCION</t>
  </si>
  <si>
    <t>DATA PARA CALCULO:</t>
  </si>
  <si>
    <t>EMPRESA: METAL MECANICA</t>
  </si>
  <si>
    <t>Código</t>
  </si>
  <si>
    <t>Descripción</t>
  </si>
  <si>
    <t xml:space="preserve">PERIODO DE COSTEO: </t>
  </si>
  <si>
    <t>MES</t>
  </si>
  <si>
    <t>Costo S/.</t>
  </si>
  <si>
    <t>EC1</t>
  </si>
  <si>
    <t>EC2</t>
  </si>
  <si>
    <t>EC3</t>
  </si>
  <si>
    <t>EC4</t>
  </si>
  <si>
    <t>EC5</t>
  </si>
  <si>
    <t>EC6</t>
  </si>
  <si>
    <t>EC7</t>
  </si>
  <si>
    <t>EC8</t>
  </si>
  <si>
    <t>EC9</t>
  </si>
  <si>
    <t>EC10</t>
  </si>
  <si>
    <t>Mano Obra Indirecta</t>
  </si>
  <si>
    <t>Materiales indirectos</t>
  </si>
  <si>
    <t>Energía eléctrica</t>
  </si>
  <si>
    <t>Agua</t>
  </si>
  <si>
    <t>Teléfono</t>
  </si>
  <si>
    <t>Internet</t>
  </si>
  <si>
    <t>Mantenimiento</t>
  </si>
  <si>
    <t>Seguros</t>
  </si>
  <si>
    <t>Alquileres</t>
  </si>
  <si>
    <t>Impuestos prediales</t>
  </si>
  <si>
    <t>Total</t>
  </si>
  <si>
    <t>TABLA DE ACTIVIDADES</t>
  </si>
  <si>
    <t>AC1</t>
  </si>
  <si>
    <t>AC2</t>
  </si>
  <si>
    <t>AC3</t>
  </si>
  <si>
    <t>AC4</t>
  </si>
  <si>
    <t>AC5</t>
  </si>
  <si>
    <t>AC6</t>
  </si>
  <si>
    <t>AC7</t>
  </si>
  <si>
    <t>AC8</t>
  </si>
  <si>
    <t>AC9</t>
  </si>
  <si>
    <t>AC10</t>
  </si>
  <si>
    <t>AC11</t>
  </si>
  <si>
    <t>AC12</t>
  </si>
  <si>
    <t>Recepcionar materiales</t>
  </si>
  <si>
    <t>Despachar materiales</t>
  </si>
  <si>
    <t>Cortar laminas acero</t>
  </si>
  <si>
    <t>Producir planchas plastico</t>
  </si>
  <si>
    <t>Soldar piezas metalicas</t>
  </si>
  <si>
    <t>Inyectar poliuretano</t>
  </si>
  <si>
    <t>Preformar partes de refrigeradoras</t>
  </si>
  <si>
    <t>Preformar partes de cocinas</t>
  </si>
  <si>
    <t>Ensamblar refrigeradoras</t>
  </si>
  <si>
    <t>Ensamblar cocinas</t>
  </si>
  <si>
    <t>Embalar refrigeradoras</t>
  </si>
  <si>
    <t>Embalar cocinas</t>
  </si>
  <si>
    <t>TABLA DE OBJETOS DE COSTOS</t>
  </si>
  <si>
    <t>Cocina chica</t>
  </si>
  <si>
    <t>Cocina grande</t>
  </si>
  <si>
    <t>Refrigeradora chica</t>
  </si>
  <si>
    <t>Refrigeradora mediana</t>
  </si>
  <si>
    <t>Refrigeradora grande</t>
  </si>
  <si>
    <t>Procedimiento:</t>
  </si>
  <si>
    <t xml:space="preserve">    Identificar que actividades consumen cada elemento de costo, o que elementos de costos son consumidos por las actividades</t>
  </si>
  <si>
    <t>2) Identificar los inductores para cada EC (criterios de reparto de los elementos de costos hacía las actividades)</t>
  </si>
  <si>
    <t>3) Realizar el proceso de cálculo</t>
  </si>
  <si>
    <t>Matriz de Inductores por Elemento de Costo</t>
  </si>
  <si>
    <t>3) Identificar los valores de los inductores de cada elemento de costo por cada centro de actividad</t>
  </si>
  <si>
    <t>No personas indirectas</t>
  </si>
  <si>
    <t>Matriz de Inductores por cada Elemento de Costo</t>
  </si>
  <si>
    <t>CALCULO DEL COSTO DE CADA ELEMENTO DE COSTO EN CADA ACTIVIDAD</t>
  </si>
  <si>
    <t>TOTAL</t>
  </si>
  <si>
    <t>COSTO TOTAL</t>
  </si>
  <si>
    <t>1) Elaborar matriz de configuración de AC - OC</t>
  </si>
  <si>
    <t>Matriz de configuración AC-OC</t>
  </si>
  <si>
    <t>Inductor</t>
  </si>
  <si>
    <t>CALCULO DEL COSTO DE CADA ACTIVIDAD EN CADA OBJETO DE COSTO</t>
  </si>
  <si>
    <t>RESUMEN DE COSTOS</t>
  </si>
  <si>
    <t>Costo Total</t>
  </si>
  <si>
    <t>Unidades</t>
  </si>
  <si>
    <t>Costo Unit</t>
  </si>
  <si>
    <t>x</t>
  </si>
  <si>
    <t>% de asignación</t>
  </si>
  <si>
    <t>No personas</t>
  </si>
  <si>
    <t>No anexos</t>
  </si>
  <si>
    <t>No PCs</t>
  </si>
  <si>
    <t>Valor activo fijo</t>
  </si>
  <si>
    <t>3) Realizar el proceso de cálculo de costos</t>
  </si>
  <si>
    <t>Kg poliuretano inyectado</t>
  </si>
  <si>
    <t>SISTEMA DE COSTEO DINAMICO POR ORDENES DE TRABAJO BASADO EN ACTIVIDADES MODELO II</t>
  </si>
  <si>
    <t>METODOLOGIA DE COSTEO: MODELO 2</t>
  </si>
  <si>
    <t>TABLA DE ELEMENTO DE COSTOS INDIRECTOS</t>
  </si>
  <si>
    <t>TABLA DE MATERIALES DIRECTOS</t>
  </si>
  <si>
    <t>Unid Med</t>
  </si>
  <si>
    <t>Cto Unit  S/.</t>
  </si>
  <si>
    <t>M1</t>
  </si>
  <si>
    <t>M2</t>
  </si>
  <si>
    <t>M3</t>
  </si>
  <si>
    <t>M4</t>
  </si>
  <si>
    <t>TABLA DE PERSONAL DIRECTO</t>
  </si>
  <si>
    <t>MO1</t>
  </si>
  <si>
    <t>MO2</t>
  </si>
  <si>
    <t>MO3</t>
  </si>
  <si>
    <t>MO4</t>
  </si>
  <si>
    <t>Apellidos Nombre</t>
  </si>
  <si>
    <t>Tasa Hora S/.</t>
  </si>
  <si>
    <t>M5</t>
  </si>
  <si>
    <t>M6</t>
  </si>
  <si>
    <t>PROCESO 1: CALCULO DEL COSTO DEL ELEMENTO DE COSTO AL CENTRO DE ACTIVIDAD</t>
  </si>
  <si>
    <t>PROCESO 2: CALCULO DEL COSTO DEL CENTRO DE ACTIVIDAD A LA ACTIVIDAD</t>
  </si>
  <si>
    <t>PROCESO 3: CALCULO DEL COSTO DE LA ACTIVIDAD A LAS OT</t>
  </si>
  <si>
    <t>Pl Acero 1</t>
  </si>
  <si>
    <t>Kg</t>
  </si>
  <si>
    <t>Alambre</t>
  </si>
  <si>
    <t>Bolsa</t>
  </si>
  <si>
    <t>Accesorios</t>
  </si>
  <si>
    <t>Poliuretano</t>
  </si>
  <si>
    <t>Unid</t>
  </si>
  <si>
    <t>CALCULO DEL COSTO DE LOS MATERIALES DIRECTOS POR ORDEN TRABAJO</t>
  </si>
  <si>
    <t>OT1</t>
  </si>
  <si>
    <t>OT2</t>
  </si>
  <si>
    <t>OT3</t>
  </si>
  <si>
    <t>OT4</t>
  </si>
  <si>
    <t>OT5</t>
  </si>
  <si>
    <t>Cantidad</t>
  </si>
  <si>
    <t>TABLA DE CONSUMO DE MATERIALES DIRECTOS POR ORDEN DE TRABAJO</t>
  </si>
  <si>
    <t>Material</t>
  </si>
  <si>
    <t>Estado</t>
  </si>
  <si>
    <t>Terminado</t>
  </si>
  <si>
    <t>Proceso</t>
  </si>
  <si>
    <t>Unidad Medida</t>
  </si>
  <si>
    <t>Caja Cocina</t>
  </si>
  <si>
    <t>Caja Refrig</t>
  </si>
  <si>
    <t>M7</t>
  </si>
  <si>
    <t>CALCULO DE MATERIALES DIRECTOS POR ORDEN DE TRABAJO</t>
  </si>
  <si>
    <t>Coc Ch</t>
  </si>
  <si>
    <t>Coc Gde</t>
  </si>
  <si>
    <t>Refr Ch</t>
  </si>
  <si>
    <t>Refr Med</t>
  </si>
  <si>
    <t>Ref Gde</t>
  </si>
  <si>
    <t>Costo produccion terminada de materiales directos</t>
  </si>
  <si>
    <t>CALCULO DEL COSTO DE LA MANO OBRA DIRECTA POR ORDEN TRABAJO</t>
  </si>
  <si>
    <t>Personal</t>
  </si>
  <si>
    <t>Hrs Efect</t>
  </si>
  <si>
    <t>CALCULO DE COSTO DE MANO DE OBRA DIRECTA POR ORDEN DE TRABAJO</t>
  </si>
  <si>
    <t>PROCESO 1: CALCULO DEL COSTO DEL ELEMENTO DE COSTO A LOS CENTROS DE ACTIVIDAD</t>
  </si>
  <si>
    <t>TABLA DE CENTROS DE ACTIVIDAD</t>
  </si>
  <si>
    <t>CA1</t>
  </si>
  <si>
    <t>CA2</t>
  </si>
  <si>
    <t>CA3</t>
  </si>
  <si>
    <t>CA4</t>
  </si>
  <si>
    <t>CA5</t>
  </si>
  <si>
    <t>CA6</t>
  </si>
  <si>
    <t>CA7</t>
  </si>
  <si>
    <t>Almacén Materiales</t>
  </si>
  <si>
    <t>Corte</t>
  </si>
  <si>
    <t>Plasticos</t>
  </si>
  <si>
    <t>Ensamble Cocinas</t>
  </si>
  <si>
    <t>Ensamble Refrigeradores</t>
  </si>
  <si>
    <t>Embalaje Cocinas</t>
  </si>
  <si>
    <t>Embalaje Refrigeradoras</t>
  </si>
  <si>
    <t>CA8</t>
  </si>
  <si>
    <t>PROCESO 2: CALCULO DEL COSTO DEL COSTO DEL CENTRO DE ACTIVIDAD A LAS ACTIVIDADES</t>
  </si>
  <si>
    <t>Matriz de Inductores por Centro de Actividad</t>
  </si>
  <si>
    <t>1) Elaborar matriz de configuración de EC - CA</t>
  </si>
  <si>
    <t xml:space="preserve">    Identificar que actividades consumen cada elemento de costo, o que elementos de costos son consumidos por los centros de actividad</t>
  </si>
  <si>
    <t>2) Identificar los inductores para cada EC (criterios de reparto de los elementos de costos hacía los centros de actividad)</t>
  </si>
  <si>
    <t>Matriz de configuración EC-CA</t>
  </si>
  <si>
    <t>1) Elaborar matriz de configuración de CA - AC</t>
  </si>
  <si>
    <t>Matriz de Inductores por cada Centro de Actividad</t>
  </si>
  <si>
    <t xml:space="preserve">    Identificar que actividades se consumen en cada centro de actividad.</t>
  </si>
  <si>
    <t>2) Identificar los inductores para cada CA (criterios de reparto de los elementos de costos hacía las actividades)</t>
  </si>
  <si>
    <t>3) Identificar los valores de los inductores de cada centro de actividad a cada actividad.</t>
  </si>
  <si>
    <t>SISTEMA DE COSTEO POR ORDENES DE TRABAJO BASADO EN ACTIVIDADES MODELO 2</t>
  </si>
  <si>
    <t>PRODUCCION DE COCINAS Y REFRIGERADORAS</t>
  </si>
  <si>
    <t>Costo de mano obra directa de productos terminados</t>
  </si>
  <si>
    <t>Costo de mano obra directa de produccion en proceso</t>
  </si>
  <si>
    <t>Kws</t>
  </si>
  <si>
    <t>Area M2</t>
  </si>
  <si>
    <t>Matriz de configuración CA-AC</t>
  </si>
  <si>
    <t>% Asignacion</t>
  </si>
  <si>
    <t>Directo</t>
  </si>
  <si>
    <t>No unidades trabajadas</t>
  </si>
  <si>
    <t>PROCESO 4: CALCULO DEL COSTO UNITARIO DE PRODUCTO</t>
  </si>
  <si>
    <t>OT</t>
  </si>
  <si>
    <t>Producto</t>
  </si>
  <si>
    <t>Costo Indir</t>
  </si>
  <si>
    <t>CMOD</t>
  </si>
  <si>
    <t>CMD</t>
  </si>
  <si>
    <t>CALCULO COSTO TOTAL</t>
  </si>
  <si>
    <t>COSTO DE PRODUCTOS TERMINADOS</t>
  </si>
  <si>
    <t>COSTO DE PRODUCCION EN PROCESO</t>
  </si>
  <si>
    <t>VENTAS</t>
  </si>
  <si>
    <t>Costo Ventas</t>
  </si>
  <si>
    <t>COSTO DE VENTAS</t>
  </si>
  <si>
    <t>CONTABILIDAD DE COSTOS</t>
  </si>
  <si>
    <t>COSTO DE PRODUCCION TERMINADA</t>
  </si>
  <si>
    <t>PROCESO 4: CALCULO DEL COSTO UNITARIO DE LOS PRODUCTOS</t>
  </si>
  <si>
    <t>PROCESO 2: CALCULO DEL COSTO DE LA ACTIVIDADES A LAS OT</t>
  </si>
  <si>
    <t>Matriz de Inductores por Actividad</t>
  </si>
  <si>
    <t>Costo indirecto de productos terminados</t>
  </si>
  <si>
    <t>Costo indirecto de produccion en proceso</t>
  </si>
  <si>
    <t>Costo producción en proceso de materiales directos</t>
  </si>
  <si>
    <t>Juan Pacheco JP</t>
  </si>
  <si>
    <t>Fernando Ruiz FR</t>
  </si>
  <si>
    <t>Alberto Garcia AG</t>
  </si>
  <si>
    <t># recepciones</t>
  </si>
  <si>
    <t># vales salida</t>
  </si>
  <si>
    <t># piezas cortadas</t>
  </si>
  <si>
    <t># piezas plasticas</t>
  </si>
  <si>
    <t># partes soldadas</t>
  </si>
  <si>
    <t># partes de refrigeradoras</t>
  </si>
  <si>
    <t># partes de cocinas</t>
  </si>
  <si>
    <t># partes a ensamblar</t>
  </si>
  <si>
    <t># refrigeradoras producidas</t>
  </si>
  <si>
    <t># cocinas producidas</t>
  </si>
  <si>
    <t>HOJA DE COSTOS:</t>
  </si>
  <si>
    <t>Conceptos</t>
  </si>
  <si>
    <t>Total costo directo</t>
  </si>
  <si>
    <t>Total costo indirecto</t>
  </si>
  <si>
    <t>Costo Unitario</t>
  </si>
  <si>
    <t>Costo MOD</t>
  </si>
  <si>
    <t>Horas Efect</t>
  </si>
  <si>
    <t>Alan Castro AC</t>
  </si>
  <si>
    <t>Actividades:</t>
  </si>
  <si>
    <t>AC1: Recepcionar materiales</t>
  </si>
  <si>
    <t>AC2: Despachar materiales</t>
  </si>
  <si>
    <t>AC3: Cortar laminas acero</t>
  </si>
  <si>
    <t>AC4: Producir planchas plastico</t>
  </si>
  <si>
    <t>AC5: Soldar piezas metalicas</t>
  </si>
  <si>
    <t>AC6: Inyectar poliuretano</t>
  </si>
  <si>
    <t>AC7: Preformar partes de refrigeradoras</t>
  </si>
  <si>
    <t>AC8: Preformar partes de cocinas</t>
  </si>
  <si>
    <t>AC9: Ensamblar refrigeradoras</t>
  </si>
  <si>
    <t>AC10: Ensamblar cocinas</t>
  </si>
  <si>
    <t>AC11: Embalar refrigeradoras</t>
  </si>
  <si>
    <t>AC12: Embalar cocinas</t>
  </si>
  <si>
    <t>Total de Costo Fabricación</t>
  </si>
  <si>
    <t>Estado:</t>
  </si>
  <si>
    <t>OT0A</t>
  </si>
  <si>
    <t>CIF</t>
  </si>
  <si>
    <t>Proceso inicial</t>
  </si>
  <si>
    <t>Final</t>
  </si>
  <si>
    <t>Cocina intermedia</t>
  </si>
  <si>
    <t>CALCULO DEL COSTO DE CADA ELEMENTO DE COSTO EN CADA CENTRO DE ACTIVIDAD POR REPARTO PROPORCIONAL</t>
  </si>
  <si>
    <t>Total de Costo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</si>
</sst>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_ ;[Red]\-#,##0\ "/>
    <numFmt numFmtId="165" formatCode="#,##0.0_ ;[Red]\-#,##0.0\ "/>
    <numFmt numFmtId="166" formatCode="#,##0.00_ ;[Red]\-#,##0.00\ "/>
    <numFmt numFmtId="167" formatCode="#,##0.0"/>
  </numFmts>
  <fonts count="8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/>
    <xf numFmtId="165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5" borderId="1" xfId="0" applyFont="1" applyFill="1" applyBorder="1"/>
    <xf numFmtId="165" fontId="1" fillId="5" borderId="1" xfId="0" applyNumberFormat="1" applyFon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0" fontId="0" fillId="6" borderId="0" xfId="0" applyFill="1"/>
    <xf numFmtId="165" fontId="1" fillId="0" borderId="0" xfId="0" applyNumberFormat="1" applyFont="1"/>
    <xf numFmtId="0" fontId="0" fillId="0" borderId="0" xfId="0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2" borderId="0" xfId="0" applyNumberFormat="1" applyFont="1" applyFill="1"/>
    <xf numFmtId="165" fontId="1" fillId="3" borderId="0" xfId="0" applyNumberFormat="1" applyFont="1" applyFill="1"/>
    <xf numFmtId="165" fontId="1" fillId="3" borderId="0" xfId="0" applyNumberFormat="1" applyFont="1" applyFill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164" fontId="0" fillId="0" borderId="1" xfId="0" applyNumberFormat="1" applyBorder="1"/>
    <xf numFmtId="164" fontId="1" fillId="0" borderId="1" xfId="0" applyNumberFormat="1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/>
    </xf>
    <xf numFmtId="9" fontId="1" fillId="0" borderId="1" xfId="1" applyFont="1" applyBorder="1" applyAlignment="1">
      <alignment horizontal="center"/>
    </xf>
    <xf numFmtId="3" fontId="1" fillId="0" borderId="1" xfId="1" applyNumberFormat="1" applyFont="1" applyBorder="1" applyAlignment="1">
      <alignment horizontal="center"/>
    </xf>
    <xf numFmtId="165" fontId="1" fillId="4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166" fontId="1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165" fontId="1" fillId="3" borderId="1" xfId="0" applyNumberFormat="1" applyFont="1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1" xfId="0" applyNumberFormat="1" applyBorder="1"/>
    <xf numFmtId="0" fontId="1" fillId="9" borderId="1" xfId="0" applyFont="1" applyFill="1" applyBorder="1" applyAlignment="1">
      <alignment horizontal="center" vertical="center" wrapText="1"/>
    </xf>
    <xf numFmtId="166" fontId="1" fillId="9" borderId="1" xfId="0" applyNumberFormat="1" applyFont="1" applyFill="1" applyBorder="1" applyAlignment="1">
      <alignment horizontal="center"/>
    </xf>
    <xf numFmtId="0" fontId="1" fillId="10" borderId="1" xfId="0" applyFont="1" applyFill="1" applyBorder="1"/>
    <xf numFmtId="166" fontId="1" fillId="10" borderId="1" xfId="0" applyNumberFormat="1" applyFont="1" applyFill="1" applyBorder="1" applyAlignment="1">
      <alignment horizontal="center"/>
    </xf>
    <xf numFmtId="166" fontId="1" fillId="9" borderId="1" xfId="0" applyNumberFormat="1" applyFont="1" applyFill="1" applyBorder="1"/>
    <xf numFmtId="0" fontId="1" fillId="0" borderId="1" xfId="0" applyFont="1" applyBorder="1" applyAlignment="1">
      <alignment horizontal="center"/>
    </xf>
    <xf numFmtId="3" fontId="0" fillId="0" borderId="0" xfId="0" applyNumberFormat="1"/>
    <xf numFmtId="0" fontId="0" fillId="0" borderId="4" xfId="0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67" fontId="1" fillId="0" borderId="0" xfId="0" applyNumberFormat="1" applyFont="1"/>
    <xf numFmtId="166" fontId="0" fillId="0" borderId="0" xfId="0" applyNumberForma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7" fillId="8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4</xdr:row>
      <xdr:rowOff>19049</xdr:rowOff>
    </xdr:from>
    <xdr:to>
      <xdr:col>10</xdr:col>
      <xdr:colOff>439616</xdr:colOff>
      <xdr:row>22</xdr:row>
      <xdr:rowOff>21981</xdr:rowOff>
    </xdr:to>
    <xdr:sp macro="" textlink="">
      <xdr:nvSpPr>
        <xdr:cNvPr id="2" name="1 Rectángul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9050" y="839664"/>
          <a:ext cx="8773258" cy="330004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0</xdr:col>
      <xdr:colOff>114300</xdr:colOff>
      <xdr:row>11</xdr:row>
      <xdr:rowOff>94528</xdr:rowOff>
    </xdr:from>
    <xdr:ext cx="1809750" cy="800219"/>
    <xdr:sp macro="" textlink="">
      <xdr:nvSpPr>
        <xdr:cNvPr id="3" name="2 CuadroText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300" y="2131413"/>
          <a:ext cx="1809750" cy="800219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ELEMENTO DE COSTO (CI)</a:t>
          </a:r>
        </a:p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(EC)</a:t>
          </a:r>
        </a:p>
      </xdr:txBody>
    </xdr:sp>
    <xdr:clientData/>
  </xdr:oneCellAnchor>
  <xdr:oneCellAnchor>
    <xdr:from>
      <xdr:col>3</xdr:col>
      <xdr:colOff>47625</xdr:colOff>
      <xdr:row>11</xdr:row>
      <xdr:rowOff>108448</xdr:rowOff>
    </xdr:from>
    <xdr:ext cx="1533525" cy="800219"/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553433" y="2145333"/>
          <a:ext cx="1533525" cy="800219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CENTRO DE ACTIVIDAD</a:t>
          </a:r>
        </a:p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(CA)</a:t>
          </a:r>
        </a:p>
      </xdr:txBody>
    </xdr:sp>
    <xdr:clientData/>
  </xdr:oneCellAnchor>
  <xdr:oneCellAnchor>
    <xdr:from>
      <xdr:col>8</xdr:col>
      <xdr:colOff>187565</xdr:colOff>
      <xdr:row>10</xdr:row>
      <xdr:rowOff>145815</xdr:rowOff>
    </xdr:from>
    <xdr:ext cx="1809750" cy="800219"/>
    <xdr:sp macro="" textlink="">
      <xdr:nvSpPr>
        <xdr:cNvPr id="5" name="4 CuadroTex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869719" y="1999527"/>
          <a:ext cx="1809750" cy="800219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OBJETO</a:t>
          </a:r>
          <a:r>
            <a:rPr lang="es-PE" sz="1600" b="1" baseline="0">
              <a:latin typeface="Arial" pitchFamily="34" charset="0"/>
              <a:cs typeface="Arial" pitchFamily="34" charset="0"/>
            </a:rPr>
            <a:t> DE COSTO</a:t>
          </a:r>
          <a:endParaRPr lang="es-PE" sz="1600" b="1">
            <a:latin typeface="Arial" pitchFamily="34" charset="0"/>
            <a:cs typeface="Arial" pitchFamily="34" charset="0"/>
          </a:endParaRPr>
        </a:p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(OT)</a:t>
          </a:r>
        </a:p>
      </xdr:txBody>
    </xdr:sp>
    <xdr:clientData/>
  </xdr:oneCellAnchor>
  <xdr:twoCellAnchor>
    <xdr:from>
      <xdr:col>2</xdr:col>
      <xdr:colOff>323850</xdr:colOff>
      <xdr:row>11</xdr:row>
      <xdr:rowOff>117973</xdr:rowOff>
    </xdr:from>
    <xdr:to>
      <xdr:col>2</xdr:col>
      <xdr:colOff>819150</xdr:colOff>
      <xdr:row>14</xdr:row>
      <xdr:rowOff>59680</xdr:rowOff>
    </xdr:to>
    <xdr:sp macro="" textlink="">
      <xdr:nvSpPr>
        <xdr:cNvPr id="6" name="5 Flecha derecha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994388" y="2154858"/>
          <a:ext cx="495300" cy="49122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795704</xdr:colOff>
      <xdr:row>11</xdr:row>
      <xdr:rowOff>89398</xdr:rowOff>
    </xdr:from>
    <xdr:to>
      <xdr:col>5</xdr:col>
      <xdr:colOff>452804</xdr:colOff>
      <xdr:row>14</xdr:row>
      <xdr:rowOff>28907</xdr:rowOff>
    </xdr:to>
    <xdr:sp macro="" textlink="">
      <xdr:nvSpPr>
        <xdr:cNvPr id="7" name="6 Flecha derecha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136781" y="2126283"/>
          <a:ext cx="492369" cy="48902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1</xdr:col>
      <xdr:colOff>781050</xdr:colOff>
      <xdr:row>16</xdr:row>
      <xdr:rowOff>107718</xdr:rowOff>
    </xdr:from>
    <xdr:ext cx="1172565" cy="254557"/>
    <xdr:sp macro="" textlink="">
      <xdr:nvSpPr>
        <xdr:cNvPr id="8" name="7 CuadroText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616319" y="3060468"/>
          <a:ext cx="1172565" cy="25455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Inductor</a:t>
          </a:r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 EC-AC</a:t>
          </a:r>
          <a:endParaRPr lang="es-PE" sz="1100">
            <a:ln>
              <a:solidFill>
                <a:schemeClr val="tx1"/>
              </a:solidFill>
            </a:ln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428625</xdr:colOff>
      <xdr:row>16</xdr:row>
      <xdr:rowOff>117243</xdr:rowOff>
    </xdr:from>
    <xdr:ext cx="1172565" cy="254557"/>
    <xdr:sp macro="" textlink="">
      <xdr:nvSpPr>
        <xdr:cNvPr id="9" name="8 CuadroText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769702" y="3135935"/>
          <a:ext cx="1172565" cy="25455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Inductor</a:t>
          </a:r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 CA-AC</a:t>
          </a:r>
          <a:endParaRPr lang="es-PE" sz="1100">
            <a:ln>
              <a:solidFill>
                <a:schemeClr val="tx1"/>
              </a:solidFill>
            </a:ln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2</xdr:col>
      <xdr:colOff>447675</xdr:colOff>
      <xdr:row>9</xdr:row>
      <xdr:rowOff>98923</xdr:rowOff>
    </xdr:from>
    <xdr:to>
      <xdr:col>2</xdr:col>
      <xdr:colOff>733425</xdr:colOff>
      <xdr:row>11</xdr:row>
      <xdr:rowOff>108447</xdr:rowOff>
    </xdr:to>
    <xdr:sp macro="" textlink="">
      <xdr:nvSpPr>
        <xdr:cNvPr id="10" name="9 Elips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118213" y="1769461"/>
          <a:ext cx="285750" cy="375871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1</a:t>
          </a:r>
        </a:p>
      </xdr:txBody>
    </xdr:sp>
    <xdr:clientData/>
  </xdr:twoCellAnchor>
  <xdr:twoCellAnchor>
    <xdr:from>
      <xdr:col>5</xdr:col>
      <xdr:colOff>104775</xdr:colOff>
      <xdr:row>9</xdr:row>
      <xdr:rowOff>89398</xdr:rowOff>
    </xdr:from>
    <xdr:to>
      <xdr:col>5</xdr:col>
      <xdr:colOff>390525</xdr:colOff>
      <xdr:row>11</xdr:row>
      <xdr:rowOff>98922</xdr:rowOff>
    </xdr:to>
    <xdr:sp macro="" textlink="">
      <xdr:nvSpPr>
        <xdr:cNvPr id="11" name="10 Elips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281121" y="1759936"/>
          <a:ext cx="285750" cy="375871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2</a:t>
          </a:r>
        </a:p>
      </xdr:txBody>
    </xdr:sp>
    <xdr:clientData/>
  </xdr:twoCellAnchor>
  <xdr:oneCellAnchor>
    <xdr:from>
      <xdr:col>5</xdr:col>
      <xdr:colOff>488706</xdr:colOff>
      <xdr:row>11</xdr:row>
      <xdr:rowOff>87200</xdr:rowOff>
    </xdr:from>
    <xdr:ext cx="1533525" cy="564257"/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4665052" y="2124085"/>
          <a:ext cx="1533525" cy="564257"/>
        </a:xfrm>
        <a:prstGeom prst="rect">
          <a:avLst/>
        </a:prstGeom>
        <a:solidFill>
          <a:srgbClr val="92D050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ACTIVIDAD</a:t>
          </a:r>
        </a:p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(AC)</a:t>
          </a:r>
        </a:p>
      </xdr:txBody>
    </xdr:sp>
    <xdr:clientData/>
  </xdr:oneCellAnchor>
  <xdr:twoCellAnchor>
    <xdr:from>
      <xdr:col>7</xdr:col>
      <xdr:colOff>455734</xdr:colOff>
      <xdr:row>11</xdr:row>
      <xdr:rowOff>134093</xdr:rowOff>
    </xdr:from>
    <xdr:to>
      <xdr:col>8</xdr:col>
      <xdr:colOff>112834</xdr:colOff>
      <xdr:row>14</xdr:row>
      <xdr:rowOff>73602</xdr:rowOff>
    </xdr:to>
    <xdr:sp macro="" textlink="">
      <xdr:nvSpPr>
        <xdr:cNvPr id="13" name="12 Flecha derecha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6302619" y="2170978"/>
          <a:ext cx="492369" cy="48902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8</xdr:col>
      <xdr:colOff>215408</xdr:colOff>
      <xdr:row>18</xdr:row>
      <xdr:rowOff>93064</xdr:rowOff>
    </xdr:from>
    <xdr:ext cx="1809750" cy="328295"/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6897562" y="3412160"/>
          <a:ext cx="1809750" cy="32829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600" b="1">
              <a:latin typeface="Arial" pitchFamily="34" charset="0"/>
              <a:cs typeface="Arial" pitchFamily="34" charset="0"/>
            </a:rPr>
            <a:t>PRODUCTO</a:t>
          </a:r>
        </a:p>
      </xdr:txBody>
    </xdr:sp>
    <xdr:clientData/>
  </xdr:oneCellAnchor>
  <xdr:twoCellAnchor>
    <xdr:from>
      <xdr:col>9</xdr:col>
      <xdr:colOff>82268</xdr:colOff>
      <xdr:row>15</xdr:row>
      <xdr:rowOff>86997</xdr:rowOff>
    </xdr:from>
    <xdr:to>
      <xdr:col>9</xdr:col>
      <xdr:colOff>571296</xdr:colOff>
      <xdr:row>18</xdr:row>
      <xdr:rowOff>29847</xdr:rowOff>
    </xdr:to>
    <xdr:sp macro="" textlink="">
      <xdr:nvSpPr>
        <xdr:cNvPr id="15" name="14 Flecha derecha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 rot="5400000">
          <a:off x="7598020" y="2924187"/>
          <a:ext cx="492369" cy="489028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529736</xdr:colOff>
      <xdr:row>9</xdr:row>
      <xdr:rowOff>123835</xdr:rowOff>
    </xdr:from>
    <xdr:to>
      <xdr:col>7</xdr:col>
      <xdr:colOff>815486</xdr:colOff>
      <xdr:row>11</xdr:row>
      <xdr:rowOff>133359</xdr:rowOff>
    </xdr:to>
    <xdr:sp macro="" textlink="">
      <xdr:nvSpPr>
        <xdr:cNvPr id="16" name="15 Elips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6376621" y="1794373"/>
          <a:ext cx="285750" cy="375871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3</a:t>
          </a:r>
        </a:p>
      </xdr:txBody>
    </xdr:sp>
    <xdr:clientData/>
  </xdr:twoCellAnchor>
  <xdr:twoCellAnchor>
    <xdr:from>
      <xdr:col>9</xdr:col>
      <xdr:colOff>674811</xdr:colOff>
      <xdr:row>15</xdr:row>
      <xdr:rowOff>129696</xdr:rowOff>
    </xdr:from>
    <xdr:to>
      <xdr:col>10</xdr:col>
      <xdr:colOff>125292</xdr:colOff>
      <xdr:row>17</xdr:row>
      <xdr:rowOff>139221</xdr:rowOff>
    </xdr:to>
    <xdr:sp macro="" textlink="">
      <xdr:nvSpPr>
        <xdr:cNvPr id="17" name="16 Elips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8192234" y="2965215"/>
          <a:ext cx="285750" cy="375871"/>
        </a:xfrm>
        <a:prstGeom prst="ellipse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200" b="1">
              <a:solidFill>
                <a:srgbClr val="FF0000"/>
              </a:solidFill>
              <a:latin typeface="Arial" pitchFamily="34" charset="0"/>
              <a:cs typeface="Arial" pitchFamily="34" charset="0"/>
            </a:rPr>
            <a:t>4</a:t>
          </a:r>
        </a:p>
      </xdr:txBody>
    </xdr:sp>
    <xdr:clientData/>
  </xdr:twoCellAnchor>
  <xdr:twoCellAnchor>
    <xdr:from>
      <xdr:col>2</xdr:col>
      <xdr:colOff>783981</xdr:colOff>
      <xdr:row>5</xdr:row>
      <xdr:rowOff>21981</xdr:rowOff>
    </xdr:from>
    <xdr:to>
      <xdr:col>5</xdr:col>
      <xdr:colOff>241788</xdr:colOff>
      <xdr:row>6</xdr:row>
      <xdr:rowOff>102577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2454519" y="959827"/>
          <a:ext cx="1963615" cy="26376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400">
              <a:latin typeface="Arial" pitchFamily="34" charset="0"/>
              <a:cs typeface="Arial" pitchFamily="34" charset="0"/>
            </a:rPr>
            <a:t>COSTO INDIRECTO</a:t>
          </a:r>
        </a:p>
      </xdr:txBody>
    </xdr:sp>
    <xdr:clientData/>
  </xdr:twoCellAnchor>
  <xdr:twoCellAnchor>
    <xdr:from>
      <xdr:col>4</xdr:col>
      <xdr:colOff>0</xdr:colOff>
      <xdr:row>6</xdr:row>
      <xdr:rowOff>153866</xdr:rowOff>
    </xdr:from>
    <xdr:to>
      <xdr:col>4</xdr:col>
      <xdr:colOff>1</xdr:colOff>
      <xdr:row>10</xdr:row>
      <xdr:rowOff>175846</xdr:rowOff>
    </xdr:to>
    <xdr:cxnSp macro="">
      <xdr:nvCxnSpPr>
        <xdr:cNvPr id="20" name="19 Conector recto de flecha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3341077" y="1274885"/>
          <a:ext cx="1" cy="754673"/>
        </a:xfrm>
        <a:prstGeom prst="straightConnector1">
          <a:avLst/>
        </a:prstGeom>
        <a:ln w="28575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7329</xdr:colOff>
      <xdr:row>6</xdr:row>
      <xdr:rowOff>161192</xdr:rowOff>
    </xdr:from>
    <xdr:ext cx="996460" cy="579005"/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348406" y="1282211"/>
          <a:ext cx="996460" cy="5790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1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Contabilidad por Centro de Actividad</a:t>
          </a:r>
        </a:p>
      </xdr:txBody>
    </xdr:sp>
    <xdr:clientData/>
  </xdr:oneCellAnchor>
  <xdr:twoCellAnchor>
    <xdr:from>
      <xdr:col>6</xdr:col>
      <xdr:colOff>395655</xdr:colOff>
      <xdr:row>4</xdr:row>
      <xdr:rowOff>86457</xdr:rowOff>
    </xdr:from>
    <xdr:to>
      <xdr:col>9</xdr:col>
      <xdr:colOff>64477</xdr:colOff>
      <xdr:row>5</xdr:row>
      <xdr:rowOff>167053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5407270" y="841130"/>
          <a:ext cx="2174630" cy="26376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400">
              <a:latin typeface="Arial" pitchFamily="34" charset="0"/>
              <a:cs typeface="Arial" pitchFamily="34" charset="0"/>
            </a:rPr>
            <a:t>MATERIAL DIRECTO</a:t>
          </a:r>
        </a:p>
      </xdr:txBody>
    </xdr:sp>
    <xdr:clientData/>
  </xdr:twoCellAnchor>
  <xdr:twoCellAnchor>
    <xdr:from>
      <xdr:col>6</xdr:col>
      <xdr:colOff>417635</xdr:colOff>
      <xdr:row>6</xdr:row>
      <xdr:rowOff>19051</xdr:rowOff>
    </xdr:from>
    <xdr:to>
      <xdr:col>9</xdr:col>
      <xdr:colOff>70337</xdr:colOff>
      <xdr:row>7</xdr:row>
      <xdr:rowOff>99647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429250" y="1140070"/>
          <a:ext cx="2158510" cy="26376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400">
              <a:latin typeface="Arial" pitchFamily="34" charset="0"/>
              <a:cs typeface="Arial" pitchFamily="34" charset="0"/>
            </a:rPr>
            <a:t>MANO OBRA DIRECTA</a:t>
          </a:r>
        </a:p>
      </xdr:txBody>
    </xdr:sp>
    <xdr:clientData/>
  </xdr:twoCellAnchor>
  <xdr:twoCellAnchor>
    <xdr:from>
      <xdr:col>6</xdr:col>
      <xdr:colOff>416168</xdr:colOff>
      <xdr:row>7</xdr:row>
      <xdr:rowOff>134818</xdr:rowOff>
    </xdr:from>
    <xdr:to>
      <xdr:col>9</xdr:col>
      <xdr:colOff>68870</xdr:colOff>
      <xdr:row>9</xdr:row>
      <xdr:rowOff>32241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5427783" y="1439010"/>
          <a:ext cx="2158510" cy="263769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400">
              <a:latin typeface="Arial" pitchFamily="34" charset="0"/>
              <a:cs typeface="Arial" pitchFamily="34" charset="0"/>
            </a:rPr>
            <a:t>SERVICIO DIRECTO</a:t>
          </a:r>
        </a:p>
      </xdr:txBody>
    </xdr:sp>
    <xdr:clientData/>
  </xdr:twoCellAnchor>
  <xdr:oneCellAnchor>
    <xdr:from>
      <xdr:col>6</xdr:col>
      <xdr:colOff>734891</xdr:colOff>
      <xdr:row>15</xdr:row>
      <xdr:rowOff>20528</xdr:rowOff>
    </xdr:from>
    <xdr:ext cx="1188210" cy="254557"/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5746506" y="2790105"/>
          <a:ext cx="1188210" cy="25455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Inductor</a:t>
          </a:r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 AC-OC</a:t>
          </a:r>
          <a:endParaRPr lang="es-PE" sz="1100">
            <a:ln>
              <a:solidFill>
                <a:schemeClr val="tx1"/>
              </a:solidFill>
            </a:ln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7</xdr:col>
      <xdr:colOff>520946</xdr:colOff>
      <xdr:row>16</xdr:row>
      <xdr:rowOff>172928</xdr:rowOff>
    </xdr:from>
    <xdr:ext cx="1188210" cy="254557"/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6367831" y="3191620"/>
          <a:ext cx="1188210" cy="254557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10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Inductor</a:t>
          </a:r>
          <a:r>
            <a:rPr lang="es-PE" sz="1100" baseline="0">
              <a:ln>
                <a:solidFill>
                  <a:schemeClr val="tx1"/>
                </a:solidFill>
              </a:ln>
              <a:latin typeface="Arial" pitchFamily="34" charset="0"/>
              <a:cs typeface="Arial" pitchFamily="34" charset="0"/>
            </a:rPr>
            <a:t> OC-PR</a:t>
          </a:r>
          <a:endParaRPr lang="es-PE" sz="1100">
            <a:ln>
              <a:solidFill>
                <a:schemeClr val="tx1"/>
              </a:solidFill>
            </a:ln>
            <a:latin typeface="Arial" pitchFamily="34" charset="0"/>
            <a:cs typeface="Arial" pitchFamily="34" charset="0"/>
          </a:endParaRPr>
        </a:p>
      </xdr:txBody>
    </xdr:sp>
    <xdr:clientData/>
  </xdr:oneCellAnchor>
  <xdr:twoCellAnchor>
    <xdr:from>
      <xdr:col>9</xdr:col>
      <xdr:colOff>64477</xdr:colOff>
      <xdr:row>5</xdr:row>
      <xdr:rowOff>35169</xdr:rowOff>
    </xdr:from>
    <xdr:to>
      <xdr:col>10</xdr:col>
      <xdr:colOff>73270</xdr:colOff>
      <xdr:row>5</xdr:row>
      <xdr:rowOff>36635</xdr:rowOff>
    </xdr:to>
    <xdr:cxnSp macro="">
      <xdr:nvCxnSpPr>
        <xdr:cNvPr id="30" name="29 Conector rec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>
          <a:stCxn id="24" idx="3"/>
        </xdr:cNvCxnSpPr>
      </xdr:nvCxnSpPr>
      <xdr:spPr>
        <a:xfrm>
          <a:off x="7581900" y="973015"/>
          <a:ext cx="844062" cy="1466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64477</xdr:colOff>
      <xdr:row>6</xdr:row>
      <xdr:rowOff>152403</xdr:rowOff>
    </xdr:from>
    <xdr:to>
      <xdr:col>9</xdr:col>
      <xdr:colOff>696058</xdr:colOff>
      <xdr:row>6</xdr:row>
      <xdr:rowOff>153865</xdr:rowOff>
    </xdr:to>
    <xdr:cxnSp macro="">
      <xdr:nvCxnSpPr>
        <xdr:cNvPr id="31" name="30 Conector rec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7581900" y="1339365"/>
          <a:ext cx="631581" cy="1462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63011</xdr:colOff>
      <xdr:row>8</xdr:row>
      <xdr:rowOff>63015</xdr:rowOff>
    </xdr:from>
    <xdr:to>
      <xdr:col>9</xdr:col>
      <xdr:colOff>468923</xdr:colOff>
      <xdr:row>8</xdr:row>
      <xdr:rowOff>65942</xdr:rowOff>
    </xdr:to>
    <xdr:cxnSp macro="">
      <xdr:nvCxnSpPr>
        <xdr:cNvPr id="35" name="34 Conector rect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7580434" y="1616323"/>
          <a:ext cx="405912" cy="2927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461596</xdr:colOff>
      <xdr:row>8</xdr:row>
      <xdr:rowOff>73269</xdr:rowOff>
    </xdr:from>
    <xdr:to>
      <xdr:col>9</xdr:col>
      <xdr:colOff>468923</xdr:colOff>
      <xdr:row>10</xdr:row>
      <xdr:rowOff>139211</xdr:rowOff>
    </xdr:to>
    <xdr:cxnSp macro="">
      <xdr:nvCxnSpPr>
        <xdr:cNvPr id="40" name="39 Conector recto de flecha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>
          <a:off x="7979019" y="1626577"/>
          <a:ext cx="7327" cy="432288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710712</xdr:colOff>
      <xdr:row>6</xdr:row>
      <xdr:rowOff>146538</xdr:rowOff>
    </xdr:from>
    <xdr:to>
      <xdr:col>9</xdr:col>
      <xdr:colOff>725365</xdr:colOff>
      <xdr:row>10</xdr:row>
      <xdr:rowOff>109904</xdr:rowOff>
    </xdr:to>
    <xdr:cxnSp macro="">
      <xdr:nvCxnSpPr>
        <xdr:cNvPr id="42" name="41 Conector recto de flecha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>
          <a:off x="8228135" y="1333500"/>
          <a:ext cx="14653" cy="696058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80596</xdr:colOff>
      <xdr:row>5</xdr:row>
      <xdr:rowOff>43962</xdr:rowOff>
    </xdr:from>
    <xdr:to>
      <xdr:col>10</xdr:col>
      <xdr:colOff>95250</xdr:colOff>
      <xdr:row>10</xdr:row>
      <xdr:rowOff>102577</xdr:rowOff>
    </xdr:to>
    <xdr:cxnSp macro="">
      <xdr:nvCxnSpPr>
        <xdr:cNvPr id="44" name="43 Conector recto de flecha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8433288" y="1047750"/>
          <a:ext cx="14654" cy="974481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197827</xdr:colOff>
      <xdr:row>4</xdr:row>
      <xdr:rowOff>80596</xdr:rowOff>
    </xdr:from>
    <xdr:to>
      <xdr:col>6</xdr:col>
      <xdr:colOff>353275</xdr:colOff>
      <xdr:row>9</xdr:row>
      <xdr:rowOff>79130</xdr:rowOff>
    </xdr:to>
    <xdr:sp macro="" textlink="">
      <xdr:nvSpPr>
        <xdr:cNvPr id="45" name="44 Abrir llav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>
          <a:off x="5209442" y="901211"/>
          <a:ext cx="155448" cy="914400"/>
        </a:xfrm>
        <a:prstGeom prst="leftBrace">
          <a:avLst/>
        </a:prstGeom>
        <a:ln w="28575"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732692</xdr:colOff>
      <xdr:row>5</xdr:row>
      <xdr:rowOff>175848</xdr:rowOff>
    </xdr:from>
    <xdr:to>
      <xdr:col>6</xdr:col>
      <xdr:colOff>43963</xdr:colOff>
      <xdr:row>11</xdr:row>
      <xdr:rowOff>55217</xdr:rowOff>
    </xdr:to>
    <xdr:sp macro="" textlink="">
      <xdr:nvSpPr>
        <xdr:cNvPr id="46" name="45 Flecha abaj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4909038" y="1179636"/>
          <a:ext cx="146540" cy="978408"/>
        </a:xfrm>
        <a:prstGeom prst="downArrow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5</xdr:col>
      <xdr:colOff>762000</xdr:colOff>
      <xdr:row>5</xdr:row>
      <xdr:rowOff>73271</xdr:rowOff>
    </xdr:from>
    <xdr:to>
      <xdr:col>6</xdr:col>
      <xdr:colOff>227135</xdr:colOff>
      <xdr:row>5</xdr:row>
      <xdr:rowOff>161194</xdr:rowOff>
    </xdr:to>
    <xdr:sp macro="" textlink="">
      <xdr:nvSpPr>
        <xdr:cNvPr id="47" name="46 Rectángulo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4938346" y="1077059"/>
          <a:ext cx="300404" cy="87923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3</xdr:col>
      <xdr:colOff>7327</xdr:colOff>
      <xdr:row>9</xdr:row>
      <xdr:rowOff>117230</xdr:rowOff>
    </xdr:from>
    <xdr:ext cx="1663211" cy="416781"/>
    <xdr:sp macro="" textlink="">
      <xdr:nvSpPr>
        <xdr:cNvPr id="48" name="47 CuadroTexto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/>
      </xdr:nvSpPr>
      <xdr:spPr>
        <a:xfrm>
          <a:off x="2513135" y="1853711"/>
          <a:ext cx="1663211" cy="4167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PE" sz="11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Plan</a:t>
          </a:r>
          <a:r>
            <a:rPr lang="es-PE" sz="1100" baseline="0">
              <a:solidFill>
                <a:schemeClr val="tx2"/>
              </a:solidFill>
              <a:latin typeface="Arial" pitchFamily="34" charset="0"/>
              <a:cs typeface="Arial" pitchFamily="34" charset="0"/>
            </a:rPr>
            <a:t> Cuentas </a:t>
          </a:r>
          <a:r>
            <a:rPr lang="es-PE" sz="1100">
              <a:solidFill>
                <a:schemeClr val="tx2"/>
              </a:solidFill>
              <a:latin typeface="Arial" pitchFamily="34" charset="0"/>
              <a:cs typeface="Arial" pitchFamily="34" charset="0"/>
            </a:rPr>
            <a:t>de Actividades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209550</xdr:colOff>
      <xdr:row>1</xdr:row>
      <xdr:rowOff>47625</xdr:rowOff>
    </xdr:from>
    <xdr:to>
      <xdr:col>9</xdr:col>
      <xdr:colOff>200025</xdr:colOff>
      <xdr:row>21</xdr:row>
      <xdr:rowOff>171450</xdr:rowOff>
    </xdr:to>
    <xdr:sp macro="" textlink="">
      <xdr:nvSpPr>
        <xdr:cNvPr id="2" name="1 Rectángulo redondead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09550" y="228600"/>
          <a:ext cx="7534275" cy="3743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800" b="1">
              <a:solidFill>
                <a:schemeClr val="bg1"/>
              </a:solidFill>
              <a:latin typeface="Arial" pitchFamily="34" charset="0"/>
              <a:cs typeface="Arial" pitchFamily="34" charset="0"/>
            </a:rPr>
            <a:t>CALCULO DE COSTOS INDIRECTOS POR EL SISTEMA DE COSTEO POR ORDEN</a:t>
          </a:r>
          <a:r>
            <a:rPr lang="es-PE" sz="2800" b="1" baseline="0">
              <a:solidFill>
                <a:schemeClr val="bg1"/>
              </a:solidFill>
              <a:latin typeface="Arial" pitchFamily="34" charset="0"/>
              <a:cs typeface="Arial" pitchFamily="34" charset="0"/>
            </a:rPr>
            <a:t> TRABAJO BASADO EN ACTIVIDADES</a:t>
          </a:r>
        </a:p>
        <a:p>
          <a:pPr algn="ctr"/>
          <a:r>
            <a:rPr lang="es-PE" sz="2800" b="1" baseline="0">
              <a:solidFill>
                <a:schemeClr val="bg1"/>
              </a:solidFill>
              <a:latin typeface="Arial" pitchFamily="34" charset="0"/>
              <a:cs typeface="Arial" pitchFamily="34" charset="0"/>
            </a:rPr>
            <a:t>Modelo II Real</a:t>
          </a:r>
          <a:endParaRPr lang="es-PE" sz="2800" b="1">
            <a:solidFill>
              <a:schemeClr val="bg1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182562</xdr:colOff>
      <xdr:row>5</xdr:row>
      <xdr:rowOff>87313</xdr:rowOff>
    </xdr:from>
    <xdr:to>
      <xdr:col>4</xdr:col>
      <xdr:colOff>667194</xdr:colOff>
      <xdr:row>10</xdr:row>
      <xdr:rowOff>152909</xdr:rowOff>
    </xdr:to>
    <xdr:sp macro="" textlink="">
      <xdr:nvSpPr>
        <xdr:cNvPr id="2" name="1 Flecha abajo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548062" y="1031876"/>
          <a:ext cx="484632" cy="978408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690563</xdr:colOff>
      <xdr:row>11</xdr:row>
      <xdr:rowOff>39687</xdr:rowOff>
    </xdr:from>
    <xdr:to>
      <xdr:col>6</xdr:col>
      <xdr:colOff>412750</xdr:colOff>
      <xdr:row>15</xdr:row>
      <xdr:rowOff>166687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2373313" y="2079625"/>
          <a:ext cx="3087687" cy="85725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2000" b="1">
              <a:solidFill>
                <a:schemeClr val="tx1"/>
              </a:solidFill>
              <a:latin typeface="Arial" pitchFamily="34" charset="0"/>
              <a:cs typeface="Arial" pitchFamily="34" charset="0"/>
            </a:rPr>
            <a:t>ASIENTOS CONTABLES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zoomScaleNormal="100" workbookViewId="0"/>
  </sheetViews>
  <sheetFormatPr baseColWidth="10" defaultRowHeight="14.25" x14ac:dyDescent="0.2"/>
  <sheetData>
    <row r="1" spans="1:1" ht="15" x14ac:dyDescent="0.25">
      <c r="A1" s="1" t="s">
        <v>87</v>
      </c>
    </row>
    <row r="2" spans="1:1" ht="15" x14ac:dyDescent="0.25">
      <c r="A2" s="1" t="s">
        <v>0</v>
      </c>
    </row>
    <row r="3" spans="1:1" ht="6" customHeight="1" x14ac:dyDescent="0.2"/>
    <row r="4" spans="1:1" ht="20.25" x14ac:dyDescent="0.3">
      <c r="A4" s="7" t="s">
        <v>88</v>
      </c>
    </row>
    <row r="23" spans="1:1" ht="10.5" customHeight="1" x14ac:dyDescent="0.2"/>
    <row r="24" spans="1:1" ht="15" x14ac:dyDescent="0.25">
      <c r="A24" s="1" t="s">
        <v>106</v>
      </c>
    </row>
    <row r="25" spans="1:1" ht="15" x14ac:dyDescent="0.25">
      <c r="A25" s="1" t="s">
        <v>107</v>
      </c>
    </row>
    <row r="26" spans="1:1" ht="15" x14ac:dyDescent="0.25">
      <c r="A26" s="1" t="s">
        <v>108</v>
      </c>
    </row>
    <row r="27" spans="1:1" ht="15" x14ac:dyDescent="0.25">
      <c r="A27" s="1" t="s">
        <v>195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6"/>
  <sheetViews>
    <sheetView topLeftCell="C1" zoomScaleNormal="100" workbookViewId="0">
      <selection activeCell="O9" sqref="O9"/>
    </sheetView>
  </sheetViews>
  <sheetFormatPr baseColWidth="10" defaultRowHeight="14.25" x14ac:dyDescent="0.2"/>
  <cols>
    <col min="2" max="2" width="30" customWidth="1"/>
    <col min="9" max="9" width="2" customWidth="1"/>
    <col min="13" max="13" width="12.625" bestFit="1" customWidth="1"/>
    <col min="14" max="14" width="11.25" bestFit="1" customWidth="1"/>
    <col min="15" max="15" width="12.625" bestFit="1" customWidth="1"/>
  </cols>
  <sheetData>
    <row r="1" spans="1:15" ht="15" x14ac:dyDescent="0.25">
      <c r="A1" s="1" t="s">
        <v>1</v>
      </c>
    </row>
    <row r="2" spans="1:15" ht="15" x14ac:dyDescent="0.25">
      <c r="A2" s="1" t="s">
        <v>2</v>
      </c>
    </row>
    <row r="3" spans="1:15" ht="15" x14ac:dyDescent="0.25">
      <c r="A3" s="1" t="s">
        <v>171</v>
      </c>
    </row>
    <row r="4" spans="1:15" ht="15" x14ac:dyDescent="0.25">
      <c r="A4" s="1" t="s">
        <v>172</v>
      </c>
    </row>
    <row r="5" spans="1:15" ht="15" x14ac:dyDescent="0.25">
      <c r="A5" s="1" t="s">
        <v>5</v>
      </c>
      <c r="D5" s="1" t="s">
        <v>6</v>
      </c>
    </row>
    <row r="7" spans="1:15" ht="15" x14ac:dyDescent="0.25">
      <c r="A7" s="1" t="s">
        <v>89</v>
      </c>
      <c r="E7" s="1" t="s">
        <v>90</v>
      </c>
      <c r="J7" s="1" t="s">
        <v>97</v>
      </c>
    </row>
    <row r="8" spans="1:15" ht="15" x14ac:dyDescent="0.25">
      <c r="A8" s="25" t="s">
        <v>3</v>
      </c>
      <c r="B8" s="25" t="s">
        <v>4</v>
      </c>
      <c r="C8" s="26" t="s">
        <v>7</v>
      </c>
      <c r="E8" s="25" t="s">
        <v>3</v>
      </c>
      <c r="F8" s="25" t="s">
        <v>4</v>
      </c>
      <c r="G8" s="26" t="s">
        <v>91</v>
      </c>
      <c r="H8" s="9" t="s">
        <v>92</v>
      </c>
      <c r="J8" s="25" t="s">
        <v>3</v>
      </c>
      <c r="K8" s="61" t="s">
        <v>102</v>
      </c>
      <c r="L8" s="62"/>
      <c r="M8" s="25" t="s">
        <v>219</v>
      </c>
      <c r="N8" s="25" t="s">
        <v>220</v>
      </c>
      <c r="O8" s="25" t="s">
        <v>103</v>
      </c>
    </row>
    <row r="9" spans="1:15" ht="15" x14ac:dyDescent="0.25">
      <c r="A9" s="3" t="s">
        <v>8</v>
      </c>
      <c r="B9" s="3" t="s">
        <v>18</v>
      </c>
      <c r="C9" s="23">
        <v>3500</v>
      </c>
      <c r="E9" s="3" t="s">
        <v>93</v>
      </c>
      <c r="F9" s="3" t="s">
        <v>109</v>
      </c>
      <c r="G9" s="21" t="s">
        <v>110</v>
      </c>
      <c r="H9" s="21">
        <v>30</v>
      </c>
      <c r="J9" s="3" t="s">
        <v>98</v>
      </c>
      <c r="K9" s="57" t="s">
        <v>201</v>
      </c>
      <c r="L9" s="58"/>
      <c r="M9" s="5">
        <f>2500+420+150</f>
        <v>3070</v>
      </c>
      <c r="N9" s="5">
        <f>7*6*4</f>
        <v>168</v>
      </c>
      <c r="O9" s="41">
        <f>M9/N9</f>
        <v>18.273809523809526</v>
      </c>
    </row>
    <row r="10" spans="1:15" ht="15" x14ac:dyDescent="0.25">
      <c r="A10" s="3" t="s">
        <v>9</v>
      </c>
      <c r="B10" s="3" t="s">
        <v>19</v>
      </c>
      <c r="C10" s="23">
        <v>1260</v>
      </c>
      <c r="E10" s="3" t="s">
        <v>94</v>
      </c>
      <c r="F10" s="3" t="s">
        <v>111</v>
      </c>
      <c r="G10" s="21" t="s">
        <v>110</v>
      </c>
      <c r="H10" s="21">
        <v>18</v>
      </c>
      <c r="J10" s="3" t="s">
        <v>99</v>
      </c>
      <c r="K10" s="57" t="s">
        <v>221</v>
      </c>
      <c r="L10" s="58"/>
      <c r="M10" s="5">
        <f>1920+160+87</f>
        <v>2167</v>
      </c>
      <c r="N10" s="5">
        <f>7.1*6*4</f>
        <v>170.39999999999998</v>
      </c>
      <c r="O10" s="41">
        <f t="shared" ref="O10:O12" si="0">M10/N10</f>
        <v>12.717136150234744</v>
      </c>
    </row>
    <row r="11" spans="1:15" ht="15" x14ac:dyDescent="0.25">
      <c r="A11" s="3" t="s">
        <v>10</v>
      </c>
      <c r="B11" s="3" t="s">
        <v>20</v>
      </c>
      <c r="C11" s="23">
        <v>3650</v>
      </c>
      <c r="E11" s="3" t="s">
        <v>95</v>
      </c>
      <c r="F11" s="3" t="s">
        <v>113</v>
      </c>
      <c r="G11" s="21" t="s">
        <v>115</v>
      </c>
      <c r="H11" s="21">
        <v>90</v>
      </c>
      <c r="J11" s="3" t="s">
        <v>100</v>
      </c>
      <c r="K11" s="57" t="s">
        <v>202</v>
      </c>
      <c r="L11" s="58"/>
      <c r="M11" s="5">
        <f>1789+210.6+110.6</f>
        <v>2110.1999999999998</v>
      </c>
      <c r="N11" s="5">
        <f>6.98*6*4</f>
        <v>167.52</v>
      </c>
      <c r="O11" s="41">
        <f t="shared" si="0"/>
        <v>12.596704871060171</v>
      </c>
    </row>
    <row r="12" spans="1:15" ht="15" x14ac:dyDescent="0.25">
      <c r="A12" s="3" t="s">
        <v>11</v>
      </c>
      <c r="B12" s="3" t="s">
        <v>21</v>
      </c>
      <c r="C12" s="23">
        <v>4960</v>
      </c>
      <c r="E12" s="3" t="s">
        <v>96</v>
      </c>
      <c r="F12" s="3" t="s">
        <v>114</v>
      </c>
      <c r="G12" s="21" t="s">
        <v>110</v>
      </c>
      <c r="H12" s="21">
        <v>70</v>
      </c>
      <c r="J12" s="3" t="s">
        <v>101</v>
      </c>
      <c r="K12" s="57" t="s">
        <v>203</v>
      </c>
      <c r="L12" s="58"/>
      <c r="M12" s="5">
        <f>960+120+85</f>
        <v>1165</v>
      </c>
      <c r="N12" s="5">
        <f>7.2*6*4</f>
        <v>172.8</v>
      </c>
      <c r="O12" s="41">
        <f t="shared" si="0"/>
        <v>6.7418981481481479</v>
      </c>
    </row>
    <row r="13" spans="1:15" x14ac:dyDescent="0.2">
      <c r="A13" s="3" t="s">
        <v>12</v>
      </c>
      <c r="B13" s="3" t="s">
        <v>22</v>
      </c>
      <c r="C13" s="23">
        <v>3580</v>
      </c>
      <c r="E13" s="3" t="s">
        <v>104</v>
      </c>
      <c r="F13" s="3" t="s">
        <v>112</v>
      </c>
      <c r="G13" s="21" t="s">
        <v>115</v>
      </c>
      <c r="H13" s="21">
        <v>0.1</v>
      </c>
    </row>
    <row r="14" spans="1:15" x14ac:dyDescent="0.2">
      <c r="A14" s="3" t="s">
        <v>13</v>
      </c>
      <c r="B14" s="3" t="s">
        <v>23</v>
      </c>
      <c r="C14" s="23">
        <v>1250</v>
      </c>
      <c r="E14" s="3" t="s">
        <v>105</v>
      </c>
      <c r="F14" s="3" t="s">
        <v>129</v>
      </c>
      <c r="G14" s="21" t="s">
        <v>115</v>
      </c>
      <c r="H14" s="21">
        <v>5</v>
      </c>
    </row>
    <row r="15" spans="1:15" x14ac:dyDescent="0.2">
      <c r="A15" s="3" t="s">
        <v>14</v>
      </c>
      <c r="B15" s="3" t="s">
        <v>24</v>
      </c>
      <c r="C15" s="23">
        <v>4560</v>
      </c>
      <c r="E15" s="3" t="s">
        <v>131</v>
      </c>
      <c r="F15" s="3" t="s">
        <v>130</v>
      </c>
      <c r="G15" s="21" t="s">
        <v>115</v>
      </c>
      <c r="H15" s="21">
        <v>10</v>
      </c>
    </row>
    <row r="16" spans="1:15" x14ac:dyDescent="0.2">
      <c r="A16" s="3" t="s">
        <v>15</v>
      </c>
      <c r="B16" s="3" t="s">
        <v>25</v>
      </c>
      <c r="C16" s="23">
        <v>750</v>
      </c>
    </row>
    <row r="17" spans="1:7" x14ac:dyDescent="0.2">
      <c r="A17" s="3" t="s">
        <v>16</v>
      </c>
      <c r="B17" s="3" t="s">
        <v>26</v>
      </c>
      <c r="C17" s="23">
        <v>2580</v>
      </c>
    </row>
    <row r="18" spans="1:7" x14ac:dyDescent="0.2">
      <c r="A18" s="3" t="s">
        <v>17</v>
      </c>
      <c r="B18" s="3" t="s">
        <v>27</v>
      </c>
      <c r="C18" s="23">
        <v>5460</v>
      </c>
    </row>
    <row r="19" spans="1:7" ht="15" x14ac:dyDescent="0.25">
      <c r="A19" s="3"/>
      <c r="B19" s="22" t="s">
        <v>28</v>
      </c>
      <c r="C19" s="24">
        <f>SUM(C9:C18)</f>
        <v>31550</v>
      </c>
    </row>
    <row r="21" spans="1:7" ht="15" x14ac:dyDescent="0.25">
      <c r="A21" s="1" t="s">
        <v>29</v>
      </c>
      <c r="E21" s="1" t="s">
        <v>144</v>
      </c>
    </row>
    <row r="22" spans="1:7" ht="15" x14ac:dyDescent="0.25">
      <c r="A22" s="25" t="s">
        <v>3</v>
      </c>
      <c r="B22" s="25" t="s">
        <v>4</v>
      </c>
      <c r="E22" s="25" t="s">
        <v>3</v>
      </c>
      <c r="F22" s="59" t="s">
        <v>4</v>
      </c>
      <c r="G22" s="60"/>
    </row>
    <row r="23" spans="1:7" x14ac:dyDescent="0.2">
      <c r="A23" s="3" t="s">
        <v>30</v>
      </c>
      <c r="B23" s="3" t="s">
        <v>42</v>
      </c>
      <c r="E23" s="3" t="s">
        <v>145</v>
      </c>
      <c r="F23" s="3" t="s">
        <v>152</v>
      </c>
      <c r="G23" s="3"/>
    </row>
    <row r="24" spans="1:7" x14ac:dyDescent="0.2">
      <c r="A24" s="3" t="s">
        <v>31</v>
      </c>
      <c r="B24" s="3" t="s">
        <v>43</v>
      </c>
      <c r="E24" s="3" t="s">
        <v>146</v>
      </c>
      <c r="F24" s="57" t="s">
        <v>153</v>
      </c>
      <c r="G24" s="58"/>
    </row>
    <row r="25" spans="1:7" x14ac:dyDescent="0.2">
      <c r="A25" s="3" t="s">
        <v>32</v>
      </c>
      <c r="B25" s="3" t="s">
        <v>44</v>
      </c>
      <c r="E25" s="3" t="s">
        <v>147</v>
      </c>
      <c r="F25" s="57" t="s">
        <v>154</v>
      </c>
      <c r="G25" s="58"/>
    </row>
    <row r="26" spans="1:7" x14ac:dyDescent="0.2">
      <c r="A26" s="3" t="s">
        <v>33</v>
      </c>
      <c r="B26" s="3" t="s">
        <v>45</v>
      </c>
      <c r="E26" s="3" t="s">
        <v>148</v>
      </c>
      <c r="F26" s="57" t="s">
        <v>114</v>
      </c>
      <c r="G26" s="58"/>
    </row>
    <row r="27" spans="1:7" x14ac:dyDescent="0.2">
      <c r="A27" s="3" t="s">
        <v>34</v>
      </c>
      <c r="B27" s="3" t="s">
        <v>46</v>
      </c>
      <c r="E27" s="3" t="s">
        <v>149</v>
      </c>
      <c r="F27" s="3" t="s">
        <v>155</v>
      </c>
      <c r="G27" s="3"/>
    </row>
    <row r="28" spans="1:7" x14ac:dyDescent="0.2">
      <c r="A28" s="3" t="s">
        <v>35</v>
      </c>
      <c r="B28" s="3" t="s">
        <v>47</v>
      </c>
      <c r="E28" s="3" t="s">
        <v>150</v>
      </c>
      <c r="F28" s="3" t="s">
        <v>156</v>
      </c>
      <c r="G28" s="3"/>
    </row>
    <row r="29" spans="1:7" x14ac:dyDescent="0.2">
      <c r="A29" s="3" t="s">
        <v>36</v>
      </c>
      <c r="B29" s="3" t="s">
        <v>48</v>
      </c>
      <c r="E29" s="3" t="s">
        <v>151</v>
      </c>
      <c r="F29" s="3" t="s">
        <v>157</v>
      </c>
      <c r="G29" s="3"/>
    </row>
    <row r="30" spans="1:7" x14ac:dyDescent="0.2">
      <c r="A30" s="3" t="s">
        <v>37</v>
      </c>
      <c r="B30" s="3" t="s">
        <v>49</v>
      </c>
      <c r="E30" s="3" t="s">
        <v>159</v>
      </c>
      <c r="F30" s="3" t="s">
        <v>158</v>
      </c>
      <c r="G30" s="3"/>
    </row>
    <row r="31" spans="1:7" x14ac:dyDescent="0.2">
      <c r="A31" s="3" t="s">
        <v>38</v>
      </c>
      <c r="B31" s="3" t="s">
        <v>50</v>
      </c>
    </row>
    <row r="32" spans="1:7" x14ac:dyDescent="0.2">
      <c r="A32" s="3" t="s">
        <v>39</v>
      </c>
      <c r="B32" s="3" t="s">
        <v>51</v>
      </c>
    </row>
    <row r="33" spans="1:6" x14ac:dyDescent="0.2">
      <c r="A33" s="3" t="s">
        <v>40</v>
      </c>
      <c r="B33" s="3" t="s">
        <v>52</v>
      </c>
    </row>
    <row r="34" spans="1:6" x14ac:dyDescent="0.2">
      <c r="A34" s="3" t="s">
        <v>41</v>
      </c>
      <c r="B34" s="3" t="s">
        <v>53</v>
      </c>
    </row>
    <row r="36" spans="1:6" ht="15" x14ac:dyDescent="0.25">
      <c r="A36" s="1" t="s">
        <v>54</v>
      </c>
    </row>
    <row r="37" spans="1:6" ht="15" x14ac:dyDescent="0.25">
      <c r="A37" s="25" t="s">
        <v>3</v>
      </c>
      <c r="B37" s="9" t="s">
        <v>122</v>
      </c>
      <c r="C37" s="59" t="s">
        <v>4</v>
      </c>
      <c r="D37" s="60"/>
      <c r="E37" s="25" t="s">
        <v>125</v>
      </c>
    </row>
    <row r="38" spans="1:6" x14ac:dyDescent="0.2">
      <c r="A38" s="3" t="s">
        <v>117</v>
      </c>
      <c r="B38" s="21">
        <v>200</v>
      </c>
      <c r="C38" s="57" t="s">
        <v>55</v>
      </c>
      <c r="D38" s="58"/>
      <c r="E38" s="3" t="s">
        <v>126</v>
      </c>
    </row>
    <row r="39" spans="1:6" x14ac:dyDescent="0.2">
      <c r="A39" s="3" t="s">
        <v>118</v>
      </c>
      <c r="B39" s="21">
        <v>100</v>
      </c>
      <c r="C39" s="3" t="s">
        <v>56</v>
      </c>
      <c r="D39" s="3"/>
      <c r="E39" s="3" t="s">
        <v>126</v>
      </c>
    </row>
    <row r="40" spans="1:6" x14ac:dyDescent="0.2">
      <c r="A40" s="3" t="s">
        <v>119</v>
      </c>
      <c r="B40" s="21">
        <v>300</v>
      </c>
      <c r="C40" s="3" t="s">
        <v>57</v>
      </c>
      <c r="D40" s="3"/>
      <c r="E40" s="3" t="s">
        <v>127</v>
      </c>
      <c r="F40" s="52" t="s">
        <v>240</v>
      </c>
    </row>
    <row r="41" spans="1:6" x14ac:dyDescent="0.2">
      <c r="A41" s="3" t="s">
        <v>120</v>
      </c>
      <c r="B41" s="21">
        <v>500</v>
      </c>
      <c r="C41" s="3" t="s">
        <v>58</v>
      </c>
      <c r="D41" s="3"/>
      <c r="E41" s="3" t="s">
        <v>127</v>
      </c>
      <c r="F41" s="52" t="s">
        <v>240</v>
      </c>
    </row>
    <row r="42" spans="1:6" x14ac:dyDescent="0.2">
      <c r="A42" s="3" t="s">
        <v>121</v>
      </c>
      <c r="B42" s="21">
        <v>620</v>
      </c>
      <c r="C42" s="3" t="s">
        <v>59</v>
      </c>
      <c r="D42" s="3"/>
      <c r="E42" s="3" t="s">
        <v>126</v>
      </c>
    </row>
    <row r="43" spans="1:6" x14ac:dyDescent="0.2">
      <c r="A43" s="53" t="s">
        <v>237</v>
      </c>
      <c r="B43" s="54">
        <v>450</v>
      </c>
      <c r="C43" s="53" t="s">
        <v>241</v>
      </c>
      <c r="D43" s="53"/>
      <c r="E43" s="53" t="s">
        <v>126</v>
      </c>
    </row>
    <row r="45" spans="1:6" x14ac:dyDescent="0.2">
      <c r="B45" t="s">
        <v>186</v>
      </c>
      <c r="C45" t="s">
        <v>185</v>
      </c>
      <c r="D45" t="s">
        <v>238</v>
      </c>
      <c r="E45" t="s">
        <v>28</v>
      </c>
    </row>
    <row r="46" spans="1:6" x14ac:dyDescent="0.2">
      <c r="A46" t="s">
        <v>237</v>
      </c>
      <c r="B46" s="51">
        <v>1500</v>
      </c>
      <c r="C46" s="51">
        <v>2000</v>
      </c>
      <c r="D46" s="51">
        <v>1250</v>
      </c>
      <c r="E46" s="51">
        <f>SUM(B46:D46)</f>
        <v>4750</v>
      </c>
      <c r="F46" t="s">
        <v>239</v>
      </c>
    </row>
  </sheetData>
  <mergeCells count="11">
    <mergeCell ref="K9:L9"/>
    <mergeCell ref="K12:L12"/>
    <mergeCell ref="K10:L10"/>
    <mergeCell ref="K11:L11"/>
    <mergeCell ref="K8:L8"/>
    <mergeCell ref="C38:D38"/>
    <mergeCell ref="F22:G22"/>
    <mergeCell ref="F24:G24"/>
    <mergeCell ref="F25:G25"/>
    <mergeCell ref="F26:G26"/>
    <mergeCell ref="C37:D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"/>
  <sheetViews>
    <sheetView workbookViewId="0">
      <selection activeCell="G1" sqref="G1"/>
    </sheetView>
  </sheetViews>
  <sheetFormatPr baseColWidth="10" defaultRowHeight="14.25" x14ac:dyDescent="0.2"/>
  <cols>
    <col min="2" max="2" width="12.25" customWidth="1"/>
    <col min="3" max="3" width="14" customWidth="1"/>
    <col min="8" max="8" width="12.25" customWidth="1"/>
  </cols>
  <sheetData>
    <row r="1" spans="1:8" ht="15" x14ac:dyDescent="0.25">
      <c r="A1" s="1" t="s">
        <v>116</v>
      </c>
    </row>
    <row r="3" spans="1:8" ht="15" x14ac:dyDescent="0.25">
      <c r="A3" s="1" t="s">
        <v>123</v>
      </c>
    </row>
    <row r="4" spans="1:8" ht="15" x14ac:dyDescent="0.25">
      <c r="D4" s="9" t="s">
        <v>117</v>
      </c>
      <c r="E4" s="9" t="s">
        <v>118</v>
      </c>
      <c r="F4" s="9" t="s">
        <v>119</v>
      </c>
      <c r="G4" s="9" t="s">
        <v>120</v>
      </c>
      <c r="H4" s="9" t="s">
        <v>121</v>
      </c>
    </row>
    <row r="5" spans="1:8" ht="15" x14ac:dyDescent="0.25">
      <c r="A5" s="10" t="s">
        <v>124</v>
      </c>
      <c r="B5" s="10" t="s">
        <v>4</v>
      </c>
      <c r="C5" s="10" t="s">
        <v>128</v>
      </c>
      <c r="D5" s="9" t="s">
        <v>133</v>
      </c>
      <c r="E5" s="9" t="s">
        <v>134</v>
      </c>
      <c r="F5" s="9" t="s">
        <v>135</v>
      </c>
      <c r="G5" s="9" t="s">
        <v>136</v>
      </c>
      <c r="H5" s="9" t="s">
        <v>137</v>
      </c>
    </row>
    <row r="6" spans="1:8" ht="15" x14ac:dyDescent="0.25">
      <c r="A6" s="10"/>
      <c r="B6" s="10"/>
      <c r="C6" s="10" t="s">
        <v>122</v>
      </c>
      <c r="D6" s="9">
        <f>Data!B38</f>
        <v>200</v>
      </c>
      <c r="E6" s="9">
        <f>Data!B39</f>
        <v>100</v>
      </c>
      <c r="F6" s="9">
        <f>Data!B40</f>
        <v>300</v>
      </c>
      <c r="G6" s="9">
        <f>Data!B41</f>
        <v>500</v>
      </c>
      <c r="H6" s="9">
        <f>Data!B42</f>
        <v>620</v>
      </c>
    </row>
    <row r="7" spans="1:8" x14ac:dyDescent="0.2">
      <c r="A7" s="3" t="s">
        <v>93</v>
      </c>
      <c r="B7" s="3" t="s">
        <v>109</v>
      </c>
      <c r="C7" s="3" t="s">
        <v>110</v>
      </c>
      <c r="D7" s="5">
        <f>0.8*20</f>
        <v>16</v>
      </c>
      <c r="E7" s="5">
        <f>1.1*10</f>
        <v>11</v>
      </c>
      <c r="F7" s="5">
        <f>1.6*30</f>
        <v>48</v>
      </c>
      <c r="G7" s="5">
        <f>1.9*50</f>
        <v>95</v>
      </c>
      <c r="H7" s="5">
        <f>2.2*120</f>
        <v>264</v>
      </c>
    </row>
    <row r="8" spans="1:8" x14ac:dyDescent="0.2">
      <c r="A8" s="3" t="s">
        <v>94</v>
      </c>
      <c r="B8" s="3" t="s">
        <v>111</v>
      </c>
      <c r="C8" s="3" t="s">
        <v>110</v>
      </c>
      <c r="D8" s="5">
        <f>0.3*20</f>
        <v>6</v>
      </c>
      <c r="E8" s="5">
        <f>0.5*10</f>
        <v>5</v>
      </c>
      <c r="F8" s="5">
        <f>1.1*30</f>
        <v>33</v>
      </c>
      <c r="G8" s="5">
        <f>1.7*50</f>
        <v>85</v>
      </c>
      <c r="H8" s="5">
        <f>1.9*120</f>
        <v>228</v>
      </c>
    </row>
    <row r="9" spans="1:8" x14ac:dyDescent="0.2">
      <c r="A9" s="3" t="s">
        <v>95</v>
      </c>
      <c r="B9" s="3" t="s">
        <v>113</v>
      </c>
      <c r="C9" s="3" t="s">
        <v>115</v>
      </c>
      <c r="D9" s="5">
        <f>5*20</f>
        <v>100</v>
      </c>
      <c r="E9" s="5">
        <f>8*10</f>
        <v>80</v>
      </c>
      <c r="F9" s="5">
        <f>12*30</f>
        <v>360</v>
      </c>
      <c r="G9" s="5">
        <f>13*50</f>
        <v>650</v>
      </c>
      <c r="H9" s="5">
        <f>14*120</f>
        <v>1680</v>
      </c>
    </row>
    <row r="10" spans="1:8" x14ac:dyDescent="0.2">
      <c r="A10" s="3" t="s">
        <v>96</v>
      </c>
      <c r="B10" s="3" t="s">
        <v>114</v>
      </c>
      <c r="C10" s="3" t="s">
        <v>110</v>
      </c>
      <c r="D10" s="5">
        <v>0</v>
      </c>
      <c r="E10" s="5">
        <v>0</v>
      </c>
      <c r="F10" s="5">
        <f>0.3*30</f>
        <v>9</v>
      </c>
      <c r="G10" s="5">
        <f>0.5*50</f>
        <v>25</v>
      </c>
      <c r="H10" s="5">
        <f>0.7*120</f>
        <v>84</v>
      </c>
    </row>
    <row r="11" spans="1:8" x14ac:dyDescent="0.2">
      <c r="A11" s="3" t="s">
        <v>104</v>
      </c>
      <c r="B11" s="3" t="s">
        <v>112</v>
      </c>
      <c r="C11" s="3" t="s">
        <v>115</v>
      </c>
      <c r="D11" s="5">
        <f>1*20</f>
        <v>20</v>
      </c>
      <c r="E11" s="5">
        <f>1*10</f>
        <v>10</v>
      </c>
      <c r="F11" s="5">
        <f>1*30</f>
        <v>30</v>
      </c>
      <c r="G11" s="5">
        <f>1*50</f>
        <v>50</v>
      </c>
      <c r="H11" s="5">
        <f>1*120</f>
        <v>120</v>
      </c>
    </row>
    <row r="12" spans="1:8" x14ac:dyDescent="0.2">
      <c r="A12" s="3" t="s">
        <v>105</v>
      </c>
      <c r="B12" s="3" t="s">
        <v>129</v>
      </c>
      <c r="C12" s="3" t="s">
        <v>115</v>
      </c>
      <c r="D12" s="5">
        <f t="shared" ref="D12:D13" si="0">1*20</f>
        <v>20</v>
      </c>
      <c r="E12" s="5">
        <f t="shared" ref="E12:E13" si="1">1*10</f>
        <v>10</v>
      </c>
      <c r="F12" s="5">
        <f t="shared" ref="F12:F13" si="2">1*30</f>
        <v>30</v>
      </c>
      <c r="G12" s="5">
        <f t="shared" ref="G12:G13" si="3">1*50</f>
        <v>50</v>
      </c>
      <c r="H12" s="5">
        <f t="shared" ref="H12:H13" si="4">1*120</f>
        <v>120</v>
      </c>
    </row>
    <row r="13" spans="1:8" x14ac:dyDescent="0.2">
      <c r="A13" s="3" t="s">
        <v>131</v>
      </c>
      <c r="B13" s="3" t="s">
        <v>130</v>
      </c>
      <c r="C13" s="3" t="s">
        <v>115</v>
      </c>
      <c r="D13" s="5">
        <f t="shared" si="0"/>
        <v>20</v>
      </c>
      <c r="E13" s="5">
        <f t="shared" si="1"/>
        <v>10</v>
      </c>
      <c r="F13" s="5">
        <f t="shared" si="2"/>
        <v>30</v>
      </c>
      <c r="G13" s="5">
        <f t="shared" si="3"/>
        <v>50</v>
      </c>
      <c r="H13" s="5">
        <f t="shared" si="4"/>
        <v>120</v>
      </c>
    </row>
    <row r="15" spans="1:8" ht="15" x14ac:dyDescent="0.25">
      <c r="A15" s="1" t="s">
        <v>132</v>
      </c>
    </row>
    <row r="16" spans="1:8" ht="15" x14ac:dyDescent="0.25">
      <c r="D16" s="9" t="s">
        <v>117</v>
      </c>
      <c r="E16" s="9" t="s">
        <v>118</v>
      </c>
      <c r="F16" s="9" t="s">
        <v>119</v>
      </c>
      <c r="G16" s="9" t="s">
        <v>120</v>
      </c>
      <c r="H16" s="9" t="s">
        <v>121</v>
      </c>
    </row>
    <row r="17" spans="1:8" ht="15" x14ac:dyDescent="0.25">
      <c r="A17" s="10" t="s">
        <v>124</v>
      </c>
      <c r="B17" s="10" t="s">
        <v>4</v>
      </c>
      <c r="C17" s="10" t="s">
        <v>128</v>
      </c>
      <c r="D17" s="9" t="s">
        <v>133</v>
      </c>
      <c r="E17" s="9" t="s">
        <v>134</v>
      </c>
      <c r="F17" s="9" t="s">
        <v>135</v>
      </c>
      <c r="G17" s="9" t="s">
        <v>136</v>
      </c>
      <c r="H17" s="9" t="s">
        <v>137</v>
      </c>
    </row>
    <row r="18" spans="1:8" ht="15" x14ac:dyDescent="0.25">
      <c r="A18" s="10"/>
      <c r="B18" s="10"/>
      <c r="C18" s="10" t="s">
        <v>122</v>
      </c>
      <c r="D18" s="9">
        <f>D6</f>
        <v>200</v>
      </c>
      <c r="E18" s="9">
        <f t="shared" ref="E18:H18" si="5">E6</f>
        <v>100</v>
      </c>
      <c r="F18" s="9">
        <f t="shared" si="5"/>
        <v>300</v>
      </c>
      <c r="G18" s="9">
        <f t="shared" si="5"/>
        <v>500</v>
      </c>
      <c r="H18" s="9">
        <f t="shared" si="5"/>
        <v>620</v>
      </c>
    </row>
    <row r="19" spans="1:8" x14ac:dyDescent="0.2">
      <c r="A19" s="3" t="s">
        <v>93</v>
      </c>
      <c r="B19" s="3" t="s">
        <v>109</v>
      </c>
      <c r="C19" s="3" t="s">
        <v>110</v>
      </c>
      <c r="D19" s="5">
        <f>D7*Data!$H9</f>
        <v>480</v>
      </c>
      <c r="E19" s="5">
        <f>E7*Data!$H9</f>
        <v>330</v>
      </c>
      <c r="F19" s="5">
        <f>F7*Data!$H9</f>
        <v>1440</v>
      </c>
      <c r="G19" s="5">
        <f>G7*Data!$H9</f>
        <v>2850</v>
      </c>
      <c r="H19" s="5">
        <f>H7*Data!$H9</f>
        <v>7920</v>
      </c>
    </row>
    <row r="20" spans="1:8" x14ac:dyDescent="0.2">
      <c r="A20" s="3" t="s">
        <v>94</v>
      </c>
      <c r="B20" s="3" t="s">
        <v>111</v>
      </c>
      <c r="C20" s="3" t="s">
        <v>110</v>
      </c>
      <c r="D20" s="5">
        <f>D8*Data!$H10</f>
        <v>108</v>
      </c>
      <c r="E20" s="5">
        <f>E8*Data!$H10</f>
        <v>90</v>
      </c>
      <c r="F20" s="5">
        <f>F8*Data!$H10</f>
        <v>594</v>
      </c>
      <c r="G20" s="5">
        <f>G8*Data!$H10</f>
        <v>1530</v>
      </c>
      <c r="H20" s="5">
        <f>H8*Data!$H10</f>
        <v>4104</v>
      </c>
    </row>
    <row r="21" spans="1:8" x14ac:dyDescent="0.2">
      <c r="A21" s="3" t="s">
        <v>95</v>
      </c>
      <c r="B21" s="3" t="s">
        <v>113</v>
      </c>
      <c r="C21" s="3" t="s">
        <v>115</v>
      </c>
      <c r="D21" s="5">
        <f>D9*Data!$H11</f>
        <v>9000</v>
      </c>
      <c r="E21" s="5">
        <f>E9*Data!$H11</f>
        <v>7200</v>
      </c>
      <c r="F21" s="5">
        <f>F9*Data!$H11</f>
        <v>32400</v>
      </c>
      <c r="G21" s="5">
        <f>G9*Data!$H11</f>
        <v>58500</v>
      </c>
      <c r="H21" s="5">
        <f>H9*Data!$H11</f>
        <v>151200</v>
      </c>
    </row>
    <row r="22" spans="1:8" x14ac:dyDescent="0.2">
      <c r="A22" s="3" t="s">
        <v>96</v>
      </c>
      <c r="B22" s="3" t="s">
        <v>114</v>
      </c>
      <c r="C22" s="3" t="s">
        <v>110</v>
      </c>
      <c r="D22" s="5">
        <f>D10*Data!$H12</f>
        <v>0</v>
      </c>
      <c r="E22" s="5">
        <f>E10*Data!$H12</f>
        <v>0</v>
      </c>
      <c r="F22" s="5">
        <f>F10*Data!$H12</f>
        <v>630</v>
      </c>
      <c r="G22" s="5">
        <f>G10*Data!$H12</f>
        <v>1750</v>
      </c>
      <c r="H22" s="5">
        <f>H10*Data!$H12</f>
        <v>5880</v>
      </c>
    </row>
    <row r="23" spans="1:8" x14ac:dyDescent="0.2">
      <c r="A23" s="3" t="s">
        <v>104</v>
      </c>
      <c r="B23" s="3" t="s">
        <v>112</v>
      </c>
      <c r="C23" s="3" t="s">
        <v>115</v>
      </c>
      <c r="D23" s="5">
        <f>D11*Data!$H13</f>
        <v>2</v>
      </c>
      <c r="E23" s="5">
        <f>E11*Data!$H13</f>
        <v>1</v>
      </c>
      <c r="F23" s="5">
        <f>F11*Data!$H13</f>
        <v>3</v>
      </c>
      <c r="G23" s="5">
        <f>G11*Data!$H13</f>
        <v>5</v>
      </c>
      <c r="H23" s="5">
        <f>H11*Data!$H13</f>
        <v>12</v>
      </c>
    </row>
    <row r="24" spans="1:8" x14ac:dyDescent="0.2">
      <c r="A24" s="3" t="s">
        <v>105</v>
      </c>
      <c r="B24" s="3" t="s">
        <v>129</v>
      </c>
      <c r="C24" s="3" t="s">
        <v>115</v>
      </c>
      <c r="D24" s="5">
        <f>D12*Data!$H14</f>
        <v>100</v>
      </c>
      <c r="E24" s="5">
        <f>E12*Data!$H14</f>
        <v>50</v>
      </c>
      <c r="F24" s="5">
        <f>F12*Data!$H14</f>
        <v>150</v>
      </c>
      <c r="G24" s="5">
        <f>G12*Data!$H14</f>
        <v>250</v>
      </c>
      <c r="H24" s="5">
        <f>H12*Data!$H14</f>
        <v>600</v>
      </c>
    </row>
    <row r="25" spans="1:8" x14ac:dyDescent="0.2">
      <c r="A25" s="3" t="s">
        <v>131</v>
      </c>
      <c r="B25" s="3" t="s">
        <v>130</v>
      </c>
      <c r="C25" s="3" t="s">
        <v>115</v>
      </c>
      <c r="D25" s="5">
        <f>D13*Data!$H15</f>
        <v>200</v>
      </c>
      <c r="E25" s="5">
        <f>E13*Data!$H15</f>
        <v>100</v>
      </c>
      <c r="F25" s="5">
        <f>F13*Data!$H15</f>
        <v>300</v>
      </c>
      <c r="G25" s="5">
        <f>G13*Data!$H15</f>
        <v>500</v>
      </c>
      <c r="H25" s="5">
        <f>H13*Data!$H15</f>
        <v>1200</v>
      </c>
    </row>
    <row r="26" spans="1:8" ht="15" x14ac:dyDescent="0.25">
      <c r="C26" s="11" t="s">
        <v>76</v>
      </c>
      <c r="D26" s="12">
        <f>SUM(D19:D25)</f>
        <v>9890</v>
      </c>
      <c r="E26" s="12">
        <f t="shared" ref="E26:H26" si="6">SUM(E19:E25)</f>
        <v>7771</v>
      </c>
      <c r="F26" s="12">
        <f t="shared" si="6"/>
        <v>35517</v>
      </c>
      <c r="G26" s="12">
        <f t="shared" si="6"/>
        <v>65385</v>
      </c>
      <c r="H26" s="12">
        <f t="shared" si="6"/>
        <v>170916</v>
      </c>
    </row>
    <row r="27" spans="1:8" ht="15" x14ac:dyDescent="0.25">
      <c r="D27" t="s">
        <v>126</v>
      </c>
      <c r="E27" t="s">
        <v>126</v>
      </c>
      <c r="F27" s="42" t="s">
        <v>127</v>
      </c>
      <c r="G27" s="42" t="s">
        <v>127</v>
      </c>
      <c r="H27" t="s">
        <v>126</v>
      </c>
    </row>
    <row r="28" spans="1:8" x14ac:dyDescent="0.2">
      <c r="D28" s="13"/>
      <c r="E28" s="13"/>
      <c r="F28" s="13"/>
      <c r="G28" s="13"/>
      <c r="H28" s="13"/>
    </row>
    <row r="30" spans="1:8" ht="15" x14ac:dyDescent="0.25">
      <c r="C30" s="1" t="s">
        <v>138</v>
      </c>
      <c r="G30" s="55">
        <f>D26+E26+H26</f>
        <v>188577</v>
      </c>
    </row>
    <row r="31" spans="1:8" ht="15" x14ac:dyDescent="0.25">
      <c r="C31" s="1" t="s">
        <v>200</v>
      </c>
      <c r="G31" s="55">
        <f>F26+G26</f>
        <v>100902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tabSelected="1" topLeftCell="A9" workbookViewId="0">
      <selection activeCell="A25" sqref="A25"/>
    </sheetView>
  </sheetViews>
  <sheetFormatPr baseColWidth="10" defaultRowHeight="14.25" x14ac:dyDescent="0.2"/>
  <cols>
    <col min="2" max="2" width="15.375" customWidth="1"/>
  </cols>
  <sheetData>
    <row r="1" spans="1:10" ht="15" x14ac:dyDescent="0.25">
      <c r="A1" s="1" t="s">
        <v>139</v>
      </c>
    </row>
    <row r="3" spans="1:10" ht="15" x14ac:dyDescent="0.25">
      <c r="A3" s="1" t="s">
        <v>123</v>
      </c>
    </row>
    <row r="4" spans="1:10" ht="15" x14ac:dyDescent="0.25">
      <c r="D4" s="9" t="s">
        <v>117</v>
      </c>
      <c r="E4" s="9" t="s">
        <v>118</v>
      </c>
      <c r="F4" s="9" t="s">
        <v>119</v>
      </c>
      <c r="G4" s="9" t="s">
        <v>120</v>
      </c>
      <c r="H4" s="9" t="s">
        <v>121</v>
      </c>
    </row>
    <row r="5" spans="1:10" ht="15" x14ac:dyDescent="0.25">
      <c r="A5" s="10" t="s">
        <v>140</v>
      </c>
      <c r="B5" s="10" t="s">
        <v>4</v>
      </c>
      <c r="C5" s="10" t="s">
        <v>128</v>
      </c>
      <c r="D5" s="9" t="s">
        <v>133</v>
      </c>
      <c r="E5" s="9" t="s">
        <v>134</v>
      </c>
      <c r="F5" s="9" t="s">
        <v>135</v>
      </c>
      <c r="G5" s="9" t="s">
        <v>136</v>
      </c>
      <c r="H5" s="9" t="s">
        <v>137</v>
      </c>
    </row>
    <row r="6" spans="1:10" ht="15" x14ac:dyDescent="0.25">
      <c r="A6" s="10"/>
      <c r="B6" s="10"/>
      <c r="C6" s="10" t="s">
        <v>122</v>
      </c>
      <c r="D6" s="9">
        <f>Data!B38</f>
        <v>200</v>
      </c>
      <c r="E6" s="9">
        <f>Data!B39</f>
        <v>100</v>
      </c>
      <c r="F6" s="9">
        <f>Data!B40</f>
        <v>300</v>
      </c>
      <c r="G6" s="9">
        <f>Data!B41</f>
        <v>500</v>
      </c>
      <c r="H6" s="9">
        <f>Data!B42</f>
        <v>620</v>
      </c>
    </row>
    <row r="7" spans="1:10" x14ac:dyDescent="0.2">
      <c r="A7" s="3" t="s">
        <v>98</v>
      </c>
      <c r="B7" s="3" t="str">
        <f>Data!K9</f>
        <v>Juan Pacheco JP</v>
      </c>
      <c r="C7" s="3" t="s">
        <v>141</v>
      </c>
      <c r="D7" s="5">
        <f>3.2*20</f>
        <v>64</v>
      </c>
      <c r="E7" s="5">
        <f>1.6*10</f>
        <v>16</v>
      </c>
      <c r="F7" s="5">
        <v>0</v>
      </c>
      <c r="G7" s="5">
        <f>3.2*50</f>
        <v>160</v>
      </c>
      <c r="H7" s="5">
        <f>6*120</f>
        <v>720</v>
      </c>
      <c r="J7" s="8"/>
    </row>
    <row r="8" spans="1:10" x14ac:dyDescent="0.2">
      <c r="A8" s="3" t="s">
        <v>99</v>
      </c>
      <c r="B8" s="3" t="str">
        <f>Data!K10</f>
        <v>Alan Castro AC</v>
      </c>
      <c r="C8" s="3" t="s">
        <v>141</v>
      </c>
      <c r="D8" s="5">
        <v>0</v>
      </c>
      <c r="E8" s="5">
        <v>0</v>
      </c>
      <c r="F8" s="5">
        <f>2.3*30</f>
        <v>69</v>
      </c>
      <c r="G8" s="5">
        <f>3.2*50</f>
        <v>160</v>
      </c>
      <c r="H8" s="5">
        <f>6*120</f>
        <v>720</v>
      </c>
    </row>
    <row r="9" spans="1:10" x14ac:dyDescent="0.2">
      <c r="A9" s="3" t="s">
        <v>100</v>
      </c>
      <c r="B9" s="3" t="str">
        <f>Data!K11</f>
        <v>Fernando Ruiz FR</v>
      </c>
      <c r="C9" s="3" t="s">
        <v>141</v>
      </c>
      <c r="D9" s="5">
        <v>0</v>
      </c>
      <c r="E9" s="5">
        <v>0</v>
      </c>
      <c r="F9" s="5">
        <f>1.5*30</f>
        <v>45</v>
      </c>
      <c r="G9" s="5">
        <f>3.1*50</f>
        <v>155</v>
      </c>
      <c r="H9" s="5">
        <f>4.5*120</f>
        <v>540</v>
      </c>
    </row>
    <row r="10" spans="1:10" x14ac:dyDescent="0.2">
      <c r="A10" s="3" t="s">
        <v>101</v>
      </c>
      <c r="B10" s="3" t="str">
        <f>Data!K12</f>
        <v>Alberto Garcia AG</v>
      </c>
      <c r="C10" s="3" t="s">
        <v>141</v>
      </c>
      <c r="D10" s="5">
        <f>3.2*20</f>
        <v>64</v>
      </c>
      <c r="E10" s="5">
        <v>0</v>
      </c>
      <c r="F10" s="5">
        <f>3.1*30</f>
        <v>93</v>
      </c>
      <c r="G10" s="5">
        <v>0</v>
      </c>
      <c r="H10" s="5">
        <f>1.8*120</f>
        <v>216</v>
      </c>
    </row>
    <row r="12" spans="1:10" ht="15" x14ac:dyDescent="0.25">
      <c r="A12" s="1" t="s">
        <v>142</v>
      </c>
    </row>
    <row r="13" spans="1:10" ht="15" x14ac:dyDescent="0.25">
      <c r="D13" s="9" t="s">
        <v>117</v>
      </c>
      <c r="E13" s="9" t="s">
        <v>118</v>
      </c>
      <c r="F13" s="9" t="s">
        <v>119</v>
      </c>
      <c r="G13" s="9" t="s">
        <v>120</v>
      </c>
      <c r="H13" s="9" t="s">
        <v>121</v>
      </c>
    </row>
    <row r="14" spans="1:10" ht="15" x14ac:dyDescent="0.25">
      <c r="A14" s="10" t="s">
        <v>140</v>
      </c>
      <c r="B14" s="10" t="s">
        <v>4</v>
      </c>
      <c r="C14" s="10" t="s">
        <v>128</v>
      </c>
      <c r="D14" s="9" t="s">
        <v>133</v>
      </c>
      <c r="E14" s="9" t="s">
        <v>134</v>
      </c>
      <c r="F14" s="9" t="s">
        <v>135</v>
      </c>
      <c r="G14" s="9" t="s">
        <v>136</v>
      </c>
      <c r="H14" s="9" t="s">
        <v>137</v>
      </c>
    </row>
    <row r="15" spans="1:10" ht="15" x14ac:dyDescent="0.25">
      <c r="A15" s="10"/>
      <c r="B15" s="10"/>
      <c r="C15" s="10" t="s">
        <v>122</v>
      </c>
      <c r="D15" s="9">
        <f>D6</f>
        <v>200</v>
      </c>
      <c r="E15" s="9">
        <f t="shared" ref="E15:H15" si="0">E6</f>
        <v>100</v>
      </c>
      <c r="F15" s="9">
        <f t="shared" si="0"/>
        <v>300</v>
      </c>
      <c r="G15" s="9">
        <f t="shared" si="0"/>
        <v>500</v>
      </c>
      <c r="H15" s="9">
        <f t="shared" si="0"/>
        <v>620</v>
      </c>
    </row>
    <row r="16" spans="1:10" x14ac:dyDescent="0.2">
      <c r="A16" s="3" t="s">
        <v>98</v>
      </c>
      <c r="B16" s="3" t="str">
        <f>B7</f>
        <v>Juan Pacheco JP</v>
      </c>
      <c r="C16" s="3" t="s">
        <v>141</v>
      </c>
      <c r="D16" s="5">
        <f>D7*Data!$O9</f>
        <v>1169.5238095238096</v>
      </c>
      <c r="E16" s="5">
        <f>E7*Data!$O9</f>
        <v>292.38095238095241</v>
      </c>
      <c r="F16" s="5">
        <f>F7*Data!$O9</f>
        <v>0</v>
      </c>
      <c r="G16" s="5">
        <f>G7*Data!$O9</f>
        <v>2923.8095238095239</v>
      </c>
      <c r="H16" s="5">
        <f>H7*Data!$O9</f>
        <v>13157.142857142859</v>
      </c>
    </row>
    <row r="17" spans="1:8" x14ac:dyDescent="0.2">
      <c r="A17" s="3" t="s">
        <v>99</v>
      </c>
      <c r="B17" s="3" t="str">
        <f t="shared" ref="B17:B19" si="1">B8</f>
        <v>Alan Castro AC</v>
      </c>
      <c r="C17" s="3" t="s">
        <v>141</v>
      </c>
      <c r="D17" s="5">
        <f>D8*Data!$O10</f>
        <v>0</v>
      </c>
      <c r="E17" s="5">
        <f>E8*Data!$O10</f>
        <v>0</v>
      </c>
      <c r="F17" s="5">
        <f>F8*Data!$O10</f>
        <v>877.48239436619735</v>
      </c>
      <c r="G17" s="5">
        <f>G8*Data!$O10</f>
        <v>2034.741784037559</v>
      </c>
      <c r="H17" s="5">
        <f>H8*Data!$O10</f>
        <v>9156.3380281690152</v>
      </c>
    </row>
    <row r="18" spans="1:8" x14ac:dyDescent="0.2">
      <c r="A18" s="3" t="s">
        <v>100</v>
      </c>
      <c r="B18" s="3" t="str">
        <f t="shared" si="1"/>
        <v>Fernando Ruiz FR</v>
      </c>
      <c r="C18" s="3" t="s">
        <v>141</v>
      </c>
      <c r="D18" s="5">
        <f>D9*Data!$O11</f>
        <v>0</v>
      </c>
      <c r="E18" s="5">
        <f>E9*Data!$O11</f>
        <v>0</v>
      </c>
      <c r="F18" s="5">
        <f>F9*Data!$O11</f>
        <v>566.85171919770767</v>
      </c>
      <c r="G18" s="5">
        <f>G9*Data!$O11</f>
        <v>1952.4892550143265</v>
      </c>
      <c r="H18" s="5">
        <f>H9*Data!$O11</f>
        <v>6802.2206303724925</v>
      </c>
    </row>
    <row r="19" spans="1:8" x14ac:dyDescent="0.2">
      <c r="A19" s="3" t="s">
        <v>101</v>
      </c>
      <c r="B19" s="3" t="str">
        <f t="shared" si="1"/>
        <v>Alberto Garcia AG</v>
      </c>
      <c r="C19" s="3" t="s">
        <v>141</v>
      </c>
      <c r="D19" s="5">
        <f>D10*Data!$O12</f>
        <v>431.48148148148147</v>
      </c>
      <c r="E19" s="5">
        <f>E10*Data!$O12</f>
        <v>0</v>
      </c>
      <c r="F19" s="5">
        <f>F10*Data!$O12</f>
        <v>626.99652777777771</v>
      </c>
      <c r="G19" s="5">
        <f>G10*Data!$O12</f>
        <v>0</v>
      </c>
      <c r="H19" s="5">
        <f>H10*Data!$O12</f>
        <v>1456.25</v>
      </c>
    </row>
    <row r="20" spans="1:8" ht="15" x14ac:dyDescent="0.25">
      <c r="C20" s="11" t="s">
        <v>76</v>
      </c>
      <c r="D20" s="12">
        <f>SUM(D16:D19)</f>
        <v>1601.0052910052912</v>
      </c>
      <c r="E20" s="12">
        <f t="shared" ref="E20:H20" si="2">SUM(E16:E19)</f>
        <v>292.38095238095241</v>
      </c>
      <c r="F20" s="12">
        <f t="shared" si="2"/>
        <v>2071.3306413416826</v>
      </c>
      <c r="G20" s="12">
        <f t="shared" si="2"/>
        <v>6911.0405628614099</v>
      </c>
      <c r="H20" s="12">
        <f t="shared" si="2"/>
        <v>30571.951515684366</v>
      </c>
    </row>
    <row r="21" spans="1:8" x14ac:dyDescent="0.2">
      <c r="D21" t="s">
        <v>126</v>
      </c>
      <c r="E21" t="s">
        <v>126</v>
      </c>
      <c r="F21" s="76" t="s">
        <v>127</v>
      </c>
      <c r="G21" s="76" t="s">
        <v>127</v>
      </c>
      <c r="H21" t="s">
        <v>126</v>
      </c>
    </row>
    <row r="22" spans="1:8" x14ac:dyDescent="0.2">
      <c r="D22" s="13"/>
      <c r="E22" s="13"/>
      <c r="F22" s="13"/>
      <c r="G22" s="13"/>
      <c r="H22" s="13"/>
    </row>
    <row r="24" spans="1:8" ht="15" x14ac:dyDescent="0.25">
      <c r="C24" s="1" t="s">
        <v>173</v>
      </c>
      <c r="H24" s="15">
        <f>D20+E20+H20</f>
        <v>32465.337759070611</v>
      </c>
    </row>
    <row r="25" spans="1:8" ht="15" x14ac:dyDescent="0.25">
      <c r="C25" s="1" t="s">
        <v>174</v>
      </c>
      <c r="H25" s="15">
        <f>F20+G20</f>
        <v>8982.3712042030929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J23" sqref="J23"/>
    </sheetView>
  </sheetViews>
  <sheetFormatPr baseColWidth="10" defaultRowHeight="14.25" x14ac:dyDescent="0.2"/>
  <cols>
    <col min="1" max="16384" width="11" style="14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63"/>
  <sheetViews>
    <sheetView topLeftCell="A43" zoomScale="90" zoomScaleNormal="90" workbookViewId="0">
      <selection activeCell="F53" sqref="F53:M62"/>
    </sheetView>
  </sheetViews>
  <sheetFormatPr baseColWidth="10" defaultRowHeight="14.25" x14ac:dyDescent="0.2"/>
  <cols>
    <col min="2" max="2" width="20.375" customWidth="1"/>
    <col min="3" max="3" width="9.625" bestFit="1" customWidth="1"/>
    <col min="4" max="4" width="8.5" bestFit="1" customWidth="1"/>
    <col min="5" max="5" width="8.375" customWidth="1"/>
    <col min="6" max="6" width="11.25" customWidth="1"/>
    <col min="7" max="7" width="10.25" bestFit="1" customWidth="1"/>
    <col min="8" max="8" width="13.75" customWidth="1"/>
    <col min="9" max="9" width="9.125" customWidth="1"/>
    <col min="10" max="10" width="10.25" customWidth="1"/>
    <col min="11" max="11" width="14.375" customWidth="1"/>
    <col min="12" max="12" width="10.625" bestFit="1" customWidth="1"/>
    <col min="13" max="13" width="13.25" customWidth="1"/>
    <col min="14" max="14" width="13.875" customWidth="1"/>
  </cols>
  <sheetData>
    <row r="1" spans="1:10" ht="18" x14ac:dyDescent="0.25">
      <c r="A1" s="2" t="s">
        <v>143</v>
      </c>
    </row>
    <row r="3" spans="1:10" ht="15" x14ac:dyDescent="0.25">
      <c r="A3" s="1" t="s">
        <v>60</v>
      </c>
    </row>
    <row r="4" spans="1:10" x14ac:dyDescent="0.2">
      <c r="A4" t="s">
        <v>162</v>
      </c>
    </row>
    <row r="5" spans="1:10" x14ac:dyDescent="0.2">
      <c r="A5" t="s">
        <v>163</v>
      </c>
    </row>
    <row r="6" spans="1:10" x14ac:dyDescent="0.2">
      <c r="A6" t="s">
        <v>164</v>
      </c>
    </row>
    <row r="7" spans="1:10" x14ac:dyDescent="0.2">
      <c r="A7" t="s">
        <v>65</v>
      </c>
    </row>
    <row r="8" spans="1:10" x14ac:dyDescent="0.2">
      <c r="A8" t="s">
        <v>85</v>
      </c>
    </row>
    <row r="10" spans="1:10" ht="15" x14ac:dyDescent="0.25">
      <c r="A10" s="1" t="s">
        <v>165</v>
      </c>
    </row>
    <row r="11" spans="1:10" ht="15" x14ac:dyDescent="0.25">
      <c r="A11" s="1"/>
      <c r="C11" s="30" t="s">
        <v>145</v>
      </c>
      <c r="D11" s="30" t="s">
        <v>146</v>
      </c>
      <c r="E11" s="30" t="s">
        <v>147</v>
      </c>
      <c r="F11" s="30" t="s">
        <v>148</v>
      </c>
      <c r="G11" s="30" t="s">
        <v>149</v>
      </c>
      <c r="H11" s="30" t="s">
        <v>150</v>
      </c>
      <c r="I11" s="30" t="s">
        <v>151</v>
      </c>
      <c r="J11" s="30" t="s">
        <v>159</v>
      </c>
    </row>
    <row r="12" spans="1:10" ht="39" customHeight="1" x14ac:dyDescent="0.2">
      <c r="A12" s="27" t="s">
        <v>3</v>
      </c>
      <c r="B12" s="27" t="s">
        <v>4</v>
      </c>
      <c r="C12" s="28" t="s">
        <v>152</v>
      </c>
      <c r="D12" s="28" t="s">
        <v>153</v>
      </c>
      <c r="E12" s="28" t="s">
        <v>154</v>
      </c>
      <c r="F12" s="28" t="s">
        <v>114</v>
      </c>
      <c r="G12" s="28" t="s">
        <v>155</v>
      </c>
      <c r="H12" s="28" t="s">
        <v>156</v>
      </c>
      <c r="I12" s="28" t="s">
        <v>157</v>
      </c>
      <c r="J12" s="28" t="s">
        <v>158</v>
      </c>
    </row>
    <row r="13" spans="1:10" ht="15" x14ac:dyDescent="0.25">
      <c r="A13" s="25" t="s">
        <v>8</v>
      </c>
      <c r="B13" s="29" t="s">
        <v>18</v>
      </c>
      <c r="C13" s="21" t="s">
        <v>79</v>
      </c>
      <c r="D13" s="21"/>
      <c r="E13" s="21"/>
      <c r="F13" s="21"/>
      <c r="G13" s="21"/>
      <c r="H13" s="21"/>
      <c r="I13" s="21"/>
      <c r="J13" s="21"/>
    </row>
    <row r="14" spans="1:10" ht="15" x14ac:dyDescent="0.25">
      <c r="A14" s="25" t="s">
        <v>9</v>
      </c>
      <c r="B14" s="29" t="s">
        <v>19</v>
      </c>
      <c r="C14" s="21" t="s">
        <v>79</v>
      </c>
      <c r="D14" s="21" t="s">
        <v>79</v>
      </c>
      <c r="E14" s="21"/>
      <c r="F14" s="21"/>
      <c r="G14" s="21" t="s">
        <v>79</v>
      </c>
      <c r="H14" s="21"/>
      <c r="I14" s="21" t="s">
        <v>79</v>
      </c>
      <c r="J14" s="21" t="s">
        <v>79</v>
      </c>
    </row>
    <row r="15" spans="1:10" ht="15" x14ac:dyDescent="0.25">
      <c r="A15" s="25" t="s">
        <v>10</v>
      </c>
      <c r="B15" s="29" t="s">
        <v>20</v>
      </c>
      <c r="C15" s="21" t="s">
        <v>79</v>
      </c>
      <c r="D15" s="21" t="s">
        <v>79</v>
      </c>
      <c r="E15" s="21" t="s">
        <v>79</v>
      </c>
      <c r="F15" s="21" t="s">
        <v>79</v>
      </c>
      <c r="G15" s="21" t="s">
        <v>79</v>
      </c>
      <c r="H15" s="21" t="s">
        <v>79</v>
      </c>
      <c r="I15" s="21" t="s">
        <v>79</v>
      </c>
      <c r="J15" s="21" t="s">
        <v>79</v>
      </c>
    </row>
    <row r="16" spans="1:10" ht="15" x14ac:dyDescent="0.25">
      <c r="A16" s="25" t="s">
        <v>11</v>
      </c>
      <c r="B16" s="29" t="s">
        <v>21</v>
      </c>
      <c r="C16" s="21" t="s">
        <v>79</v>
      </c>
      <c r="D16" s="21"/>
      <c r="E16" s="21" t="s">
        <v>79</v>
      </c>
      <c r="F16" s="21" t="s">
        <v>79</v>
      </c>
      <c r="G16" s="21"/>
      <c r="H16" s="21"/>
      <c r="I16" s="21"/>
      <c r="J16" s="21"/>
    </row>
    <row r="17" spans="1:10" ht="15" x14ac:dyDescent="0.25">
      <c r="A17" s="25" t="s">
        <v>12</v>
      </c>
      <c r="B17" s="29" t="s">
        <v>22</v>
      </c>
      <c r="C17" s="21" t="s">
        <v>79</v>
      </c>
      <c r="D17" s="21"/>
      <c r="E17" s="21"/>
      <c r="F17" s="21"/>
      <c r="G17" s="21"/>
      <c r="H17" s="21"/>
      <c r="I17" s="21" t="s">
        <v>79</v>
      </c>
      <c r="J17" s="21" t="s">
        <v>79</v>
      </c>
    </row>
    <row r="18" spans="1:10" ht="15" x14ac:dyDescent="0.25">
      <c r="A18" s="25" t="s">
        <v>13</v>
      </c>
      <c r="B18" s="29" t="s">
        <v>23</v>
      </c>
      <c r="C18" s="21" t="s">
        <v>79</v>
      </c>
      <c r="D18" s="21"/>
      <c r="E18" s="21"/>
      <c r="F18" s="21"/>
      <c r="G18" s="21"/>
      <c r="H18" s="21"/>
      <c r="I18" s="21" t="s">
        <v>79</v>
      </c>
      <c r="J18" s="21" t="s">
        <v>79</v>
      </c>
    </row>
    <row r="19" spans="1:10" ht="15" x14ac:dyDescent="0.25">
      <c r="A19" s="25" t="s">
        <v>14</v>
      </c>
      <c r="B19" s="29" t="s">
        <v>24</v>
      </c>
      <c r="C19" s="21"/>
      <c r="D19" s="21" t="s">
        <v>79</v>
      </c>
      <c r="E19" s="21" t="s">
        <v>79</v>
      </c>
      <c r="F19" s="21" t="s">
        <v>79</v>
      </c>
      <c r="G19" s="21" t="s">
        <v>79</v>
      </c>
      <c r="H19" s="21" t="s">
        <v>79</v>
      </c>
      <c r="I19" s="21" t="s">
        <v>79</v>
      </c>
      <c r="J19" s="21" t="s">
        <v>79</v>
      </c>
    </row>
    <row r="20" spans="1:10" ht="15" x14ac:dyDescent="0.25">
      <c r="A20" s="25" t="s">
        <v>15</v>
      </c>
      <c r="B20" s="29" t="s">
        <v>25</v>
      </c>
      <c r="C20" s="21" t="s">
        <v>79</v>
      </c>
      <c r="D20" s="21" t="s">
        <v>79</v>
      </c>
      <c r="E20" s="21" t="s">
        <v>79</v>
      </c>
      <c r="F20" s="21" t="s">
        <v>79</v>
      </c>
      <c r="G20" s="21" t="s">
        <v>79</v>
      </c>
      <c r="H20" s="21" t="s">
        <v>79</v>
      </c>
      <c r="I20" s="21" t="s">
        <v>79</v>
      </c>
      <c r="J20" s="21" t="s">
        <v>79</v>
      </c>
    </row>
    <row r="21" spans="1:10" ht="15" x14ac:dyDescent="0.25">
      <c r="A21" s="25" t="s">
        <v>16</v>
      </c>
      <c r="B21" s="29" t="s">
        <v>26</v>
      </c>
      <c r="C21" s="21" t="s">
        <v>79</v>
      </c>
      <c r="D21" s="21" t="s">
        <v>79</v>
      </c>
      <c r="E21" s="21" t="s">
        <v>79</v>
      </c>
      <c r="F21" s="21" t="s">
        <v>79</v>
      </c>
      <c r="G21" s="21" t="s">
        <v>79</v>
      </c>
      <c r="H21" s="21" t="s">
        <v>79</v>
      </c>
      <c r="I21" s="21" t="s">
        <v>79</v>
      </c>
      <c r="J21" s="21" t="s">
        <v>79</v>
      </c>
    </row>
    <row r="22" spans="1:10" ht="15" x14ac:dyDescent="0.25">
      <c r="A22" s="25" t="s">
        <v>17</v>
      </c>
      <c r="B22" s="29" t="s">
        <v>27</v>
      </c>
      <c r="C22" s="21" t="s">
        <v>79</v>
      </c>
      <c r="D22" s="21" t="s">
        <v>79</v>
      </c>
      <c r="E22" s="21" t="s">
        <v>79</v>
      </c>
      <c r="F22" s="21" t="s">
        <v>79</v>
      </c>
      <c r="G22" s="21" t="s">
        <v>79</v>
      </c>
      <c r="H22" s="21" t="s">
        <v>79</v>
      </c>
      <c r="I22" s="21" t="s">
        <v>79</v>
      </c>
      <c r="J22" s="21" t="s">
        <v>79</v>
      </c>
    </row>
    <row r="24" spans="1:10" ht="15" x14ac:dyDescent="0.25">
      <c r="A24" s="1" t="s">
        <v>64</v>
      </c>
    </row>
    <row r="25" spans="1:10" ht="15" x14ac:dyDescent="0.2">
      <c r="A25" s="27" t="s">
        <v>3</v>
      </c>
      <c r="B25" s="27" t="s">
        <v>4</v>
      </c>
      <c r="C25" s="63" t="s">
        <v>73</v>
      </c>
      <c r="D25" s="63"/>
      <c r="E25" s="63"/>
    </row>
    <row r="26" spans="1:10" ht="15" x14ac:dyDescent="0.25">
      <c r="A26" s="25" t="s">
        <v>8</v>
      </c>
      <c r="B26" s="3" t="s">
        <v>18</v>
      </c>
      <c r="C26" s="65" t="s">
        <v>66</v>
      </c>
      <c r="D26" s="65"/>
      <c r="E26" s="65"/>
    </row>
    <row r="27" spans="1:10" ht="15" x14ac:dyDescent="0.25">
      <c r="A27" s="25" t="s">
        <v>9</v>
      </c>
      <c r="B27" s="3" t="s">
        <v>19</v>
      </c>
      <c r="C27" s="65" t="s">
        <v>80</v>
      </c>
      <c r="D27" s="65"/>
      <c r="E27" s="65"/>
    </row>
    <row r="28" spans="1:10" ht="15" x14ac:dyDescent="0.25">
      <c r="A28" s="25" t="s">
        <v>10</v>
      </c>
      <c r="B28" s="3" t="s">
        <v>20</v>
      </c>
      <c r="C28" s="65" t="s">
        <v>175</v>
      </c>
      <c r="D28" s="65"/>
      <c r="E28" s="65"/>
    </row>
    <row r="29" spans="1:10" ht="15" x14ac:dyDescent="0.25">
      <c r="A29" s="25" t="s">
        <v>11</v>
      </c>
      <c r="B29" s="3" t="s">
        <v>21</v>
      </c>
      <c r="C29" s="65" t="s">
        <v>81</v>
      </c>
      <c r="D29" s="65"/>
      <c r="E29" s="65"/>
    </row>
    <row r="30" spans="1:10" ht="15" x14ac:dyDescent="0.25">
      <c r="A30" s="25" t="s">
        <v>12</v>
      </c>
      <c r="B30" s="3" t="s">
        <v>22</v>
      </c>
      <c r="C30" s="65" t="s">
        <v>82</v>
      </c>
      <c r="D30" s="65"/>
      <c r="E30" s="65"/>
    </row>
    <row r="31" spans="1:10" ht="15" x14ac:dyDescent="0.25">
      <c r="A31" s="25" t="s">
        <v>13</v>
      </c>
      <c r="B31" s="3" t="s">
        <v>23</v>
      </c>
      <c r="C31" s="65" t="s">
        <v>83</v>
      </c>
      <c r="D31" s="65"/>
      <c r="E31" s="65"/>
    </row>
    <row r="32" spans="1:10" ht="15" x14ac:dyDescent="0.25">
      <c r="A32" s="25" t="s">
        <v>14</v>
      </c>
      <c r="B32" s="3" t="s">
        <v>24</v>
      </c>
      <c r="C32" s="65" t="s">
        <v>84</v>
      </c>
      <c r="D32" s="65"/>
      <c r="E32" s="65"/>
    </row>
    <row r="33" spans="1:14" ht="15" x14ac:dyDescent="0.25">
      <c r="A33" s="25" t="s">
        <v>15</v>
      </c>
      <c r="B33" s="3" t="s">
        <v>25</v>
      </c>
      <c r="C33" s="65" t="s">
        <v>84</v>
      </c>
      <c r="D33" s="65"/>
      <c r="E33" s="65"/>
    </row>
    <row r="34" spans="1:14" ht="15" x14ac:dyDescent="0.25">
      <c r="A34" s="25" t="s">
        <v>16</v>
      </c>
      <c r="B34" s="3" t="s">
        <v>26</v>
      </c>
      <c r="C34" s="65" t="s">
        <v>176</v>
      </c>
      <c r="D34" s="65"/>
      <c r="E34" s="65"/>
    </row>
    <row r="35" spans="1:14" ht="15" x14ac:dyDescent="0.25">
      <c r="A35" s="25" t="s">
        <v>17</v>
      </c>
      <c r="B35" s="3" t="s">
        <v>27</v>
      </c>
      <c r="C35" s="65" t="s">
        <v>176</v>
      </c>
      <c r="D35" s="65"/>
      <c r="E35" s="65"/>
    </row>
    <row r="37" spans="1:14" ht="15" x14ac:dyDescent="0.25">
      <c r="A37" s="1" t="s">
        <v>67</v>
      </c>
      <c r="F37" s="30" t="s">
        <v>145</v>
      </c>
      <c r="G37" s="30" t="s">
        <v>146</v>
      </c>
      <c r="H37" s="30" t="s">
        <v>147</v>
      </c>
      <c r="I37" s="30" t="s">
        <v>148</v>
      </c>
      <c r="J37" s="30" t="s">
        <v>149</v>
      </c>
      <c r="K37" s="30" t="s">
        <v>150</v>
      </c>
      <c r="L37" s="30" t="s">
        <v>151</v>
      </c>
      <c r="M37" s="30" t="s">
        <v>159</v>
      </c>
    </row>
    <row r="38" spans="1:14" ht="28.5" x14ac:dyDescent="0.2">
      <c r="A38" s="27" t="s">
        <v>3</v>
      </c>
      <c r="B38" s="27" t="s">
        <v>4</v>
      </c>
      <c r="C38" s="63" t="s">
        <v>73</v>
      </c>
      <c r="D38" s="63"/>
      <c r="E38" s="64"/>
      <c r="F38" s="28" t="s">
        <v>152</v>
      </c>
      <c r="G38" s="28" t="s">
        <v>153</v>
      </c>
      <c r="H38" s="28" t="s">
        <v>154</v>
      </c>
      <c r="I38" s="28" t="s">
        <v>114</v>
      </c>
      <c r="J38" s="28" t="s">
        <v>155</v>
      </c>
      <c r="K38" s="28" t="s">
        <v>156</v>
      </c>
      <c r="L38" s="28" t="s">
        <v>157</v>
      </c>
      <c r="M38" s="28" t="s">
        <v>158</v>
      </c>
      <c r="N38" s="31" t="s">
        <v>69</v>
      </c>
    </row>
    <row r="39" spans="1:14" ht="15" x14ac:dyDescent="0.25">
      <c r="A39" s="25" t="s">
        <v>8</v>
      </c>
      <c r="B39" s="29" t="s">
        <v>18</v>
      </c>
      <c r="C39" s="68" t="str">
        <f>C26</f>
        <v>No personas indirectas</v>
      </c>
      <c r="D39" s="68"/>
      <c r="E39" s="69"/>
      <c r="F39" s="21">
        <v>12</v>
      </c>
      <c r="G39" s="21"/>
      <c r="H39" s="21"/>
      <c r="I39" s="21"/>
      <c r="J39" s="21"/>
      <c r="K39" s="21"/>
      <c r="L39" s="21"/>
      <c r="M39" s="21"/>
      <c r="N39" s="32">
        <f t="shared" ref="N39:N48" si="0">SUM(F39:M39)</f>
        <v>12</v>
      </c>
    </row>
    <row r="40" spans="1:14" ht="15" x14ac:dyDescent="0.25">
      <c r="A40" s="25" t="s">
        <v>9</v>
      </c>
      <c r="B40" s="29" t="s">
        <v>19</v>
      </c>
      <c r="C40" s="68" t="str">
        <f>C27</f>
        <v>% de asignación</v>
      </c>
      <c r="D40" s="68"/>
      <c r="E40" s="69"/>
      <c r="F40" s="4">
        <v>0.05</v>
      </c>
      <c r="G40" s="4">
        <v>0.1</v>
      </c>
      <c r="H40" s="21"/>
      <c r="I40" s="21"/>
      <c r="J40" s="4">
        <v>0.4</v>
      </c>
      <c r="K40" s="21"/>
      <c r="L40" s="4">
        <v>0.3</v>
      </c>
      <c r="M40" s="4">
        <v>0.15</v>
      </c>
      <c r="N40" s="33">
        <f t="shared" si="0"/>
        <v>1</v>
      </c>
    </row>
    <row r="41" spans="1:14" ht="15" x14ac:dyDescent="0.25">
      <c r="A41" s="25" t="s">
        <v>10</v>
      </c>
      <c r="B41" s="29" t="s">
        <v>20</v>
      </c>
      <c r="C41" s="68" t="str">
        <f t="shared" ref="C41:C47" si="1">C28</f>
        <v>Kws</v>
      </c>
      <c r="D41" s="68"/>
      <c r="E41" s="69"/>
      <c r="F41" s="21">
        <v>2</v>
      </c>
      <c r="G41" s="21">
        <v>3</v>
      </c>
      <c r="H41" s="21">
        <v>5</v>
      </c>
      <c r="I41" s="21">
        <v>8</v>
      </c>
      <c r="J41" s="21">
        <v>4</v>
      </c>
      <c r="K41" s="21">
        <v>6</v>
      </c>
      <c r="L41" s="21">
        <v>3</v>
      </c>
      <c r="M41" s="21">
        <v>3</v>
      </c>
      <c r="N41" s="32">
        <f t="shared" si="0"/>
        <v>34</v>
      </c>
    </row>
    <row r="42" spans="1:14" ht="15" x14ac:dyDescent="0.25">
      <c r="A42" s="25" t="s">
        <v>11</v>
      </c>
      <c r="B42" s="29" t="s">
        <v>21</v>
      </c>
      <c r="C42" s="68" t="str">
        <f t="shared" si="1"/>
        <v>No personas</v>
      </c>
      <c r="D42" s="68"/>
      <c r="E42" s="69"/>
      <c r="F42" s="21">
        <v>12</v>
      </c>
      <c r="G42" s="21"/>
      <c r="H42" s="21">
        <v>16</v>
      </c>
      <c r="I42" s="21">
        <v>8</v>
      </c>
      <c r="J42" s="21"/>
      <c r="K42" s="21"/>
      <c r="L42" s="21"/>
      <c r="M42" s="21"/>
      <c r="N42" s="32">
        <f t="shared" si="0"/>
        <v>36</v>
      </c>
    </row>
    <row r="43" spans="1:14" ht="15" x14ac:dyDescent="0.25">
      <c r="A43" s="25" t="s">
        <v>12</v>
      </c>
      <c r="B43" s="29" t="s">
        <v>22</v>
      </c>
      <c r="C43" s="68" t="str">
        <f t="shared" si="1"/>
        <v>No anexos</v>
      </c>
      <c r="D43" s="68"/>
      <c r="E43" s="69"/>
      <c r="F43" s="21">
        <v>2</v>
      </c>
      <c r="G43" s="21"/>
      <c r="H43" s="21"/>
      <c r="I43" s="21"/>
      <c r="J43" s="21"/>
      <c r="K43" s="21"/>
      <c r="L43" s="21">
        <v>1</v>
      </c>
      <c r="M43" s="21">
        <v>1</v>
      </c>
      <c r="N43" s="32">
        <f t="shared" si="0"/>
        <v>4</v>
      </c>
    </row>
    <row r="44" spans="1:14" ht="15" x14ac:dyDescent="0.25">
      <c r="A44" s="25" t="s">
        <v>13</v>
      </c>
      <c r="B44" s="29" t="s">
        <v>23</v>
      </c>
      <c r="C44" s="68" t="str">
        <f t="shared" si="1"/>
        <v>No PCs</v>
      </c>
      <c r="D44" s="68"/>
      <c r="E44" s="69"/>
      <c r="F44" s="21">
        <v>2</v>
      </c>
      <c r="G44" s="21"/>
      <c r="H44" s="21"/>
      <c r="I44" s="21"/>
      <c r="J44" s="21"/>
      <c r="K44" s="21"/>
      <c r="L44" s="21">
        <v>1</v>
      </c>
      <c r="M44" s="21">
        <v>1</v>
      </c>
      <c r="N44" s="32">
        <f t="shared" si="0"/>
        <v>4</v>
      </c>
    </row>
    <row r="45" spans="1:14" ht="15" x14ac:dyDescent="0.25">
      <c r="A45" s="25" t="s">
        <v>14</v>
      </c>
      <c r="B45" s="29" t="s">
        <v>24</v>
      </c>
      <c r="C45" s="68" t="str">
        <f t="shared" si="1"/>
        <v>Valor activo fijo</v>
      </c>
      <c r="D45" s="68"/>
      <c r="E45" s="69"/>
      <c r="F45" s="21"/>
      <c r="G45" s="21">
        <v>20000</v>
      </c>
      <c r="H45" s="21">
        <v>25000</v>
      </c>
      <c r="I45" s="21">
        <v>35000</v>
      </c>
      <c r="J45" s="21">
        <v>56000</v>
      </c>
      <c r="K45" s="21">
        <v>60000</v>
      </c>
      <c r="L45" s="21">
        <v>70000</v>
      </c>
      <c r="M45" s="21">
        <v>45000</v>
      </c>
      <c r="N45" s="32">
        <f t="shared" si="0"/>
        <v>311000</v>
      </c>
    </row>
    <row r="46" spans="1:14" ht="15" x14ac:dyDescent="0.25">
      <c r="A46" s="25" t="s">
        <v>15</v>
      </c>
      <c r="B46" s="29" t="s">
        <v>25</v>
      </c>
      <c r="C46" s="68" t="str">
        <f t="shared" si="1"/>
        <v>Valor activo fijo</v>
      </c>
      <c r="D46" s="68"/>
      <c r="E46" s="69"/>
      <c r="F46" s="21">
        <v>5000</v>
      </c>
      <c r="G46" s="21">
        <v>20000</v>
      </c>
      <c r="H46" s="21">
        <v>25000</v>
      </c>
      <c r="I46" s="21">
        <v>35000</v>
      </c>
      <c r="J46" s="21">
        <v>56000</v>
      </c>
      <c r="K46" s="21">
        <v>60000</v>
      </c>
      <c r="L46" s="21">
        <v>70000</v>
      </c>
      <c r="M46" s="21">
        <v>45000</v>
      </c>
      <c r="N46" s="32">
        <f t="shared" si="0"/>
        <v>316000</v>
      </c>
    </row>
    <row r="47" spans="1:14" ht="15" x14ac:dyDescent="0.25">
      <c r="A47" s="25" t="s">
        <v>16</v>
      </c>
      <c r="B47" s="29" t="s">
        <v>26</v>
      </c>
      <c r="C47" s="68" t="str">
        <f t="shared" si="1"/>
        <v>Area M2</v>
      </c>
      <c r="D47" s="68"/>
      <c r="E47" s="69"/>
      <c r="F47" s="21">
        <v>120</v>
      </c>
      <c r="G47" s="21">
        <v>80</v>
      </c>
      <c r="H47" s="21">
        <v>60</v>
      </c>
      <c r="I47" s="21">
        <v>45</v>
      </c>
      <c r="J47" s="21">
        <v>90</v>
      </c>
      <c r="K47" s="21">
        <v>110</v>
      </c>
      <c r="L47" s="21">
        <v>60</v>
      </c>
      <c r="M47" s="21">
        <v>120</v>
      </c>
      <c r="N47" s="34">
        <f t="shared" si="0"/>
        <v>685</v>
      </c>
    </row>
    <row r="48" spans="1:14" ht="15" x14ac:dyDescent="0.25">
      <c r="A48" s="25" t="s">
        <v>17</v>
      </c>
      <c r="B48" s="29" t="s">
        <v>27</v>
      </c>
      <c r="C48" s="68" t="str">
        <f>C35</f>
        <v>Area M2</v>
      </c>
      <c r="D48" s="68"/>
      <c r="E48" s="69"/>
      <c r="F48" s="21">
        <v>120</v>
      </c>
      <c r="G48" s="21">
        <v>80</v>
      </c>
      <c r="H48" s="21">
        <v>60</v>
      </c>
      <c r="I48" s="21">
        <v>45</v>
      </c>
      <c r="J48" s="21">
        <v>90</v>
      </c>
      <c r="K48" s="21">
        <v>110</v>
      </c>
      <c r="L48" s="21">
        <v>60</v>
      </c>
      <c r="M48" s="21">
        <v>120</v>
      </c>
      <c r="N48" s="34">
        <f t="shared" si="0"/>
        <v>685</v>
      </c>
    </row>
    <row r="50" spans="1:14" ht="15" x14ac:dyDescent="0.25">
      <c r="A50" s="1" t="s">
        <v>242</v>
      </c>
    </row>
    <row r="51" spans="1:14" ht="15" x14ac:dyDescent="0.2">
      <c r="F51" s="30" t="s">
        <v>145</v>
      </c>
      <c r="G51" s="30" t="s">
        <v>146</v>
      </c>
      <c r="H51" s="30" t="s">
        <v>147</v>
      </c>
      <c r="I51" s="30" t="s">
        <v>148</v>
      </c>
      <c r="J51" s="30" t="s">
        <v>149</v>
      </c>
      <c r="K51" s="30" t="s">
        <v>150</v>
      </c>
      <c r="L51" s="30" t="s">
        <v>151</v>
      </c>
      <c r="M51" s="30" t="s">
        <v>159</v>
      </c>
    </row>
    <row r="52" spans="1:14" ht="28.5" x14ac:dyDescent="0.2">
      <c r="A52" s="27" t="s">
        <v>3</v>
      </c>
      <c r="B52" s="27" t="s">
        <v>4</v>
      </c>
      <c r="C52" s="63" t="s">
        <v>7</v>
      </c>
      <c r="D52" s="63"/>
      <c r="E52" s="64"/>
      <c r="F52" s="28" t="s">
        <v>152</v>
      </c>
      <c r="G52" s="28" t="s">
        <v>153</v>
      </c>
      <c r="H52" s="28" t="s">
        <v>154</v>
      </c>
      <c r="I52" s="28" t="s">
        <v>114</v>
      </c>
      <c r="J52" s="28" t="s">
        <v>155</v>
      </c>
      <c r="K52" s="28" t="s">
        <v>156</v>
      </c>
      <c r="L52" s="28" t="s">
        <v>157</v>
      </c>
      <c r="M52" s="28" t="s">
        <v>158</v>
      </c>
      <c r="N52" s="36" t="s">
        <v>69</v>
      </c>
    </row>
    <row r="53" spans="1:14" ht="15" x14ac:dyDescent="0.25">
      <c r="A53" s="25" t="s">
        <v>8</v>
      </c>
      <c r="B53" s="29" t="s">
        <v>18</v>
      </c>
      <c r="C53" s="66">
        <f>Data!C9</f>
        <v>3500</v>
      </c>
      <c r="D53" s="66"/>
      <c r="E53" s="67"/>
      <c r="F53" s="5"/>
      <c r="G53" s="5"/>
      <c r="H53" s="5"/>
      <c r="I53" s="5"/>
      <c r="J53" s="5"/>
      <c r="K53" s="5"/>
      <c r="L53" s="5"/>
      <c r="M53" s="5"/>
      <c r="N53" s="32">
        <f>SUM(F53:M53)</f>
        <v>0</v>
      </c>
    </row>
    <row r="54" spans="1:14" ht="15" x14ac:dyDescent="0.25">
      <c r="A54" s="25" t="s">
        <v>9</v>
      </c>
      <c r="B54" s="29" t="s">
        <v>19</v>
      </c>
      <c r="C54" s="66">
        <f>Data!C10</f>
        <v>1260</v>
      </c>
      <c r="D54" s="66"/>
      <c r="E54" s="67"/>
      <c r="F54" s="5"/>
      <c r="G54" s="5"/>
      <c r="H54" s="5"/>
      <c r="I54" s="5"/>
      <c r="J54" s="5"/>
      <c r="K54" s="5"/>
      <c r="L54" s="5"/>
      <c r="M54" s="5"/>
      <c r="N54" s="32">
        <f t="shared" ref="N54:N62" si="2">SUM(F54:M54)</f>
        <v>0</v>
      </c>
    </row>
    <row r="55" spans="1:14" ht="15" x14ac:dyDescent="0.25">
      <c r="A55" s="25" t="s">
        <v>10</v>
      </c>
      <c r="B55" s="29" t="s">
        <v>20</v>
      </c>
      <c r="C55" s="66">
        <f>Data!C11</f>
        <v>3650</v>
      </c>
      <c r="D55" s="66"/>
      <c r="E55" s="67"/>
      <c r="F55" s="5"/>
      <c r="G55" s="5"/>
      <c r="H55" s="5"/>
      <c r="I55" s="5"/>
      <c r="J55" s="5"/>
      <c r="K55" s="5"/>
      <c r="L55" s="5"/>
      <c r="M55" s="5"/>
      <c r="N55" s="32">
        <f t="shared" si="2"/>
        <v>0</v>
      </c>
    </row>
    <row r="56" spans="1:14" ht="15" x14ac:dyDescent="0.25">
      <c r="A56" s="25" t="s">
        <v>11</v>
      </c>
      <c r="B56" s="29" t="s">
        <v>21</v>
      </c>
      <c r="C56" s="66">
        <f>Data!C12</f>
        <v>4960</v>
      </c>
      <c r="D56" s="66"/>
      <c r="E56" s="67"/>
      <c r="F56" s="5"/>
      <c r="G56" s="5"/>
      <c r="H56" s="5"/>
      <c r="I56" s="5"/>
      <c r="J56" s="5"/>
      <c r="K56" s="5"/>
      <c r="L56" s="5"/>
      <c r="M56" s="5"/>
      <c r="N56" s="32">
        <f t="shared" si="2"/>
        <v>0</v>
      </c>
    </row>
    <row r="57" spans="1:14" ht="15" x14ac:dyDescent="0.25">
      <c r="A57" s="25" t="s">
        <v>12</v>
      </c>
      <c r="B57" s="29" t="s">
        <v>22</v>
      </c>
      <c r="C57" s="66">
        <f>Data!C13</f>
        <v>3580</v>
      </c>
      <c r="D57" s="66"/>
      <c r="E57" s="67"/>
      <c r="F57" s="5"/>
      <c r="G57" s="5"/>
      <c r="H57" s="5"/>
      <c r="I57" s="5"/>
      <c r="J57" s="5"/>
      <c r="K57" s="5"/>
      <c r="L57" s="5"/>
      <c r="M57" s="5"/>
      <c r="N57" s="32">
        <f t="shared" si="2"/>
        <v>0</v>
      </c>
    </row>
    <row r="58" spans="1:14" ht="15" x14ac:dyDescent="0.25">
      <c r="A58" s="25" t="s">
        <v>13</v>
      </c>
      <c r="B58" s="29" t="s">
        <v>23</v>
      </c>
      <c r="C58" s="66">
        <f>Data!C14</f>
        <v>1250</v>
      </c>
      <c r="D58" s="66"/>
      <c r="E58" s="67"/>
      <c r="F58" s="5"/>
      <c r="G58" s="5"/>
      <c r="H58" s="5"/>
      <c r="I58" s="5"/>
      <c r="J58" s="5"/>
      <c r="K58" s="5"/>
      <c r="L58" s="5"/>
      <c r="M58" s="5"/>
      <c r="N58" s="32">
        <f t="shared" si="2"/>
        <v>0</v>
      </c>
    </row>
    <row r="59" spans="1:14" ht="15" x14ac:dyDescent="0.25">
      <c r="A59" s="25" t="s">
        <v>14</v>
      </c>
      <c r="B59" s="29" t="s">
        <v>24</v>
      </c>
      <c r="C59" s="66">
        <f>Data!C15</f>
        <v>4560</v>
      </c>
      <c r="D59" s="66"/>
      <c r="E59" s="67"/>
      <c r="F59" s="5"/>
      <c r="G59" s="5"/>
      <c r="H59" s="5"/>
      <c r="I59" s="5"/>
      <c r="J59" s="5"/>
      <c r="K59" s="5"/>
      <c r="L59" s="5"/>
      <c r="M59" s="5"/>
      <c r="N59" s="32">
        <f t="shared" si="2"/>
        <v>0</v>
      </c>
    </row>
    <row r="60" spans="1:14" ht="15" x14ac:dyDescent="0.25">
      <c r="A60" s="25" t="s">
        <v>15</v>
      </c>
      <c r="B60" s="29" t="s">
        <v>25</v>
      </c>
      <c r="C60" s="66">
        <f>Data!C16</f>
        <v>750</v>
      </c>
      <c r="D60" s="66"/>
      <c r="E60" s="67"/>
      <c r="F60" s="5"/>
      <c r="G60" s="5"/>
      <c r="H60" s="5"/>
      <c r="I60" s="5"/>
      <c r="J60" s="5"/>
      <c r="K60" s="5"/>
      <c r="L60" s="5"/>
      <c r="M60" s="5"/>
      <c r="N60" s="32">
        <f t="shared" si="2"/>
        <v>0</v>
      </c>
    </row>
    <row r="61" spans="1:14" ht="15" x14ac:dyDescent="0.25">
      <c r="A61" s="25" t="s">
        <v>16</v>
      </c>
      <c r="B61" s="29" t="s">
        <v>26</v>
      </c>
      <c r="C61" s="66">
        <f>Data!C17</f>
        <v>2580</v>
      </c>
      <c r="D61" s="66"/>
      <c r="E61" s="67"/>
      <c r="F61" s="5"/>
      <c r="G61" s="5"/>
      <c r="H61" s="5"/>
      <c r="I61" s="5"/>
      <c r="J61" s="5"/>
      <c r="K61" s="5"/>
      <c r="L61" s="5"/>
      <c r="M61" s="5"/>
      <c r="N61" s="32">
        <f t="shared" si="2"/>
        <v>0</v>
      </c>
    </row>
    <row r="62" spans="1:14" ht="15" x14ac:dyDescent="0.25">
      <c r="A62" s="25" t="s">
        <v>17</v>
      </c>
      <c r="B62" s="29" t="s">
        <v>27</v>
      </c>
      <c r="C62" s="66">
        <f>Data!C18</f>
        <v>5460</v>
      </c>
      <c r="D62" s="66"/>
      <c r="E62" s="67"/>
      <c r="F62" s="5"/>
      <c r="G62" s="5"/>
      <c r="H62" s="5"/>
      <c r="I62" s="5"/>
      <c r="J62" s="5"/>
      <c r="K62" s="5"/>
      <c r="L62" s="5"/>
      <c r="M62" s="5"/>
      <c r="N62" s="32">
        <f t="shared" si="2"/>
        <v>0</v>
      </c>
    </row>
    <row r="63" spans="1:14" ht="15" x14ac:dyDescent="0.25">
      <c r="A63" s="3"/>
      <c r="B63" s="22" t="s">
        <v>70</v>
      </c>
      <c r="C63" s="70">
        <f>SUM(C53:E62)</f>
        <v>31550</v>
      </c>
      <c r="D63" s="70"/>
      <c r="E63" s="71"/>
      <c r="F63" s="35">
        <f>SUM(F53:F62)</f>
        <v>0</v>
      </c>
      <c r="G63" s="35">
        <f t="shared" ref="G63:N63" si="3">SUM(G53:G62)</f>
        <v>0</v>
      </c>
      <c r="H63" s="35">
        <f t="shared" si="3"/>
        <v>0</v>
      </c>
      <c r="I63" s="35">
        <f t="shared" si="3"/>
        <v>0</v>
      </c>
      <c r="J63" s="35">
        <f t="shared" si="3"/>
        <v>0</v>
      </c>
      <c r="K63" s="35">
        <f t="shared" si="3"/>
        <v>0</v>
      </c>
      <c r="L63" s="35">
        <f t="shared" si="3"/>
        <v>0</v>
      </c>
      <c r="M63" s="35">
        <f t="shared" si="3"/>
        <v>0</v>
      </c>
      <c r="N63" s="35">
        <f t="shared" si="3"/>
        <v>0</v>
      </c>
    </row>
  </sheetData>
  <mergeCells count="34">
    <mergeCell ref="C60:E60"/>
    <mergeCell ref="C61:E61"/>
    <mergeCell ref="C62:E62"/>
    <mergeCell ref="C63:E63"/>
    <mergeCell ref="C54:E54"/>
    <mergeCell ref="C55:E55"/>
    <mergeCell ref="C56:E56"/>
    <mergeCell ref="C57:E57"/>
    <mergeCell ref="C58:E58"/>
    <mergeCell ref="C59:E59"/>
    <mergeCell ref="C53:E53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52:E52"/>
    <mergeCell ref="C38:E38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5"/>
  <sheetViews>
    <sheetView topLeftCell="C37" zoomScaleNormal="100" workbookViewId="0">
      <selection activeCell="C47" sqref="C47:Q54"/>
    </sheetView>
  </sheetViews>
  <sheetFormatPr baseColWidth="10" defaultRowHeight="14.25" x14ac:dyDescent="0.2"/>
  <cols>
    <col min="2" max="2" width="20.375" customWidth="1"/>
    <col min="3" max="3" width="9.625" bestFit="1" customWidth="1"/>
    <col min="4" max="4" width="8.5" bestFit="1" customWidth="1"/>
    <col min="5" max="5" width="7.25" bestFit="1" customWidth="1"/>
    <col min="6" max="6" width="9.625" bestFit="1" customWidth="1"/>
    <col min="7" max="7" width="10.25" bestFit="1" customWidth="1"/>
    <col min="8" max="8" width="9.875" customWidth="1"/>
    <col min="9" max="9" width="10.625" bestFit="1" customWidth="1"/>
    <col min="10" max="10" width="9.5" customWidth="1"/>
    <col min="11" max="13" width="10.625" bestFit="1" customWidth="1"/>
    <col min="14" max="14" width="10.5" customWidth="1"/>
    <col min="15" max="15" width="9.375" customWidth="1"/>
    <col min="17" max="17" width="9.25" customWidth="1"/>
    <col min="18" max="18" width="13.875" customWidth="1"/>
  </cols>
  <sheetData>
    <row r="1" spans="1:14" ht="18" x14ac:dyDescent="0.25">
      <c r="A1" s="2" t="s">
        <v>160</v>
      </c>
    </row>
    <row r="3" spans="1:14" ht="15" x14ac:dyDescent="0.25">
      <c r="A3" s="1" t="s">
        <v>60</v>
      </c>
    </row>
    <row r="4" spans="1:14" x14ac:dyDescent="0.2">
      <c r="A4" t="s">
        <v>166</v>
      </c>
    </row>
    <row r="5" spans="1:14" x14ac:dyDescent="0.2">
      <c r="A5" t="s">
        <v>168</v>
      </c>
    </row>
    <row r="6" spans="1:14" x14ac:dyDescent="0.2">
      <c r="A6" t="s">
        <v>169</v>
      </c>
    </row>
    <row r="7" spans="1:14" x14ac:dyDescent="0.2">
      <c r="A7" t="s">
        <v>170</v>
      </c>
    </row>
    <row r="8" spans="1:14" x14ac:dyDescent="0.2">
      <c r="A8" t="s">
        <v>85</v>
      </c>
    </row>
    <row r="10" spans="1:14" ht="15" x14ac:dyDescent="0.25">
      <c r="A10" s="1" t="s">
        <v>177</v>
      </c>
    </row>
    <row r="11" spans="1:14" ht="15" x14ac:dyDescent="0.25">
      <c r="A11" s="1"/>
      <c r="C11" s="30" t="s">
        <v>30</v>
      </c>
      <c r="D11" s="30" t="s">
        <v>31</v>
      </c>
      <c r="E11" s="30" t="s">
        <v>32</v>
      </c>
      <c r="F11" s="30" t="s">
        <v>33</v>
      </c>
      <c r="G11" s="30" t="s">
        <v>34</v>
      </c>
      <c r="H11" s="30" t="s">
        <v>35</v>
      </c>
      <c r="I11" s="30" t="s">
        <v>36</v>
      </c>
      <c r="J11" s="30" t="s">
        <v>37</v>
      </c>
      <c r="K11" s="30" t="s">
        <v>38</v>
      </c>
      <c r="L11" s="30" t="s">
        <v>39</v>
      </c>
      <c r="M11" s="30" t="s">
        <v>40</v>
      </c>
      <c r="N11" s="30" t="s">
        <v>41</v>
      </c>
    </row>
    <row r="12" spans="1:14" ht="36" x14ac:dyDescent="0.2">
      <c r="A12" s="27" t="s">
        <v>3</v>
      </c>
      <c r="B12" s="27" t="s">
        <v>4</v>
      </c>
      <c r="C12" s="37" t="s">
        <v>42</v>
      </c>
      <c r="D12" s="37" t="s">
        <v>43</v>
      </c>
      <c r="E12" s="37" t="s">
        <v>44</v>
      </c>
      <c r="F12" s="37" t="s">
        <v>45</v>
      </c>
      <c r="G12" s="37" t="s">
        <v>46</v>
      </c>
      <c r="H12" s="37" t="s">
        <v>47</v>
      </c>
      <c r="I12" s="37" t="s">
        <v>48</v>
      </c>
      <c r="J12" s="37" t="s">
        <v>49</v>
      </c>
      <c r="K12" s="37" t="s">
        <v>50</v>
      </c>
      <c r="L12" s="37" t="s">
        <v>51</v>
      </c>
      <c r="M12" s="37" t="s">
        <v>52</v>
      </c>
      <c r="N12" s="37" t="s">
        <v>53</v>
      </c>
    </row>
    <row r="13" spans="1:14" ht="15" x14ac:dyDescent="0.25">
      <c r="A13" s="25" t="s">
        <v>145</v>
      </c>
      <c r="B13" s="29" t="str">
        <f>Data!F23</f>
        <v>Almacén Materiales</v>
      </c>
      <c r="C13" s="21" t="s">
        <v>79</v>
      </c>
      <c r="D13" s="21" t="s">
        <v>79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4" ht="15" x14ac:dyDescent="0.25">
      <c r="A14" s="25" t="s">
        <v>146</v>
      </c>
      <c r="B14" s="29" t="str">
        <f>Data!F24</f>
        <v>Corte</v>
      </c>
      <c r="C14" s="21"/>
      <c r="D14" s="21"/>
      <c r="E14" s="21" t="s">
        <v>79</v>
      </c>
      <c r="F14" s="21"/>
      <c r="G14" s="21"/>
      <c r="H14" s="21"/>
      <c r="I14" s="21"/>
      <c r="J14" s="21"/>
      <c r="K14" s="21"/>
      <c r="L14" s="21"/>
      <c r="M14" s="21"/>
      <c r="N14" s="21"/>
    </row>
    <row r="15" spans="1:14" ht="15" x14ac:dyDescent="0.25">
      <c r="A15" s="25" t="s">
        <v>147</v>
      </c>
      <c r="B15" s="29" t="str">
        <f>Data!F25</f>
        <v>Plasticos</v>
      </c>
      <c r="C15" s="21"/>
      <c r="D15" s="21"/>
      <c r="E15" s="21"/>
      <c r="F15" s="21" t="s">
        <v>79</v>
      </c>
      <c r="G15" s="21"/>
      <c r="H15" s="21"/>
      <c r="I15" s="21"/>
      <c r="J15" s="21"/>
      <c r="K15" s="21"/>
      <c r="L15" s="21"/>
      <c r="M15" s="21"/>
      <c r="N15" s="21"/>
    </row>
    <row r="16" spans="1:14" ht="15" x14ac:dyDescent="0.25">
      <c r="A16" s="25" t="s">
        <v>148</v>
      </c>
      <c r="B16" s="29" t="str">
        <f>Data!F26</f>
        <v>Poliuretano</v>
      </c>
      <c r="C16" s="21"/>
      <c r="D16" s="21"/>
      <c r="E16" s="21"/>
      <c r="F16" s="21"/>
      <c r="G16" s="21"/>
      <c r="H16" s="21" t="s">
        <v>79</v>
      </c>
      <c r="I16" s="21"/>
      <c r="J16" s="21"/>
      <c r="K16" s="21"/>
      <c r="L16" s="21"/>
      <c r="M16" s="21"/>
      <c r="N16" s="21"/>
    </row>
    <row r="17" spans="1:14" ht="15" x14ac:dyDescent="0.25">
      <c r="A17" s="25" t="s">
        <v>149</v>
      </c>
      <c r="B17" s="29" t="str">
        <f>Data!F27</f>
        <v>Ensamble Cocinas</v>
      </c>
      <c r="C17" s="21"/>
      <c r="D17" s="21"/>
      <c r="E17" s="21"/>
      <c r="F17" s="21"/>
      <c r="G17" s="21" t="s">
        <v>79</v>
      </c>
      <c r="H17" s="21"/>
      <c r="I17" s="21"/>
      <c r="J17" s="21" t="s">
        <v>79</v>
      </c>
      <c r="K17" s="21"/>
      <c r="L17" s="21" t="s">
        <v>79</v>
      </c>
      <c r="M17" s="21"/>
      <c r="N17" s="21"/>
    </row>
    <row r="18" spans="1:14" ht="15" x14ac:dyDescent="0.25">
      <c r="A18" s="25" t="s">
        <v>150</v>
      </c>
      <c r="B18" s="29" t="str">
        <f>Data!F28</f>
        <v>Ensamble Refrigeradores</v>
      </c>
      <c r="C18" s="21"/>
      <c r="D18" s="21"/>
      <c r="E18" s="21"/>
      <c r="F18" s="21"/>
      <c r="G18" s="21"/>
      <c r="H18" s="21"/>
      <c r="I18" s="21" t="s">
        <v>79</v>
      </c>
      <c r="J18" s="21"/>
      <c r="K18" s="21" t="s">
        <v>79</v>
      </c>
      <c r="L18" s="21"/>
      <c r="M18" s="21"/>
      <c r="N18" s="21"/>
    </row>
    <row r="19" spans="1:14" ht="15" x14ac:dyDescent="0.25">
      <c r="A19" s="25" t="s">
        <v>151</v>
      </c>
      <c r="B19" s="29" t="str">
        <f>Data!F29</f>
        <v>Embalaje Cocinas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 t="s">
        <v>79</v>
      </c>
    </row>
    <row r="20" spans="1:14" ht="15" x14ac:dyDescent="0.25">
      <c r="A20" s="25" t="s">
        <v>159</v>
      </c>
      <c r="B20" s="29" t="str">
        <f>Data!F30</f>
        <v>Embalaje Refrigeradoras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 t="s">
        <v>79</v>
      </c>
      <c r="N20" s="21"/>
    </row>
    <row r="22" spans="1:14" ht="15" x14ac:dyDescent="0.25">
      <c r="A22" s="1" t="s">
        <v>161</v>
      </c>
    </row>
    <row r="23" spans="1:14" ht="15" x14ac:dyDescent="0.2">
      <c r="A23" s="27" t="s">
        <v>3</v>
      </c>
      <c r="B23" s="27" t="s">
        <v>4</v>
      </c>
      <c r="C23" s="63" t="s">
        <v>73</v>
      </c>
      <c r="D23" s="63"/>
      <c r="E23" s="63"/>
    </row>
    <row r="24" spans="1:14" ht="15" x14ac:dyDescent="0.25">
      <c r="A24" s="25" t="s">
        <v>145</v>
      </c>
      <c r="B24" s="29" t="str">
        <f>B13</f>
        <v>Almacén Materiales</v>
      </c>
      <c r="C24" s="65" t="s">
        <v>178</v>
      </c>
      <c r="D24" s="65"/>
      <c r="E24" s="65"/>
    </row>
    <row r="25" spans="1:14" ht="15" x14ac:dyDescent="0.25">
      <c r="A25" s="25" t="s">
        <v>146</v>
      </c>
      <c r="B25" s="29" t="str">
        <f>B14</f>
        <v>Corte</v>
      </c>
      <c r="C25" s="65" t="s">
        <v>179</v>
      </c>
      <c r="D25" s="65"/>
      <c r="E25" s="65"/>
    </row>
    <row r="26" spans="1:14" ht="15" x14ac:dyDescent="0.25">
      <c r="A26" s="25" t="s">
        <v>147</v>
      </c>
      <c r="B26" s="29" t="str">
        <f t="shared" ref="B26:B30" si="0">B15</f>
        <v>Plasticos</v>
      </c>
      <c r="C26" s="65" t="s">
        <v>179</v>
      </c>
      <c r="D26" s="65"/>
      <c r="E26" s="65"/>
    </row>
    <row r="27" spans="1:14" ht="15" x14ac:dyDescent="0.25">
      <c r="A27" s="25" t="s">
        <v>148</v>
      </c>
      <c r="B27" s="29" t="str">
        <f t="shared" si="0"/>
        <v>Poliuretano</v>
      </c>
      <c r="C27" s="65" t="s">
        <v>179</v>
      </c>
      <c r="D27" s="65"/>
      <c r="E27" s="65"/>
    </row>
    <row r="28" spans="1:14" ht="15" x14ac:dyDescent="0.25">
      <c r="A28" s="25" t="s">
        <v>149</v>
      </c>
      <c r="B28" s="29" t="str">
        <f t="shared" si="0"/>
        <v>Ensamble Cocinas</v>
      </c>
      <c r="C28" s="65" t="s">
        <v>180</v>
      </c>
      <c r="D28" s="65"/>
      <c r="E28" s="65"/>
    </row>
    <row r="29" spans="1:14" ht="15" x14ac:dyDescent="0.25">
      <c r="A29" s="25" t="s">
        <v>150</v>
      </c>
      <c r="B29" s="29" t="str">
        <f t="shared" si="0"/>
        <v>Ensamble Refrigeradores</v>
      </c>
      <c r="C29" s="65" t="s">
        <v>180</v>
      </c>
      <c r="D29" s="65"/>
      <c r="E29" s="65"/>
    </row>
    <row r="30" spans="1:14" ht="15" x14ac:dyDescent="0.25">
      <c r="A30" s="25" t="s">
        <v>151</v>
      </c>
      <c r="B30" s="29" t="str">
        <f t="shared" si="0"/>
        <v>Embalaje Cocinas</v>
      </c>
      <c r="C30" s="65" t="s">
        <v>179</v>
      </c>
      <c r="D30" s="65"/>
      <c r="E30" s="65"/>
    </row>
    <row r="31" spans="1:14" ht="15" x14ac:dyDescent="0.25">
      <c r="A31" s="25" t="s">
        <v>159</v>
      </c>
      <c r="B31" s="29" t="str">
        <f>B20</f>
        <v>Embalaje Refrigeradoras</v>
      </c>
      <c r="C31" s="65" t="s">
        <v>179</v>
      </c>
      <c r="D31" s="65"/>
      <c r="E31" s="65"/>
    </row>
    <row r="33" spans="1:18" ht="15" x14ac:dyDescent="0.25">
      <c r="A33" s="1" t="s">
        <v>167</v>
      </c>
      <c r="F33" s="30" t="s">
        <v>30</v>
      </c>
      <c r="G33" s="30" t="s">
        <v>31</v>
      </c>
      <c r="H33" s="30" t="s">
        <v>32</v>
      </c>
      <c r="I33" s="30" t="s">
        <v>33</v>
      </c>
      <c r="J33" s="30" t="s">
        <v>34</v>
      </c>
      <c r="K33" s="30" t="s">
        <v>35</v>
      </c>
      <c r="L33" s="30" t="s">
        <v>36</v>
      </c>
      <c r="M33" s="30" t="s">
        <v>37</v>
      </c>
      <c r="N33" s="30" t="s">
        <v>38</v>
      </c>
      <c r="O33" s="30" t="s">
        <v>39</v>
      </c>
      <c r="P33" s="30" t="s">
        <v>40</v>
      </c>
      <c r="Q33" s="30" t="s">
        <v>41</v>
      </c>
    </row>
    <row r="34" spans="1:18" ht="36" x14ac:dyDescent="0.2">
      <c r="A34" s="27" t="s">
        <v>3</v>
      </c>
      <c r="B34" s="27" t="s">
        <v>4</v>
      </c>
      <c r="C34" s="63" t="s">
        <v>73</v>
      </c>
      <c r="D34" s="63"/>
      <c r="E34" s="64"/>
      <c r="F34" s="37" t="s">
        <v>42</v>
      </c>
      <c r="G34" s="37" t="s">
        <v>43</v>
      </c>
      <c r="H34" s="37" t="s">
        <v>44</v>
      </c>
      <c r="I34" s="37" t="s">
        <v>45</v>
      </c>
      <c r="J34" s="37" t="s">
        <v>46</v>
      </c>
      <c r="K34" s="37" t="s">
        <v>47</v>
      </c>
      <c r="L34" s="37" t="s">
        <v>48</v>
      </c>
      <c r="M34" s="37" t="s">
        <v>49</v>
      </c>
      <c r="N34" s="37" t="s">
        <v>50</v>
      </c>
      <c r="O34" s="37" t="s">
        <v>51</v>
      </c>
      <c r="P34" s="37" t="s">
        <v>52</v>
      </c>
      <c r="Q34" s="37" t="s">
        <v>53</v>
      </c>
      <c r="R34" s="36" t="s">
        <v>69</v>
      </c>
    </row>
    <row r="35" spans="1:18" ht="15" x14ac:dyDescent="0.25">
      <c r="A35" s="25" t="s">
        <v>145</v>
      </c>
      <c r="B35" s="29" t="str">
        <f>B24</f>
        <v>Almacén Materiales</v>
      </c>
      <c r="C35" s="68" t="str">
        <f>C24</f>
        <v>% Asignacion</v>
      </c>
      <c r="D35" s="68"/>
      <c r="E35" s="69"/>
      <c r="F35" s="4">
        <v>0.6</v>
      </c>
      <c r="G35" s="4">
        <v>0.4</v>
      </c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32">
        <f>SUM(F35:Q35)</f>
        <v>1</v>
      </c>
    </row>
    <row r="36" spans="1:18" ht="15" x14ac:dyDescent="0.25">
      <c r="A36" s="25" t="s">
        <v>146</v>
      </c>
      <c r="B36" s="29" t="str">
        <f>B25</f>
        <v>Corte</v>
      </c>
      <c r="C36" s="68" t="str">
        <f>C25</f>
        <v>Directo</v>
      </c>
      <c r="D36" s="68"/>
      <c r="E36" s="69"/>
      <c r="F36" s="21"/>
      <c r="G36" s="21"/>
      <c r="H36" s="21">
        <v>1</v>
      </c>
      <c r="I36" s="21"/>
      <c r="J36" s="21"/>
      <c r="K36" s="21"/>
      <c r="L36" s="21"/>
      <c r="M36" s="21"/>
      <c r="N36" s="21"/>
      <c r="O36" s="21"/>
      <c r="P36" s="21"/>
      <c r="Q36" s="21"/>
      <c r="R36" s="33">
        <f t="shared" ref="R36:R42" si="1">SUM(F36:Q36)</f>
        <v>1</v>
      </c>
    </row>
    <row r="37" spans="1:18" ht="15" x14ac:dyDescent="0.25">
      <c r="A37" s="25" t="s">
        <v>147</v>
      </c>
      <c r="B37" s="29" t="str">
        <f t="shared" ref="B37:B41" si="2">B26</f>
        <v>Plasticos</v>
      </c>
      <c r="C37" s="68" t="str">
        <f t="shared" ref="C37:C42" si="3">C26</f>
        <v>Directo</v>
      </c>
      <c r="D37" s="68"/>
      <c r="E37" s="69"/>
      <c r="F37" s="21"/>
      <c r="G37" s="21"/>
      <c r="H37" s="21"/>
      <c r="I37" s="21">
        <v>1</v>
      </c>
      <c r="J37" s="21"/>
      <c r="K37" s="21"/>
      <c r="L37" s="21"/>
      <c r="M37" s="21"/>
      <c r="N37" s="21"/>
      <c r="O37" s="21"/>
      <c r="P37" s="21"/>
      <c r="Q37" s="21"/>
      <c r="R37" s="32">
        <f t="shared" si="1"/>
        <v>1</v>
      </c>
    </row>
    <row r="38" spans="1:18" ht="15" x14ac:dyDescent="0.25">
      <c r="A38" s="25" t="s">
        <v>148</v>
      </c>
      <c r="B38" s="29" t="str">
        <f t="shared" si="2"/>
        <v>Poliuretano</v>
      </c>
      <c r="C38" s="68" t="str">
        <f t="shared" si="3"/>
        <v>Directo</v>
      </c>
      <c r="D38" s="68"/>
      <c r="E38" s="69"/>
      <c r="F38" s="21"/>
      <c r="G38" s="21"/>
      <c r="H38" s="21"/>
      <c r="I38" s="21"/>
      <c r="J38" s="21"/>
      <c r="K38" s="21">
        <v>1</v>
      </c>
      <c r="L38" s="21"/>
      <c r="M38" s="21"/>
      <c r="N38" s="21"/>
      <c r="O38" s="21"/>
      <c r="P38" s="21"/>
      <c r="Q38" s="21"/>
      <c r="R38" s="32">
        <f t="shared" si="1"/>
        <v>1</v>
      </c>
    </row>
    <row r="39" spans="1:18" ht="15" x14ac:dyDescent="0.25">
      <c r="A39" s="25" t="s">
        <v>149</v>
      </c>
      <c r="B39" s="29" t="str">
        <f t="shared" si="2"/>
        <v>Ensamble Cocinas</v>
      </c>
      <c r="C39" s="68" t="str">
        <f t="shared" si="3"/>
        <v>No unidades trabajadas</v>
      </c>
      <c r="D39" s="68"/>
      <c r="E39" s="69"/>
      <c r="F39" s="21"/>
      <c r="G39" s="21"/>
      <c r="H39" s="21"/>
      <c r="I39" s="21"/>
      <c r="J39" s="21">
        <v>150</v>
      </c>
      <c r="K39" s="21"/>
      <c r="L39" s="21"/>
      <c r="M39" s="21">
        <v>200</v>
      </c>
      <c r="N39" s="21"/>
      <c r="O39" s="21">
        <v>300</v>
      </c>
      <c r="P39" s="21"/>
      <c r="Q39" s="21"/>
      <c r="R39" s="32">
        <f t="shared" si="1"/>
        <v>650</v>
      </c>
    </row>
    <row r="40" spans="1:18" ht="15" x14ac:dyDescent="0.25">
      <c r="A40" s="25" t="s">
        <v>150</v>
      </c>
      <c r="B40" s="29" t="str">
        <f t="shared" si="2"/>
        <v>Ensamble Refrigeradores</v>
      </c>
      <c r="C40" s="68" t="str">
        <f t="shared" si="3"/>
        <v>No unidades trabajadas</v>
      </c>
      <c r="D40" s="68"/>
      <c r="E40" s="69"/>
      <c r="F40" s="21"/>
      <c r="G40" s="21"/>
      <c r="H40" s="21"/>
      <c r="I40" s="21"/>
      <c r="J40" s="21"/>
      <c r="K40" s="21"/>
      <c r="L40" s="21">
        <v>1000</v>
      </c>
      <c r="M40" s="21"/>
      <c r="N40" s="21">
        <v>900</v>
      </c>
      <c r="O40" s="21"/>
      <c r="P40" s="21"/>
      <c r="Q40" s="21"/>
      <c r="R40" s="32">
        <f t="shared" si="1"/>
        <v>1900</v>
      </c>
    </row>
    <row r="41" spans="1:18" ht="15" x14ac:dyDescent="0.25">
      <c r="A41" s="25" t="s">
        <v>151</v>
      </c>
      <c r="B41" s="29" t="str">
        <f t="shared" si="2"/>
        <v>Embalaje Cocinas</v>
      </c>
      <c r="C41" s="68" t="str">
        <f t="shared" si="3"/>
        <v>Directo</v>
      </c>
      <c r="D41" s="68"/>
      <c r="E41" s="69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>
        <v>1</v>
      </c>
      <c r="R41" s="33">
        <f t="shared" si="1"/>
        <v>1</v>
      </c>
    </row>
    <row r="42" spans="1:18" ht="15" x14ac:dyDescent="0.25">
      <c r="A42" s="25" t="s">
        <v>159</v>
      </c>
      <c r="B42" s="29" t="str">
        <f>B31</f>
        <v>Embalaje Refrigeradoras</v>
      </c>
      <c r="C42" s="68" t="str">
        <f t="shared" si="3"/>
        <v>Directo</v>
      </c>
      <c r="D42" s="68"/>
      <c r="E42" s="69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>
        <v>1</v>
      </c>
      <c r="Q42" s="21"/>
      <c r="R42" s="33">
        <f t="shared" si="1"/>
        <v>1</v>
      </c>
    </row>
    <row r="44" spans="1:18" ht="15" x14ac:dyDescent="0.25">
      <c r="A44" s="1" t="s">
        <v>68</v>
      </c>
    </row>
    <row r="45" spans="1:18" ht="15" x14ac:dyDescent="0.2">
      <c r="F45" s="30" t="s">
        <v>30</v>
      </c>
      <c r="G45" s="30" t="s">
        <v>31</v>
      </c>
      <c r="H45" s="30" t="s">
        <v>32</v>
      </c>
      <c r="I45" s="30" t="s">
        <v>33</v>
      </c>
      <c r="J45" s="30" t="s">
        <v>34</v>
      </c>
      <c r="K45" s="30" t="s">
        <v>35</v>
      </c>
      <c r="L45" s="30" t="s">
        <v>36</v>
      </c>
      <c r="M45" s="30" t="s">
        <v>37</v>
      </c>
      <c r="N45" s="30" t="s">
        <v>38</v>
      </c>
      <c r="O45" s="30" t="s">
        <v>39</v>
      </c>
      <c r="P45" s="30" t="s">
        <v>40</v>
      </c>
      <c r="Q45" s="30" t="s">
        <v>41</v>
      </c>
    </row>
    <row r="46" spans="1:18" ht="36" x14ac:dyDescent="0.2">
      <c r="A46" s="27" t="s">
        <v>3</v>
      </c>
      <c r="B46" s="27" t="s">
        <v>4</v>
      </c>
      <c r="C46" s="63" t="s">
        <v>7</v>
      </c>
      <c r="D46" s="63"/>
      <c r="E46" s="64"/>
      <c r="F46" s="37" t="s">
        <v>42</v>
      </c>
      <c r="G46" s="37" t="s">
        <v>43</v>
      </c>
      <c r="H46" s="37" t="s">
        <v>44</v>
      </c>
      <c r="I46" s="37" t="s">
        <v>45</v>
      </c>
      <c r="J46" s="37" t="s">
        <v>46</v>
      </c>
      <c r="K46" s="37" t="s">
        <v>47</v>
      </c>
      <c r="L46" s="37" t="s">
        <v>48</v>
      </c>
      <c r="M46" s="37" t="s">
        <v>49</v>
      </c>
      <c r="N46" s="37" t="s">
        <v>50</v>
      </c>
      <c r="O46" s="37" t="s">
        <v>51</v>
      </c>
      <c r="P46" s="37" t="s">
        <v>52</v>
      </c>
      <c r="Q46" s="37" t="s">
        <v>53</v>
      </c>
      <c r="R46" s="36" t="s">
        <v>69</v>
      </c>
    </row>
    <row r="47" spans="1:18" ht="15" x14ac:dyDescent="0.25">
      <c r="A47" s="25" t="s">
        <v>145</v>
      </c>
      <c r="B47" s="29" t="str">
        <f>B35</f>
        <v>Almacén Materiales</v>
      </c>
      <c r="C47" s="66"/>
      <c r="D47" s="66"/>
      <c r="E47" s="67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32">
        <f>SUM(F47:Q47)</f>
        <v>0</v>
      </c>
    </row>
    <row r="48" spans="1:18" ht="15" x14ac:dyDescent="0.25">
      <c r="A48" s="25" t="s">
        <v>146</v>
      </c>
      <c r="B48" s="29" t="str">
        <f>B36</f>
        <v>Corte</v>
      </c>
      <c r="C48" s="66"/>
      <c r="D48" s="66"/>
      <c r="E48" s="67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32">
        <f t="shared" ref="R48:R54" si="4">SUM(F48:Q48)</f>
        <v>0</v>
      </c>
    </row>
    <row r="49" spans="1:18" ht="15" x14ac:dyDescent="0.25">
      <c r="A49" s="25" t="s">
        <v>147</v>
      </c>
      <c r="B49" s="29" t="str">
        <f>B37</f>
        <v>Plasticos</v>
      </c>
      <c r="C49" s="66"/>
      <c r="D49" s="66"/>
      <c r="E49" s="67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32">
        <f t="shared" si="4"/>
        <v>0</v>
      </c>
    </row>
    <row r="50" spans="1:18" ht="15" x14ac:dyDescent="0.25">
      <c r="A50" s="25" t="s">
        <v>148</v>
      </c>
      <c r="B50" s="29" t="str">
        <f t="shared" ref="B50:B53" si="5">B38</f>
        <v>Poliuretano</v>
      </c>
      <c r="C50" s="66"/>
      <c r="D50" s="66"/>
      <c r="E50" s="67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32">
        <f t="shared" si="4"/>
        <v>0</v>
      </c>
    </row>
    <row r="51" spans="1:18" ht="15" x14ac:dyDescent="0.25">
      <c r="A51" s="25" t="s">
        <v>149</v>
      </c>
      <c r="B51" s="29" t="str">
        <f t="shared" si="5"/>
        <v>Ensamble Cocinas</v>
      </c>
      <c r="C51" s="66"/>
      <c r="D51" s="66"/>
      <c r="E51" s="67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32">
        <f t="shared" si="4"/>
        <v>0</v>
      </c>
    </row>
    <row r="52" spans="1:18" ht="15" x14ac:dyDescent="0.25">
      <c r="A52" s="25" t="s">
        <v>150</v>
      </c>
      <c r="B52" s="29" t="str">
        <f t="shared" si="5"/>
        <v>Ensamble Refrigeradores</v>
      </c>
      <c r="C52" s="66"/>
      <c r="D52" s="66"/>
      <c r="E52" s="67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32">
        <f t="shared" si="4"/>
        <v>0</v>
      </c>
    </row>
    <row r="53" spans="1:18" ht="15" x14ac:dyDescent="0.25">
      <c r="A53" s="25" t="s">
        <v>151</v>
      </c>
      <c r="B53" s="29" t="str">
        <f t="shared" si="5"/>
        <v>Embalaje Cocinas</v>
      </c>
      <c r="C53" s="66"/>
      <c r="D53" s="66"/>
      <c r="E53" s="67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32">
        <f t="shared" si="4"/>
        <v>0</v>
      </c>
    </row>
    <row r="54" spans="1:18" ht="15" x14ac:dyDescent="0.25">
      <c r="A54" s="25" t="s">
        <v>159</v>
      </c>
      <c r="B54" s="29" t="str">
        <f>B42</f>
        <v>Embalaje Refrigeradoras</v>
      </c>
      <c r="C54" s="66"/>
      <c r="D54" s="66"/>
      <c r="E54" s="6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32">
        <f t="shared" si="4"/>
        <v>0</v>
      </c>
    </row>
    <row r="55" spans="1:18" ht="15" x14ac:dyDescent="0.25">
      <c r="A55" s="3"/>
      <c r="B55" s="22" t="s">
        <v>70</v>
      </c>
      <c r="C55" s="70">
        <f>SUM(C47:E54)</f>
        <v>0</v>
      </c>
      <c r="D55" s="70"/>
      <c r="E55" s="71"/>
      <c r="F55" s="35">
        <f>SUM(F47:F54)</f>
        <v>0</v>
      </c>
      <c r="G55" s="35">
        <f t="shared" ref="G55:R55" si="6">SUM(G47:G54)</f>
        <v>0</v>
      </c>
      <c r="H55" s="35">
        <f t="shared" si="6"/>
        <v>0</v>
      </c>
      <c r="I55" s="35">
        <f t="shared" si="6"/>
        <v>0</v>
      </c>
      <c r="J55" s="35">
        <f t="shared" si="6"/>
        <v>0</v>
      </c>
      <c r="K55" s="35">
        <f t="shared" si="6"/>
        <v>0</v>
      </c>
      <c r="L55" s="35">
        <f t="shared" si="6"/>
        <v>0</v>
      </c>
      <c r="M55" s="35">
        <f t="shared" si="6"/>
        <v>0</v>
      </c>
      <c r="N55" s="35">
        <f t="shared" si="6"/>
        <v>0</v>
      </c>
      <c r="O55" s="35">
        <f t="shared" si="6"/>
        <v>0</v>
      </c>
      <c r="P55" s="35">
        <f t="shared" si="6"/>
        <v>0</v>
      </c>
      <c r="Q55" s="35">
        <f t="shared" si="6"/>
        <v>0</v>
      </c>
      <c r="R55" s="35">
        <f t="shared" si="6"/>
        <v>0</v>
      </c>
    </row>
  </sheetData>
  <mergeCells count="28">
    <mergeCell ref="C34:E34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47:E47"/>
    <mergeCell ref="C35:E35"/>
    <mergeCell ref="C36:E36"/>
    <mergeCell ref="C37:E37"/>
    <mergeCell ref="C38:E38"/>
    <mergeCell ref="C39:E39"/>
    <mergeCell ref="C40:E40"/>
    <mergeCell ref="C41:E41"/>
    <mergeCell ref="C42:E42"/>
    <mergeCell ref="C46:E46"/>
    <mergeCell ref="C55:E55"/>
    <mergeCell ref="C53:E53"/>
    <mergeCell ref="C54:E54"/>
    <mergeCell ref="C48:E48"/>
    <mergeCell ref="C49:E49"/>
    <mergeCell ref="C50:E50"/>
    <mergeCell ref="C51:E51"/>
    <mergeCell ref="C52:E5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78"/>
  <sheetViews>
    <sheetView topLeftCell="A55" zoomScaleNormal="100" workbookViewId="0">
      <selection activeCell="C62" sqref="C62:J73"/>
    </sheetView>
  </sheetViews>
  <sheetFormatPr baseColWidth="10" defaultRowHeight="14.25" x14ac:dyDescent="0.2"/>
  <cols>
    <col min="2" max="2" width="30" customWidth="1"/>
  </cols>
  <sheetData>
    <row r="1" spans="1:7" ht="18" x14ac:dyDescent="0.25">
      <c r="A1" s="2" t="s">
        <v>196</v>
      </c>
    </row>
    <row r="3" spans="1:7" ht="15" x14ac:dyDescent="0.25">
      <c r="A3" s="1" t="s">
        <v>60</v>
      </c>
    </row>
    <row r="4" spans="1:7" x14ac:dyDescent="0.2">
      <c r="A4" t="s">
        <v>71</v>
      </c>
    </row>
    <row r="5" spans="1:7" x14ac:dyDescent="0.2">
      <c r="A5" t="s">
        <v>61</v>
      </c>
    </row>
    <row r="6" spans="1:7" x14ac:dyDescent="0.2">
      <c r="A6" t="s">
        <v>62</v>
      </c>
    </row>
    <row r="7" spans="1:7" x14ac:dyDescent="0.2">
      <c r="A7" t="s">
        <v>65</v>
      </c>
    </row>
    <row r="8" spans="1:7" x14ac:dyDescent="0.2">
      <c r="A8" t="s">
        <v>63</v>
      </c>
    </row>
    <row r="10" spans="1:7" ht="15" x14ac:dyDescent="0.25">
      <c r="A10" s="1" t="s">
        <v>72</v>
      </c>
    </row>
    <row r="11" spans="1:7" ht="15" x14ac:dyDescent="0.25">
      <c r="A11" s="1"/>
      <c r="C11" s="9" t="s">
        <v>117</v>
      </c>
      <c r="D11" s="9" t="s">
        <v>118</v>
      </c>
      <c r="E11" s="9" t="s">
        <v>119</v>
      </c>
      <c r="F11" s="9" t="s">
        <v>120</v>
      </c>
      <c r="G11" s="9" t="s">
        <v>121</v>
      </c>
    </row>
    <row r="12" spans="1:7" ht="15" x14ac:dyDescent="0.25">
      <c r="A12" s="1"/>
      <c r="C12" s="9" t="s">
        <v>133</v>
      </c>
      <c r="D12" s="9" t="s">
        <v>134</v>
      </c>
      <c r="E12" s="9" t="s">
        <v>135</v>
      </c>
      <c r="F12" s="9" t="s">
        <v>136</v>
      </c>
      <c r="G12" s="9" t="s">
        <v>137</v>
      </c>
    </row>
    <row r="13" spans="1:7" ht="15" x14ac:dyDescent="0.25">
      <c r="A13" s="27" t="s">
        <v>3</v>
      </c>
      <c r="B13" s="27" t="s">
        <v>4</v>
      </c>
      <c r="C13" s="9">
        <f>'Costo MOD'!D6</f>
        <v>200</v>
      </c>
      <c r="D13" s="9">
        <f>'Costo MOD'!E6</f>
        <v>100</v>
      </c>
      <c r="E13" s="9">
        <f>'Costo MOD'!F6</f>
        <v>300</v>
      </c>
      <c r="F13" s="9">
        <f>'Costo MOD'!G6</f>
        <v>500</v>
      </c>
      <c r="G13" s="9">
        <f>'Costo MOD'!H6</f>
        <v>620</v>
      </c>
    </row>
    <row r="14" spans="1:7" ht="15" x14ac:dyDescent="0.25">
      <c r="A14" s="25" t="s">
        <v>30</v>
      </c>
      <c r="B14" s="3" t="s">
        <v>42</v>
      </c>
      <c r="C14" s="6" t="s">
        <v>79</v>
      </c>
      <c r="D14" s="6" t="s">
        <v>79</v>
      </c>
      <c r="E14" s="6" t="s">
        <v>79</v>
      </c>
      <c r="F14" s="6" t="s">
        <v>79</v>
      </c>
      <c r="G14" s="6" t="s">
        <v>79</v>
      </c>
    </row>
    <row r="15" spans="1:7" ht="15" x14ac:dyDescent="0.25">
      <c r="A15" s="25" t="s">
        <v>31</v>
      </c>
      <c r="B15" s="3" t="s">
        <v>43</v>
      </c>
      <c r="C15" s="6" t="s">
        <v>79</v>
      </c>
      <c r="D15" s="6" t="s">
        <v>79</v>
      </c>
      <c r="E15" s="6" t="s">
        <v>79</v>
      </c>
      <c r="F15" s="6" t="s">
        <v>79</v>
      </c>
      <c r="G15" s="6" t="s">
        <v>79</v>
      </c>
    </row>
    <row r="16" spans="1:7" ht="15" x14ac:dyDescent="0.25">
      <c r="A16" s="25" t="s">
        <v>32</v>
      </c>
      <c r="B16" s="3" t="s">
        <v>44</v>
      </c>
      <c r="C16" s="6" t="s">
        <v>79</v>
      </c>
      <c r="D16" s="6" t="s">
        <v>79</v>
      </c>
      <c r="E16" s="6" t="s">
        <v>79</v>
      </c>
      <c r="F16" s="6" t="s">
        <v>79</v>
      </c>
      <c r="G16" s="6" t="s">
        <v>79</v>
      </c>
    </row>
    <row r="17" spans="1:7" ht="15" x14ac:dyDescent="0.25">
      <c r="A17" s="25" t="s">
        <v>33</v>
      </c>
      <c r="B17" s="3" t="s">
        <v>45</v>
      </c>
      <c r="C17" s="6" t="s">
        <v>79</v>
      </c>
      <c r="D17" s="6" t="s">
        <v>79</v>
      </c>
      <c r="E17" s="6" t="s">
        <v>79</v>
      </c>
      <c r="F17" s="6" t="s">
        <v>79</v>
      </c>
      <c r="G17" s="6" t="s">
        <v>79</v>
      </c>
    </row>
    <row r="18" spans="1:7" ht="15" x14ac:dyDescent="0.25">
      <c r="A18" s="25" t="s">
        <v>34</v>
      </c>
      <c r="B18" s="3" t="s">
        <v>46</v>
      </c>
      <c r="C18" s="6" t="s">
        <v>79</v>
      </c>
      <c r="D18" s="6" t="s">
        <v>79</v>
      </c>
      <c r="E18" s="6" t="s">
        <v>79</v>
      </c>
      <c r="F18" s="6" t="s">
        <v>79</v>
      </c>
      <c r="G18" s="6" t="s">
        <v>79</v>
      </c>
    </row>
    <row r="19" spans="1:7" ht="15" x14ac:dyDescent="0.25">
      <c r="A19" s="25" t="s">
        <v>35</v>
      </c>
      <c r="B19" s="3" t="s">
        <v>47</v>
      </c>
      <c r="C19" s="6"/>
      <c r="D19" s="6"/>
      <c r="E19" s="6" t="s">
        <v>79</v>
      </c>
      <c r="F19" s="6" t="s">
        <v>79</v>
      </c>
      <c r="G19" s="6" t="s">
        <v>79</v>
      </c>
    </row>
    <row r="20" spans="1:7" ht="15" x14ac:dyDescent="0.25">
      <c r="A20" s="25" t="s">
        <v>36</v>
      </c>
      <c r="B20" s="3" t="s">
        <v>48</v>
      </c>
      <c r="C20" s="6"/>
      <c r="D20" s="6"/>
      <c r="E20" s="6" t="s">
        <v>79</v>
      </c>
      <c r="F20" s="6" t="s">
        <v>79</v>
      </c>
      <c r="G20" s="6" t="s">
        <v>79</v>
      </c>
    </row>
    <row r="21" spans="1:7" ht="15" x14ac:dyDescent="0.25">
      <c r="A21" s="25" t="s">
        <v>37</v>
      </c>
      <c r="B21" s="3" t="s">
        <v>49</v>
      </c>
      <c r="C21" s="6" t="s">
        <v>79</v>
      </c>
      <c r="D21" s="6" t="s">
        <v>79</v>
      </c>
      <c r="E21" s="6"/>
      <c r="F21" s="6"/>
      <c r="G21" s="6"/>
    </row>
    <row r="22" spans="1:7" ht="15" x14ac:dyDescent="0.25">
      <c r="A22" s="25" t="s">
        <v>38</v>
      </c>
      <c r="B22" s="3" t="s">
        <v>50</v>
      </c>
      <c r="C22" s="6"/>
      <c r="D22" s="6"/>
      <c r="E22" s="6" t="s">
        <v>79</v>
      </c>
      <c r="F22" s="6" t="s">
        <v>79</v>
      </c>
      <c r="G22" s="6" t="s">
        <v>79</v>
      </c>
    </row>
    <row r="23" spans="1:7" ht="15" x14ac:dyDescent="0.25">
      <c r="A23" s="25" t="s">
        <v>39</v>
      </c>
      <c r="B23" s="3" t="s">
        <v>51</v>
      </c>
      <c r="C23" s="6" t="s">
        <v>79</v>
      </c>
      <c r="D23" s="6" t="s">
        <v>79</v>
      </c>
      <c r="E23" s="6"/>
      <c r="F23" s="6"/>
      <c r="G23" s="6"/>
    </row>
    <row r="24" spans="1:7" ht="15" x14ac:dyDescent="0.25">
      <c r="A24" s="25" t="s">
        <v>40</v>
      </c>
      <c r="B24" s="3" t="s">
        <v>52</v>
      </c>
      <c r="C24" s="6"/>
      <c r="D24" s="6"/>
      <c r="E24" s="6" t="s">
        <v>79</v>
      </c>
      <c r="F24" s="6" t="s">
        <v>79</v>
      </c>
      <c r="G24" s="6" t="s">
        <v>79</v>
      </c>
    </row>
    <row r="25" spans="1:7" ht="15" x14ac:dyDescent="0.25">
      <c r="A25" s="25" t="s">
        <v>41</v>
      </c>
      <c r="B25" s="3" t="s">
        <v>53</v>
      </c>
      <c r="C25" s="6" t="s">
        <v>79</v>
      </c>
      <c r="D25" s="6" t="s">
        <v>79</v>
      </c>
      <c r="E25" s="6"/>
      <c r="F25" s="6"/>
      <c r="G25" s="6"/>
    </row>
    <row r="27" spans="1:7" ht="15" x14ac:dyDescent="0.25">
      <c r="A27" s="1" t="s">
        <v>197</v>
      </c>
    </row>
    <row r="28" spans="1:7" ht="15" x14ac:dyDescent="0.2">
      <c r="A28" s="27" t="s">
        <v>3</v>
      </c>
      <c r="B28" s="27" t="s">
        <v>4</v>
      </c>
      <c r="C28" s="63" t="s">
        <v>73</v>
      </c>
      <c r="D28" s="63"/>
      <c r="E28" s="63"/>
    </row>
    <row r="29" spans="1:7" ht="15" x14ac:dyDescent="0.25">
      <c r="A29" s="25" t="s">
        <v>30</v>
      </c>
      <c r="B29" s="3" t="s">
        <v>42</v>
      </c>
      <c r="C29" s="75" t="s">
        <v>204</v>
      </c>
      <c r="D29" s="75"/>
      <c r="E29" s="75"/>
    </row>
    <row r="30" spans="1:7" ht="15" x14ac:dyDescent="0.25">
      <c r="A30" s="25" t="s">
        <v>31</v>
      </c>
      <c r="B30" s="3" t="s">
        <v>43</v>
      </c>
      <c r="C30" s="75" t="s">
        <v>205</v>
      </c>
      <c r="D30" s="75"/>
      <c r="E30" s="75"/>
    </row>
    <row r="31" spans="1:7" ht="15" x14ac:dyDescent="0.25">
      <c r="A31" s="25" t="s">
        <v>32</v>
      </c>
      <c r="B31" s="3" t="s">
        <v>44</v>
      </c>
      <c r="C31" s="75" t="s">
        <v>206</v>
      </c>
      <c r="D31" s="75"/>
      <c r="E31" s="75"/>
    </row>
    <row r="32" spans="1:7" ht="15" x14ac:dyDescent="0.25">
      <c r="A32" s="25" t="s">
        <v>33</v>
      </c>
      <c r="B32" s="3" t="s">
        <v>45</v>
      </c>
      <c r="C32" s="75" t="s">
        <v>207</v>
      </c>
      <c r="D32" s="75"/>
      <c r="E32" s="75"/>
    </row>
    <row r="33" spans="1:11" ht="15" x14ac:dyDescent="0.25">
      <c r="A33" s="25" t="s">
        <v>34</v>
      </c>
      <c r="B33" s="3" t="s">
        <v>46</v>
      </c>
      <c r="C33" s="75" t="s">
        <v>208</v>
      </c>
      <c r="D33" s="75"/>
      <c r="E33" s="75"/>
    </row>
    <row r="34" spans="1:11" ht="15" x14ac:dyDescent="0.25">
      <c r="A34" s="25" t="s">
        <v>35</v>
      </c>
      <c r="B34" s="3" t="s">
        <v>47</v>
      </c>
      <c r="C34" s="75" t="s">
        <v>86</v>
      </c>
      <c r="D34" s="75"/>
      <c r="E34" s="75"/>
    </row>
    <row r="35" spans="1:11" ht="15" x14ac:dyDescent="0.25">
      <c r="A35" s="25" t="s">
        <v>36</v>
      </c>
      <c r="B35" s="3" t="s">
        <v>48</v>
      </c>
      <c r="C35" s="75" t="s">
        <v>209</v>
      </c>
      <c r="D35" s="75"/>
      <c r="E35" s="75"/>
    </row>
    <row r="36" spans="1:11" ht="15" x14ac:dyDescent="0.25">
      <c r="A36" s="25" t="s">
        <v>37</v>
      </c>
      <c r="B36" s="3" t="s">
        <v>49</v>
      </c>
      <c r="C36" s="75" t="s">
        <v>210</v>
      </c>
      <c r="D36" s="75"/>
      <c r="E36" s="75"/>
    </row>
    <row r="37" spans="1:11" ht="15" x14ac:dyDescent="0.25">
      <c r="A37" s="25" t="s">
        <v>38</v>
      </c>
      <c r="B37" s="3" t="s">
        <v>50</v>
      </c>
      <c r="C37" s="75" t="s">
        <v>211</v>
      </c>
      <c r="D37" s="75"/>
      <c r="E37" s="75"/>
    </row>
    <row r="38" spans="1:11" ht="15" x14ac:dyDescent="0.25">
      <c r="A38" s="25" t="s">
        <v>39</v>
      </c>
      <c r="B38" s="3" t="s">
        <v>51</v>
      </c>
      <c r="C38" s="75" t="s">
        <v>211</v>
      </c>
      <c r="D38" s="75"/>
      <c r="E38" s="75"/>
    </row>
    <row r="39" spans="1:11" ht="15" x14ac:dyDescent="0.25">
      <c r="A39" s="25" t="s">
        <v>40</v>
      </c>
      <c r="B39" s="3" t="s">
        <v>52</v>
      </c>
      <c r="C39" s="75" t="s">
        <v>212</v>
      </c>
      <c r="D39" s="75"/>
      <c r="E39" s="75"/>
    </row>
    <row r="40" spans="1:11" ht="15" x14ac:dyDescent="0.25">
      <c r="A40" s="25" t="s">
        <v>41</v>
      </c>
      <c r="B40" s="3" t="s">
        <v>53</v>
      </c>
      <c r="C40" s="75" t="s">
        <v>213</v>
      </c>
      <c r="D40" s="75"/>
      <c r="E40" s="75"/>
    </row>
    <row r="41" spans="1:11" x14ac:dyDescent="0.2">
      <c r="C41" s="16"/>
      <c r="D41" s="16"/>
      <c r="E41" s="16"/>
    </row>
    <row r="42" spans="1:11" ht="15" x14ac:dyDescent="0.25">
      <c r="F42" s="9" t="s">
        <v>117</v>
      </c>
      <c r="G42" s="9" t="s">
        <v>118</v>
      </c>
      <c r="H42" s="9" t="s">
        <v>119</v>
      </c>
      <c r="I42" s="9" t="s">
        <v>120</v>
      </c>
      <c r="J42" s="9" t="s">
        <v>121</v>
      </c>
    </row>
    <row r="43" spans="1:11" ht="15" x14ac:dyDescent="0.25">
      <c r="A43" s="1" t="s">
        <v>67</v>
      </c>
      <c r="F43" s="9" t="s">
        <v>133</v>
      </c>
      <c r="G43" s="9" t="s">
        <v>134</v>
      </c>
      <c r="H43" s="9" t="s">
        <v>135</v>
      </c>
      <c r="I43" s="9" t="s">
        <v>136</v>
      </c>
      <c r="J43" s="9" t="s">
        <v>137</v>
      </c>
    </row>
    <row r="44" spans="1:11" ht="15" x14ac:dyDescent="0.25">
      <c r="A44" s="27" t="s">
        <v>3</v>
      </c>
      <c r="B44" s="27" t="s">
        <v>4</v>
      </c>
      <c r="C44" s="63" t="s">
        <v>73</v>
      </c>
      <c r="D44" s="63"/>
      <c r="E44" s="63"/>
      <c r="F44" s="9">
        <f>C13</f>
        <v>200</v>
      </c>
      <c r="G44" s="9">
        <f t="shared" ref="G44:J44" si="0">D13</f>
        <v>100</v>
      </c>
      <c r="H44" s="9">
        <f t="shared" si="0"/>
        <v>300</v>
      </c>
      <c r="I44" s="9">
        <f t="shared" si="0"/>
        <v>500</v>
      </c>
      <c r="J44" s="9">
        <f t="shared" si="0"/>
        <v>620</v>
      </c>
      <c r="K44" s="36" t="s">
        <v>69</v>
      </c>
    </row>
    <row r="45" spans="1:11" ht="15" x14ac:dyDescent="0.25">
      <c r="A45" s="25" t="s">
        <v>30</v>
      </c>
      <c r="B45" s="3" t="s">
        <v>42</v>
      </c>
      <c r="C45" s="68" t="str">
        <f t="shared" ref="C45:C56" si="1">C29</f>
        <v># recepciones</v>
      </c>
      <c r="D45" s="68"/>
      <c r="E45" s="68"/>
      <c r="F45" s="6">
        <v>20</v>
      </c>
      <c r="G45" s="6">
        <v>15</v>
      </c>
      <c r="H45" s="6">
        <v>30</v>
      </c>
      <c r="I45" s="6">
        <v>28</v>
      </c>
      <c r="J45" s="6">
        <v>12</v>
      </c>
      <c r="K45" s="32">
        <f>SUM(F45:J45)</f>
        <v>105</v>
      </c>
    </row>
    <row r="46" spans="1:11" ht="15" x14ac:dyDescent="0.25">
      <c r="A46" s="25" t="s">
        <v>31</v>
      </c>
      <c r="B46" s="3" t="s">
        <v>43</v>
      </c>
      <c r="C46" s="68" t="str">
        <f t="shared" si="1"/>
        <v># vales salida</v>
      </c>
      <c r="D46" s="68"/>
      <c r="E46" s="68"/>
      <c r="F46" s="6">
        <v>30</v>
      </c>
      <c r="G46" s="6">
        <v>25</v>
      </c>
      <c r="H46" s="6">
        <v>40</v>
      </c>
      <c r="I46" s="6">
        <v>30</v>
      </c>
      <c r="J46" s="6">
        <v>28</v>
      </c>
      <c r="K46" s="32">
        <f t="shared" ref="K46:K56" si="2">SUM(F46:J46)</f>
        <v>153</v>
      </c>
    </row>
    <row r="47" spans="1:11" ht="15" x14ac:dyDescent="0.25">
      <c r="A47" s="25" t="s">
        <v>32</v>
      </c>
      <c r="B47" s="3" t="s">
        <v>44</v>
      </c>
      <c r="C47" s="68" t="str">
        <f t="shared" si="1"/>
        <v># piezas cortadas</v>
      </c>
      <c r="D47" s="68"/>
      <c r="E47" s="68"/>
      <c r="F47" s="6">
        <v>16</v>
      </c>
      <c r="G47" s="6">
        <v>24</v>
      </c>
      <c r="H47" s="6">
        <v>18</v>
      </c>
      <c r="I47" s="6">
        <v>35</v>
      </c>
      <c r="J47" s="6">
        <v>45</v>
      </c>
      <c r="K47" s="32">
        <f t="shared" si="2"/>
        <v>138</v>
      </c>
    </row>
    <row r="48" spans="1:11" ht="15" x14ac:dyDescent="0.25">
      <c r="A48" s="25" t="s">
        <v>33</v>
      </c>
      <c r="B48" s="3" t="s">
        <v>45</v>
      </c>
      <c r="C48" s="68" t="str">
        <f t="shared" si="1"/>
        <v># piezas plasticas</v>
      </c>
      <c r="D48" s="68"/>
      <c r="E48" s="68"/>
      <c r="F48" s="6">
        <v>5</v>
      </c>
      <c r="G48" s="6">
        <v>8</v>
      </c>
      <c r="H48" s="6">
        <v>12</v>
      </c>
      <c r="I48" s="6">
        <v>16</v>
      </c>
      <c r="J48" s="6">
        <v>20</v>
      </c>
      <c r="K48" s="32">
        <f t="shared" si="2"/>
        <v>61</v>
      </c>
    </row>
    <row r="49" spans="1:11" ht="15" x14ac:dyDescent="0.25">
      <c r="A49" s="25" t="s">
        <v>34</v>
      </c>
      <c r="B49" s="3" t="s">
        <v>46</v>
      </c>
      <c r="C49" s="68" t="str">
        <f t="shared" si="1"/>
        <v># partes soldadas</v>
      </c>
      <c r="D49" s="68"/>
      <c r="E49" s="68"/>
      <c r="F49" s="6">
        <v>6</v>
      </c>
      <c r="G49" s="6">
        <v>8</v>
      </c>
      <c r="H49" s="6">
        <v>10</v>
      </c>
      <c r="I49" s="6">
        <v>12</v>
      </c>
      <c r="J49" s="6">
        <v>16</v>
      </c>
      <c r="K49" s="32">
        <f t="shared" si="2"/>
        <v>52</v>
      </c>
    </row>
    <row r="50" spans="1:11" ht="15" x14ac:dyDescent="0.25">
      <c r="A50" s="25" t="s">
        <v>35</v>
      </c>
      <c r="B50" s="3" t="s">
        <v>47</v>
      </c>
      <c r="C50" s="68" t="str">
        <f t="shared" si="1"/>
        <v>Kg poliuretano inyectado</v>
      </c>
      <c r="D50" s="68"/>
      <c r="E50" s="68"/>
      <c r="F50" s="6"/>
      <c r="G50" s="6"/>
      <c r="H50" s="6">
        <v>12</v>
      </c>
      <c r="I50" s="6">
        <v>24</v>
      </c>
      <c r="J50" s="6">
        <v>38</v>
      </c>
      <c r="K50" s="32">
        <f t="shared" si="2"/>
        <v>74</v>
      </c>
    </row>
    <row r="51" spans="1:11" ht="15" x14ac:dyDescent="0.25">
      <c r="A51" s="25" t="s">
        <v>36</v>
      </c>
      <c r="B51" s="3" t="s">
        <v>48</v>
      </c>
      <c r="C51" s="68" t="str">
        <f t="shared" si="1"/>
        <v># partes de refrigeradoras</v>
      </c>
      <c r="D51" s="68"/>
      <c r="E51" s="68"/>
      <c r="F51" s="6"/>
      <c r="G51" s="6"/>
      <c r="H51" s="6">
        <v>4</v>
      </c>
      <c r="I51" s="6">
        <v>8</v>
      </c>
      <c r="J51" s="6">
        <v>10</v>
      </c>
      <c r="K51" s="32">
        <f t="shared" si="2"/>
        <v>22</v>
      </c>
    </row>
    <row r="52" spans="1:11" ht="15" x14ac:dyDescent="0.25">
      <c r="A52" s="25" t="s">
        <v>37</v>
      </c>
      <c r="B52" s="3" t="s">
        <v>49</v>
      </c>
      <c r="C52" s="68" t="str">
        <f t="shared" si="1"/>
        <v># partes de cocinas</v>
      </c>
      <c r="D52" s="68"/>
      <c r="E52" s="68"/>
      <c r="F52" s="6">
        <v>3</v>
      </c>
      <c r="G52" s="6">
        <v>5</v>
      </c>
      <c r="H52" s="6"/>
      <c r="I52" s="6"/>
      <c r="J52" s="6"/>
      <c r="K52" s="32">
        <f t="shared" si="2"/>
        <v>8</v>
      </c>
    </row>
    <row r="53" spans="1:11" ht="15" x14ac:dyDescent="0.25">
      <c r="A53" s="25" t="s">
        <v>38</v>
      </c>
      <c r="B53" s="3" t="s">
        <v>50</v>
      </c>
      <c r="C53" s="68" t="str">
        <f t="shared" si="1"/>
        <v># partes a ensamblar</v>
      </c>
      <c r="D53" s="68"/>
      <c r="E53" s="68"/>
      <c r="F53" s="6"/>
      <c r="G53" s="6"/>
      <c r="H53" s="6">
        <v>16</v>
      </c>
      <c r="I53" s="6">
        <v>18</v>
      </c>
      <c r="J53" s="6">
        <v>22</v>
      </c>
      <c r="K53" s="32">
        <f t="shared" si="2"/>
        <v>56</v>
      </c>
    </row>
    <row r="54" spans="1:11" ht="15" x14ac:dyDescent="0.25">
      <c r="A54" s="25" t="s">
        <v>39</v>
      </c>
      <c r="B54" s="3" t="s">
        <v>51</v>
      </c>
      <c r="C54" s="68" t="str">
        <f t="shared" si="1"/>
        <v># partes a ensamblar</v>
      </c>
      <c r="D54" s="68"/>
      <c r="E54" s="68"/>
      <c r="F54" s="6">
        <v>12</v>
      </c>
      <c r="G54" s="6">
        <v>14</v>
      </c>
      <c r="H54" s="6"/>
      <c r="I54" s="6"/>
      <c r="J54" s="6"/>
      <c r="K54" s="32">
        <f t="shared" si="2"/>
        <v>26</v>
      </c>
    </row>
    <row r="55" spans="1:11" ht="15" x14ac:dyDescent="0.25">
      <c r="A55" s="25" t="s">
        <v>40</v>
      </c>
      <c r="B55" s="3" t="s">
        <v>52</v>
      </c>
      <c r="C55" s="68" t="str">
        <f t="shared" si="1"/>
        <v># refrigeradoras producidas</v>
      </c>
      <c r="D55" s="68"/>
      <c r="E55" s="68"/>
      <c r="F55" s="6"/>
      <c r="G55" s="6"/>
      <c r="H55" s="6">
        <f>H44</f>
        <v>300</v>
      </c>
      <c r="I55" s="6">
        <f t="shared" ref="I55:J55" si="3">I44</f>
        <v>500</v>
      </c>
      <c r="J55" s="6">
        <f t="shared" si="3"/>
        <v>620</v>
      </c>
      <c r="K55" s="32">
        <f t="shared" si="2"/>
        <v>1420</v>
      </c>
    </row>
    <row r="56" spans="1:11" ht="15" x14ac:dyDescent="0.25">
      <c r="A56" s="25" t="s">
        <v>41</v>
      </c>
      <c r="B56" s="3" t="s">
        <v>53</v>
      </c>
      <c r="C56" s="68" t="str">
        <f t="shared" si="1"/>
        <v># cocinas producidas</v>
      </c>
      <c r="D56" s="68"/>
      <c r="E56" s="68"/>
      <c r="F56" s="6">
        <f>F44</f>
        <v>200</v>
      </c>
      <c r="G56" s="6">
        <f t="shared" ref="G56" si="4">G44</f>
        <v>100</v>
      </c>
      <c r="H56" s="6"/>
      <c r="I56" s="6"/>
      <c r="J56" s="6"/>
      <c r="K56" s="32">
        <f t="shared" si="2"/>
        <v>300</v>
      </c>
    </row>
    <row r="58" spans="1:11" ht="15" x14ac:dyDescent="0.25">
      <c r="A58" s="1" t="s">
        <v>74</v>
      </c>
    </row>
    <row r="59" spans="1:11" ht="15" x14ac:dyDescent="0.25">
      <c r="A59" s="1"/>
      <c r="F59" s="9" t="s">
        <v>117</v>
      </c>
      <c r="G59" s="9" t="s">
        <v>118</v>
      </c>
      <c r="H59" s="9" t="s">
        <v>119</v>
      </c>
      <c r="I59" s="9" t="s">
        <v>120</v>
      </c>
      <c r="J59" s="9" t="s">
        <v>121</v>
      </c>
    </row>
    <row r="60" spans="1:11" ht="15" x14ac:dyDescent="0.25">
      <c r="F60" s="9" t="s">
        <v>133</v>
      </c>
      <c r="G60" s="9" t="s">
        <v>134</v>
      </c>
      <c r="H60" s="9" t="s">
        <v>135</v>
      </c>
      <c r="I60" s="9" t="s">
        <v>136</v>
      </c>
      <c r="J60" s="9" t="s">
        <v>137</v>
      </c>
    </row>
    <row r="61" spans="1:11" ht="15" x14ac:dyDescent="0.25">
      <c r="A61" s="27" t="s">
        <v>3</v>
      </c>
      <c r="B61" s="27" t="s">
        <v>4</v>
      </c>
      <c r="C61" s="63" t="s">
        <v>7</v>
      </c>
      <c r="D61" s="63"/>
      <c r="E61" s="63"/>
      <c r="F61" s="9">
        <f>F44</f>
        <v>200</v>
      </c>
      <c r="G61" s="9">
        <f t="shared" ref="G61:J61" si="5">G44</f>
        <v>100</v>
      </c>
      <c r="H61" s="9">
        <f t="shared" si="5"/>
        <v>300</v>
      </c>
      <c r="I61" s="9">
        <f t="shared" si="5"/>
        <v>500</v>
      </c>
      <c r="J61" s="9">
        <f t="shared" si="5"/>
        <v>620</v>
      </c>
      <c r="K61" s="36" t="s">
        <v>69</v>
      </c>
    </row>
    <row r="62" spans="1:11" ht="15" x14ac:dyDescent="0.25">
      <c r="A62" s="25" t="s">
        <v>30</v>
      </c>
      <c r="B62" s="3" t="s">
        <v>42</v>
      </c>
      <c r="C62" s="72"/>
      <c r="D62" s="72"/>
      <c r="E62" s="72"/>
      <c r="F62" s="5"/>
      <c r="G62" s="5"/>
      <c r="H62" s="5"/>
      <c r="I62" s="5"/>
      <c r="J62" s="5"/>
      <c r="K62" s="32">
        <f>SUM(F62:J62)</f>
        <v>0</v>
      </c>
    </row>
    <row r="63" spans="1:11" ht="15" x14ac:dyDescent="0.25">
      <c r="A63" s="25" t="s">
        <v>31</v>
      </c>
      <c r="B63" s="3" t="s">
        <v>43</v>
      </c>
      <c r="C63" s="72"/>
      <c r="D63" s="72"/>
      <c r="E63" s="72"/>
      <c r="F63" s="5"/>
      <c r="G63" s="5"/>
      <c r="H63" s="5"/>
      <c r="I63" s="5"/>
      <c r="J63" s="5"/>
      <c r="K63" s="32">
        <f t="shared" ref="K63:K73" si="6">SUM(F63:J63)</f>
        <v>0</v>
      </c>
    </row>
    <row r="64" spans="1:11" ht="15" x14ac:dyDescent="0.25">
      <c r="A64" s="25" t="s">
        <v>32</v>
      </c>
      <c r="B64" s="3" t="s">
        <v>44</v>
      </c>
      <c r="C64" s="72"/>
      <c r="D64" s="72"/>
      <c r="E64" s="72"/>
      <c r="F64" s="5"/>
      <c r="G64" s="5"/>
      <c r="H64" s="5"/>
      <c r="I64" s="5"/>
      <c r="J64" s="5"/>
      <c r="K64" s="32">
        <f t="shared" si="6"/>
        <v>0</v>
      </c>
    </row>
    <row r="65" spans="1:11" ht="15" x14ac:dyDescent="0.25">
      <c r="A65" s="25" t="s">
        <v>33</v>
      </c>
      <c r="B65" s="3" t="s">
        <v>45</v>
      </c>
      <c r="C65" s="72"/>
      <c r="D65" s="72"/>
      <c r="E65" s="72"/>
      <c r="F65" s="5"/>
      <c r="G65" s="5"/>
      <c r="H65" s="5"/>
      <c r="I65" s="5"/>
      <c r="J65" s="5"/>
      <c r="K65" s="32">
        <f t="shared" si="6"/>
        <v>0</v>
      </c>
    </row>
    <row r="66" spans="1:11" ht="15" x14ac:dyDescent="0.25">
      <c r="A66" s="25" t="s">
        <v>34</v>
      </c>
      <c r="B66" s="3" t="s">
        <v>46</v>
      </c>
      <c r="C66" s="72"/>
      <c r="D66" s="72"/>
      <c r="E66" s="72"/>
      <c r="F66" s="5"/>
      <c r="G66" s="5"/>
      <c r="H66" s="5"/>
      <c r="I66" s="5"/>
      <c r="J66" s="5"/>
      <c r="K66" s="32">
        <f t="shared" si="6"/>
        <v>0</v>
      </c>
    </row>
    <row r="67" spans="1:11" ht="15" x14ac:dyDescent="0.25">
      <c r="A67" s="25" t="s">
        <v>35</v>
      </c>
      <c r="B67" s="3" t="s">
        <v>47</v>
      </c>
      <c r="C67" s="72"/>
      <c r="D67" s="72"/>
      <c r="E67" s="72"/>
      <c r="F67" s="5"/>
      <c r="G67" s="5"/>
      <c r="H67" s="5"/>
      <c r="I67" s="5"/>
      <c r="J67" s="5"/>
      <c r="K67" s="32">
        <f t="shared" si="6"/>
        <v>0</v>
      </c>
    </row>
    <row r="68" spans="1:11" ht="15" x14ac:dyDescent="0.25">
      <c r="A68" s="25" t="s">
        <v>36</v>
      </c>
      <c r="B68" s="3" t="s">
        <v>48</v>
      </c>
      <c r="C68" s="72"/>
      <c r="D68" s="72"/>
      <c r="E68" s="72"/>
      <c r="F68" s="5"/>
      <c r="G68" s="5"/>
      <c r="H68" s="5"/>
      <c r="I68" s="5"/>
      <c r="J68" s="5"/>
      <c r="K68" s="32">
        <f t="shared" si="6"/>
        <v>0</v>
      </c>
    </row>
    <row r="69" spans="1:11" ht="15" x14ac:dyDescent="0.25">
      <c r="A69" s="25" t="s">
        <v>37</v>
      </c>
      <c r="B69" s="3" t="s">
        <v>49</v>
      </c>
      <c r="C69" s="72"/>
      <c r="D69" s="72"/>
      <c r="E69" s="72"/>
      <c r="F69" s="5"/>
      <c r="G69" s="5"/>
      <c r="H69" s="5"/>
      <c r="I69" s="5"/>
      <c r="J69" s="5"/>
      <c r="K69" s="32">
        <f t="shared" si="6"/>
        <v>0</v>
      </c>
    </row>
    <row r="70" spans="1:11" ht="15" x14ac:dyDescent="0.25">
      <c r="A70" s="25" t="s">
        <v>38</v>
      </c>
      <c r="B70" s="3" t="s">
        <v>50</v>
      </c>
      <c r="C70" s="72"/>
      <c r="D70" s="72"/>
      <c r="E70" s="72"/>
      <c r="F70" s="5"/>
      <c r="G70" s="5"/>
      <c r="H70" s="5"/>
      <c r="I70" s="5"/>
      <c r="J70" s="5"/>
      <c r="K70" s="32">
        <f t="shared" si="6"/>
        <v>0</v>
      </c>
    </row>
    <row r="71" spans="1:11" ht="15" x14ac:dyDescent="0.25">
      <c r="A71" s="25" t="s">
        <v>39</v>
      </c>
      <c r="B71" s="3" t="s">
        <v>51</v>
      </c>
      <c r="C71" s="72"/>
      <c r="D71" s="72"/>
      <c r="E71" s="72"/>
      <c r="F71" s="5"/>
      <c r="G71" s="5"/>
      <c r="H71" s="5"/>
      <c r="I71" s="5"/>
      <c r="J71" s="5"/>
      <c r="K71" s="32">
        <f t="shared" si="6"/>
        <v>0</v>
      </c>
    </row>
    <row r="72" spans="1:11" ht="15" x14ac:dyDescent="0.25">
      <c r="A72" s="25" t="s">
        <v>40</v>
      </c>
      <c r="B72" s="3" t="s">
        <v>52</v>
      </c>
      <c r="C72" s="72"/>
      <c r="D72" s="72"/>
      <c r="E72" s="72"/>
      <c r="F72" s="5"/>
      <c r="G72" s="5"/>
      <c r="H72" s="5"/>
      <c r="I72" s="5"/>
      <c r="J72" s="5"/>
      <c r="K72" s="32">
        <f t="shared" si="6"/>
        <v>0</v>
      </c>
    </row>
    <row r="73" spans="1:11" ht="15" x14ac:dyDescent="0.25">
      <c r="A73" s="25" t="s">
        <v>41</v>
      </c>
      <c r="B73" s="3" t="s">
        <v>53</v>
      </c>
      <c r="C73" s="72"/>
      <c r="D73" s="72"/>
      <c r="E73" s="72"/>
      <c r="F73" s="5"/>
      <c r="G73" s="5"/>
      <c r="H73" s="5"/>
      <c r="I73" s="5"/>
      <c r="J73" s="5"/>
      <c r="K73" s="32">
        <f t="shared" si="6"/>
        <v>0</v>
      </c>
    </row>
    <row r="74" spans="1:11" ht="15" x14ac:dyDescent="0.25">
      <c r="A74" s="3"/>
      <c r="B74" s="22" t="s">
        <v>70</v>
      </c>
      <c r="C74" s="73">
        <f>SUM(C62:E73)</f>
        <v>0</v>
      </c>
      <c r="D74" s="74"/>
      <c r="E74" s="74"/>
      <c r="F74" s="35">
        <f>SUM(F62:F73)</f>
        <v>0</v>
      </c>
      <c r="G74" s="35">
        <f t="shared" ref="G74:K74" si="7">SUM(G62:G73)</f>
        <v>0</v>
      </c>
      <c r="H74" s="35">
        <f t="shared" si="7"/>
        <v>0</v>
      </c>
      <c r="I74" s="35">
        <f t="shared" si="7"/>
        <v>0</v>
      </c>
      <c r="J74" s="35">
        <f t="shared" si="7"/>
        <v>0</v>
      </c>
      <c r="K74" s="35">
        <f t="shared" si="7"/>
        <v>0</v>
      </c>
    </row>
    <row r="75" spans="1:11" x14ac:dyDescent="0.2">
      <c r="F75" t="s">
        <v>126</v>
      </c>
      <c r="G75" t="s">
        <v>126</v>
      </c>
      <c r="H75" t="s">
        <v>127</v>
      </c>
      <c r="I75" t="s">
        <v>127</v>
      </c>
      <c r="J75" t="s">
        <v>126</v>
      </c>
    </row>
    <row r="77" spans="1:11" ht="15" x14ac:dyDescent="0.25">
      <c r="C77" s="1"/>
      <c r="E77" s="1" t="s">
        <v>198</v>
      </c>
      <c r="J77" s="15">
        <f>F74+G74+J74</f>
        <v>0</v>
      </c>
    </row>
    <row r="78" spans="1:11" ht="15" x14ac:dyDescent="0.25">
      <c r="C78" s="1"/>
      <c r="E78" s="1" t="s">
        <v>199</v>
      </c>
      <c r="J78" s="15">
        <f>H74+I74</f>
        <v>0</v>
      </c>
    </row>
  </sheetData>
  <mergeCells count="40">
    <mergeCell ref="C28:E28"/>
    <mergeCell ref="C29:E29"/>
    <mergeCell ref="C30:E30"/>
    <mergeCell ref="C31:E31"/>
    <mergeCell ref="C32:E32"/>
    <mergeCell ref="C40:E40"/>
    <mergeCell ref="C36:E36"/>
    <mergeCell ref="C37:E37"/>
    <mergeCell ref="C52:E52"/>
    <mergeCell ref="C53:E53"/>
    <mergeCell ref="C50:E50"/>
    <mergeCell ref="C44:E44"/>
    <mergeCell ref="C45:E45"/>
    <mergeCell ref="C46:E46"/>
    <mergeCell ref="C47:E47"/>
    <mergeCell ref="C48:E48"/>
    <mergeCell ref="C49:E49"/>
    <mergeCell ref="C51:E51"/>
    <mergeCell ref="C33:E33"/>
    <mergeCell ref="C34:E34"/>
    <mergeCell ref="C35:E35"/>
    <mergeCell ref="C38:E38"/>
    <mergeCell ref="C39:E39"/>
    <mergeCell ref="C74:E74"/>
    <mergeCell ref="C71:E71"/>
    <mergeCell ref="C72:E72"/>
    <mergeCell ref="C73:E73"/>
    <mergeCell ref="C66:E66"/>
    <mergeCell ref="C67:E67"/>
    <mergeCell ref="C68:E68"/>
    <mergeCell ref="C69:E69"/>
    <mergeCell ref="C70:E70"/>
    <mergeCell ref="C54:E54"/>
    <mergeCell ref="C55:E55"/>
    <mergeCell ref="C65:E65"/>
    <mergeCell ref="C63:E63"/>
    <mergeCell ref="C64:E64"/>
    <mergeCell ref="C56:E56"/>
    <mergeCell ref="C61:E61"/>
    <mergeCell ref="C62:E6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4"/>
  <sheetViews>
    <sheetView topLeftCell="A7" workbookViewId="0">
      <selection activeCell="B10" sqref="B10:F21"/>
    </sheetView>
  </sheetViews>
  <sheetFormatPr baseColWidth="10" defaultRowHeight="14.25" x14ac:dyDescent="0.2"/>
  <cols>
    <col min="1" max="1" width="34.125" bestFit="1" customWidth="1"/>
    <col min="5" max="5" width="13.25" customWidth="1"/>
    <col min="6" max="6" width="13.875" customWidth="1"/>
  </cols>
  <sheetData>
    <row r="1" spans="1:6" ht="15" x14ac:dyDescent="0.25">
      <c r="A1" s="1" t="s">
        <v>214</v>
      </c>
    </row>
    <row r="2" spans="1:6" ht="15" x14ac:dyDescent="0.25">
      <c r="B2" s="9" t="s">
        <v>117</v>
      </c>
      <c r="C2" s="9" t="s">
        <v>118</v>
      </c>
      <c r="D2" s="9" t="s">
        <v>119</v>
      </c>
      <c r="E2" s="9" t="s">
        <v>120</v>
      </c>
      <c r="F2" s="9" t="s">
        <v>121</v>
      </c>
    </row>
    <row r="3" spans="1:6" ht="30" x14ac:dyDescent="0.2">
      <c r="A3" s="40" t="s">
        <v>215</v>
      </c>
      <c r="B3" s="36" t="s">
        <v>55</v>
      </c>
      <c r="C3" s="36" t="s">
        <v>56</v>
      </c>
      <c r="D3" s="36" t="s">
        <v>57</v>
      </c>
      <c r="E3" s="36" t="s">
        <v>58</v>
      </c>
      <c r="F3" s="36" t="s">
        <v>59</v>
      </c>
    </row>
    <row r="4" spans="1:6" ht="15" x14ac:dyDescent="0.2">
      <c r="A4" s="40" t="s">
        <v>236</v>
      </c>
      <c r="B4" s="36" t="str">
        <f>'Proceso 3'!F75</f>
        <v>Terminado</v>
      </c>
      <c r="C4" s="36" t="str">
        <f>'Proceso 3'!G75</f>
        <v>Terminado</v>
      </c>
      <c r="D4" s="45" t="str">
        <f>'Proceso 3'!H75</f>
        <v>Proceso</v>
      </c>
      <c r="E4" s="45" t="str">
        <f>'Proceso 3'!I75</f>
        <v>Proceso</v>
      </c>
      <c r="F4" s="36" t="str">
        <f>'Proceso 3'!J75</f>
        <v>Terminado</v>
      </c>
    </row>
    <row r="5" spans="1:6" ht="15" x14ac:dyDescent="0.25">
      <c r="A5" s="22" t="s">
        <v>77</v>
      </c>
      <c r="B5" s="50">
        <f>'Costo MD'!D6</f>
        <v>200</v>
      </c>
      <c r="C5" s="50">
        <f>'Costo MD'!E6</f>
        <v>100</v>
      </c>
      <c r="D5" s="50">
        <f>'Costo MD'!F6</f>
        <v>300</v>
      </c>
      <c r="E5" s="50">
        <f>'Costo MD'!G6</f>
        <v>500</v>
      </c>
      <c r="F5" s="50">
        <f>'Costo MD'!H6</f>
        <v>620</v>
      </c>
    </row>
    <row r="6" spans="1:6" x14ac:dyDescent="0.2">
      <c r="A6" s="3" t="s">
        <v>186</v>
      </c>
      <c r="B6" s="43"/>
      <c r="C6" s="43"/>
      <c r="D6" s="43"/>
      <c r="E6" s="43"/>
      <c r="F6" s="43"/>
    </row>
    <row r="7" spans="1:6" x14ac:dyDescent="0.2">
      <c r="A7" s="3" t="s">
        <v>185</v>
      </c>
      <c r="B7" s="43"/>
      <c r="C7" s="43"/>
      <c r="D7" s="43"/>
      <c r="E7" s="43"/>
      <c r="F7" s="43"/>
    </row>
    <row r="8" spans="1:6" ht="15" x14ac:dyDescent="0.25">
      <c r="A8" s="10" t="s">
        <v>216</v>
      </c>
      <c r="B8" s="39">
        <f>B6+B7</f>
        <v>0</v>
      </c>
      <c r="C8" s="39">
        <f t="shared" ref="C8:F8" si="0">C6+C7</f>
        <v>0</v>
      </c>
      <c r="D8" s="39">
        <f t="shared" si="0"/>
        <v>0</v>
      </c>
      <c r="E8" s="39">
        <f t="shared" si="0"/>
        <v>0</v>
      </c>
      <c r="F8" s="39">
        <f t="shared" si="0"/>
        <v>0</v>
      </c>
    </row>
    <row r="9" spans="1:6" ht="15" x14ac:dyDescent="0.25">
      <c r="A9" s="22" t="s">
        <v>222</v>
      </c>
      <c r="B9" s="44"/>
      <c r="C9" s="44"/>
      <c r="D9" s="44"/>
      <c r="E9" s="44"/>
      <c r="F9" s="44"/>
    </row>
    <row r="10" spans="1:6" x14ac:dyDescent="0.2">
      <c r="A10" s="3" t="s">
        <v>223</v>
      </c>
      <c r="B10" s="43"/>
      <c r="C10" s="43"/>
      <c r="D10" s="43"/>
      <c r="E10" s="43"/>
      <c r="F10" s="43"/>
    </row>
    <row r="11" spans="1:6" x14ac:dyDescent="0.2">
      <c r="A11" s="3" t="s">
        <v>224</v>
      </c>
      <c r="B11" s="43"/>
      <c r="C11" s="43"/>
      <c r="D11" s="43"/>
      <c r="E11" s="43"/>
      <c r="F11" s="43"/>
    </row>
    <row r="12" spans="1:6" x14ac:dyDescent="0.2">
      <c r="A12" s="3" t="s">
        <v>225</v>
      </c>
      <c r="B12" s="43"/>
      <c r="C12" s="43"/>
      <c r="D12" s="43"/>
      <c r="E12" s="43"/>
      <c r="F12" s="43"/>
    </row>
    <row r="13" spans="1:6" x14ac:dyDescent="0.2">
      <c r="A13" s="3" t="s">
        <v>226</v>
      </c>
      <c r="B13" s="43"/>
      <c r="C13" s="43"/>
      <c r="D13" s="43"/>
      <c r="E13" s="43"/>
      <c r="F13" s="43"/>
    </row>
    <row r="14" spans="1:6" x14ac:dyDescent="0.2">
      <c r="A14" s="3" t="s">
        <v>227</v>
      </c>
      <c r="B14" s="43"/>
      <c r="C14" s="43"/>
      <c r="D14" s="43"/>
      <c r="E14" s="43"/>
      <c r="F14" s="43"/>
    </row>
    <row r="15" spans="1:6" x14ac:dyDescent="0.2">
      <c r="A15" s="3" t="s">
        <v>228</v>
      </c>
      <c r="B15" s="43"/>
      <c r="C15" s="43"/>
      <c r="D15" s="43"/>
      <c r="E15" s="43"/>
      <c r="F15" s="43"/>
    </row>
    <row r="16" spans="1:6" x14ac:dyDescent="0.2">
      <c r="A16" s="3" t="s">
        <v>229</v>
      </c>
      <c r="B16" s="43"/>
      <c r="C16" s="43"/>
      <c r="D16" s="43"/>
      <c r="E16" s="43"/>
      <c r="F16" s="43"/>
    </row>
    <row r="17" spans="1:6" x14ac:dyDescent="0.2">
      <c r="A17" s="3" t="s">
        <v>230</v>
      </c>
      <c r="B17" s="43"/>
      <c r="C17" s="43"/>
      <c r="D17" s="43"/>
      <c r="E17" s="43"/>
      <c r="F17" s="43"/>
    </row>
    <row r="18" spans="1:6" x14ac:dyDescent="0.2">
      <c r="A18" s="3" t="s">
        <v>231</v>
      </c>
      <c r="B18" s="43"/>
      <c r="C18" s="43"/>
      <c r="D18" s="43"/>
      <c r="E18" s="43"/>
      <c r="F18" s="43"/>
    </row>
    <row r="19" spans="1:6" x14ac:dyDescent="0.2">
      <c r="A19" s="3" t="s">
        <v>232</v>
      </c>
      <c r="B19" s="43"/>
      <c r="C19" s="43"/>
      <c r="D19" s="43"/>
      <c r="E19" s="43"/>
      <c r="F19" s="43"/>
    </row>
    <row r="20" spans="1:6" x14ac:dyDescent="0.2">
      <c r="A20" s="3" t="s">
        <v>233</v>
      </c>
      <c r="B20" s="43"/>
      <c r="C20" s="43"/>
      <c r="D20" s="43"/>
      <c r="E20" s="43"/>
      <c r="F20" s="43"/>
    </row>
    <row r="21" spans="1:6" x14ac:dyDescent="0.2">
      <c r="A21" s="3" t="s">
        <v>234</v>
      </c>
      <c r="B21" s="43"/>
      <c r="C21" s="43"/>
      <c r="D21" s="43"/>
      <c r="E21" s="43"/>
      <c r="F21" s="43"/>
    </row>
    <row r="22" spans="1:6" ht="15" x14ac:dyDescent="0.25">
      <c r="A22" s="10" t="s">
        <v>217</v>
      </c>
      <c r="B22" s="39">
        <f>SUM(B10:B21)</f>
        <v>0</v>
      </c>
      <c r="C22" s="39">
        <f t="shared" ref="C22:F22" si="1">SUM(C10:C21)</f>
        <v>0</v>
      </c>
      <c r="D22" s="39">
        <f t="shared" si="1"/>
        <v>0</v>
      </c>
      <c r="E22" s="39">
        <f t="shared" si="1"/>
        <v>0</v>
      </c>
      <c r="F22" s="39">
        <f t="shared" si="1"/>
        <v>0</v>
      </c>
    </row>
    <row r="23" spans="1:6" ht="15" x14ac:dyDescent="0.25">
      <c r="A23" s="47" t="s">
        <v>235</v>
      </c>
      <c r="B23" s="48">
        <f>B8+B22</f>
        <v>0</v>
      </c>
      <c r="C23" s="48">
        <f t="shared" ref="C23:F23" si="2">C8+C22</f>
        <v>0</v>
      </c>
      <c r="D23" s="46">
        <f t="shared" si="2"/>
        <v>0</v>
      </c>
      <c r="E23" s="46">
        <f t="shared" si="2"/>
        <v>0</v>
      </c>
      <c r="F23" s="48">
        <f t="shared" si="2"/>
        <v>0</v>
      </c>
    </row>
    <row r="24" spans="1:6" ht="15" x14ac:dyDescent="0.25">
      <c r="A24" s="47" t="s">
        <v>218</v>
      </c>
      <c r="B24" s="48">
        <f>B23/B5</f>
        <v>0</v>
      </c>
      <c r="C24" s="48">
        <f>C23/C5</f>
        <v>0</v>
      </c>
      <c r="D24" s="49"/>
      <c r="E24" s="49"/>
      <c r="F24" s="48">
        <f>F23/F5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8493C-F768-4545-BD8F-03126DF3959F}">
  <dimension ref="A1:F25"/>
  <sheetViews>
    <sheetView topLeftCell="A16" workbookViewId="0">
      <selection activeCell="B21" sqref="B21:C21"/>
    </sheetView>
  </sheetViews>
  <sheetFormatPr baseColWidth="10" defaultRowHeight="14.25" x14ac:dyDescent="0.2"/>
  <cols>
    <col min="1" max="1" width="34.125" bestFit="1" customWidth="1"/>
    <col min="5" max="5" width="13.25" customWidth="1"/>
    <col min="6" max="6" width="13.875" customWidth="1"/>
  </cols>
  <sheetData>
    <row r="1" spans="1:6" ht="15" x14ac:dyDescent="0.25">
      <c r="A1" s="1" t="s">
        <v>214</v>
      </c>
    </row>
    <row r="2" spans="1:6" ht="15" x14ac:dyDescent="0.25">
      <c r="B2" s="9" t="s">
        <v>117</v>
      </c>
      <c r="C2" s="9" t="s">
        <v>118</v>
      </c>
      <c r="D2" s="9" t="s">
        <v>119</v>
      </c>
      <c r="E2" s="9" t="s">
        <v>120</v>
      </c>
      <c r="F2" s="9" t="s">
        <v>121</v>
      </c>
    </row>
    <row r="3" spans="1:6" ht="30" x14ac:dyDescent="0.2">
      <c r="A3" s="40" t="s">
        <v>215</v>
      </c>
      <c r="B3" s="36" t="s">
        <v>55</v>
      </c>
      <c r="C3" s="36" t="s">
        <v>56</v>
      </c>
      <c r="D3" s="36" t="s">
        <v>57</v>
      </c>
      <c r="E3" s="36" t="s">
        <v>58</v>
      </c>
      <c r="F3" s="36" t="s">
        <v>59</v>
      </c>
    </row>
    <row r="4" spans="1:6" ht="15" x14ac:dyDescent="0.2">
      <c r="A4" s="40" t="s">
        <v>236</v>
      </c>
      <c r="B4" s="36" t="str">
        <f>'Proceso 3'!F75</f>
        <v>Terminado</v>
      </c>
      <c r="C4" s="36" t="str">
        <f>'Proceso 3'!G75</f>
        <v>Terminado</v>
      </c>
      <c r="D4" s="45" t="str">
        <f>'Proceso 3'!H75</f>
        <v>Proceso</v>
      </c>
      <c r="E4" s="45" t="str">
        <f>'Proceso 3'!I75</f>
        <v>Proceso</v>
      </c>
      <c r="F4" s="36" t="str">
        <f>'Proceso 3'!J75</f>
        <v>Terminado</v>
      </c>
    </row>
    <row r="5" spans="1:6" ht="15" x14ac:dyDescent="0.25">
      <c r="A5" s="22" t="s">
        <v>77</v>
      </c>
      <c r="B5" s="50">
        <f>'Costo MD'!D6</f>
        <v>200</v>
      </c>
      <c r="C5" s="50">
        <f>'Costo MD'!E6</f>
        <v>100</v>
      </c>
      <c r="D5" s="50">
        <f>'Costo MD'!F6</f>
        <v>300</v>
      </c>
      <c r="E5" s="50">
        <f>'Costo MD'!G6</f>
        <v>500</v>
      </c>
      <c r="F5" s="50">
        <f>'Costo MD'!H6</f>
        <v>620</v>
      </c>
    </row>
    <row r="6" spans="1:6" x14ac:dyDescent="0.2">
      <c r="A6" s="3" t="s">
        <v>186</v>
      </c>
      <c r="B6" s="43"/>
      <c r="C6" s="43"/>
      <c r="D6" s="43"/>
      <c r="E6" s="43"/>
      <c r="F6" s="43"/>
    </row>
    <row r="7" spans="1:6" x14ac:dyDescent="0.2">
      <c r="A7" s="3" t="s">
        <v>185</v>
      </c>
      <c r="B7" s="43"/>
      <c r="C7" s="43"/>
      <c r="D7" s="43"/>
      <c r="E7" s="43"/>
      <c r="F7" s="43"/>
    </row>
    <row r="8" spans="1:6" ht="15" x14ac:dyDescent="0.25">
      <c r="A8" s="10" t="s">
        <v>216</v>
      </c>
      <c r="B8" s="39">
        <f>B6+B7</f>
        <v>0</v>
      </c>
      <c r="C8" s="39">
        <f t="shared" ref="C8:F8" si="0">C6+C7</f>
        <v>0</v>
      </c>
      <c r="D8" s="39">
        <f t="shared" si="0"/>
        <v>0</v>
      </c>
      <c r="E8" s="39">
        <f t="shared" si="0"/>
        <v>0</v>
      </c>
      <c r="F8" s="39">
        <f t="shared" si="0"/>
        <v>0</v>
      </c>
    </row>
    <row r="9" spans="1:6" ht="15" x14ac:dyDescent="0.25">
      <c r="A9" s="22" t="s">
        <v>222</v>
      </c>
      <c r="B9" s="43"/>
      <c r="C9" s="44"/>
      <c r="D9" s="44"/>
      <c r="E9" s="44"/>
      <c r="F9" s="44"/>
    </row>
    <row r="10" spans="1:6" x14ac:dyDescent="0.2">
      <c r="A10" s="3" t="s">
        <v>223</v>
      </c>
      <c r="B10" s="43"/>
      <c r="C10" s="43"/>
      <c r="D10" s="43"/>
      <c r="E10" s="43"/>
      <c r="F10" s="43"/>
    </row>
    <row r="11" spans="1:6" x14ac:dyDescent="0.2">
      <c r="A11" s="3" t="s">
        <v>224</v>
      </c>
      <c r="B11" s="43"/>
      <c r="C11" s="43"/>
      <c r="D11" s="43"/>
      <c r="E11" s="43"/>
      <c r="F11" s="43"/>
    </row>
    <row r="12" spans="1:6" x14ac:dyDescent="0.2">
      <c r="A12" s="3" t="s">
        <v>225</v>
      </c>
      <c r="B12" s="43"/>
      <c r="C12" s="43"/>
      <c r="D12" s="43"/>
      <c r="E12" s="43"/>
      <c r="F12" s="43"/>
    </row>
    <row r="13" spans="1:6" x14ac:dyDescent="0.2">
      <c r="A13" s="3" t="s">
        <v>226</v>
      </c>
      <c r="B13" s="43"/>
      <c r="C13" s="43"/>
      <c r="D13" s="43"/>
      <c r="E13" s="43"/>
      <c r="F13" s="43"/>
    </row>
    <row r="14" spans="1:6" x14ac:dyDescent="0.2">
      <c r="A14" s="3" t="s">
        <v>227</v>
      </c>
      <c r="B14" s="43"/>
      <c r="C14" s="43"/>
      <c r="D14" s="43"/>
      <c r="E14" s="43"/>
      <c r="F14" s="43"/>
    </row>
    <row r="15" spans="1:6" x14ac:dyDescent="0.2">
      <c r="A15" s="3" t="s">
        <v>228</v>
      </c>
      <c r="B15" s="43"/>
      <c r="C15" s="43"/>
      <c r="D15" s="43"/>
      <c r="E15" s="43"/>
      <c r="F15" s="43"/>
    </row>
    <row r="16" spans="1:6" x14ac:dyDescent="0.2">
      <c r="A16" s="3" t="s">
        <v>229</v>
      </c>
      <c r="B16" s="43"/>
      <c r="C16" s="43"/>
      <c r="D16" s="43"/>
      <c r="E16" s="43"/>
      <c r="F16" s="43"/>
    </row>
    <row r="17" spans="1:6" x14ac:dyDescent="0.2">
      <c r="A17" s="3" t="s">
        <v>230</v>
      </c>
      <c r="B17" s="43"/>
      <c r="C17" s="43"/>
      <c r="D17" s="43"/>
      <c r="E17" s="43"/>
      <c r="F17" s="43"/>
    </row>
    <row r="18" spans="1:6" x14ac:dyDescent="0.2">
      <c r="A18" s="3" t="s">
        <v>231</v>
      </c>
      <c r="B18" s="43"/>
      <c r="C18" s="43"/>
      <c r="D18" s="43"/>
      <c r="E18" s="43"/>
      <c r="F18" s="43"/>
    </row>
    <row r="19" spans="1:6" x14ac:dyDescent="0.2">
      <c r="A19" s="3" t="s">
        <v>232</v>
      </c>
      <c r="B19" s="43"/>
      <c r="C19" s="43"/>
      <c r="D19" s="43"/>
      <c r="E19" s="43"/>
      <c r="F19" s="43"/>
    </row>
    <row r="20" spans="1:6" x14ac:dyDescent="0.2">
      <c r="A20" s="3" t="s">
        <v>233</v>
      </c>
      <c r="B20" s="43"/>
      <c r="C20" s="43"/>
      <c r="D20" s="43"/>
      <c r="E20" s="43"/>
      <c r="F20" s="43"/>
    </row>
    <row r="21" spans="1:6" x14ac:dyDescent="0.2">
      <c r="A21" s="3" t="s">
        <v>234</v>
      </c>
      <c r="B21" s="43"/>
      <c r="C21" s="43"/>
      <c r="D21" s="43"/>
      <c r="E21" s="43"/>
      <c r="F21" s="43"/>
    </row>
    <row r="22" spans="1:6" ht="15" x14ac:dyDescent="0.25">
      <c r="A22" s="10" t="s">
        <v>217</v>
      </c>
      <c r="B22" s="39">
        <f>SUM(B10:B21)</f>
        <v>0</v>
      </c>
      <c r="C22" s="39">
        <f t="shared" ref="C22:F22" si="1">SUM(C10:C21)</f>
        <v>0</v>
      </c>
      <c r="D22" s="39">
        <f t="shared" si="1"/>
        <v>0</v>
      </c>
      <c r="E22" s="39">
        <f t="shared" si="1"/>
        <v>0</v>
      </c>
      <c r="F22" s="39">
        <f t="shared" si="1"/>
        <v>0</v>
      </c>
    </row>
    <row r="23" spans="1:6" ht="15" x14ac:dyDescent="0.25">
      <c r="A23" s="47" t="s">
        <v>243</v>
      </c>
      <c r="B23" s="48">
        <f>B8+B22</f>
        <v>0</v>
      </c>
      <c r="C23" s="48">
        <f t="shared" ref="C23:F23" si="2">C8+C22</f>
        <v>0</v>
      </c>
      <c r="D23" s="46">
        <f t="shared" si="2"/>
        <v>0</v>
      </c>
      <c r="E23" s="46">
        <f t="shared" si="2"/>
        <v>0</v>
      </c>
      <c r="F23" s="48">
        <f t="shared" si="2"/>
        <v>0</v>
      </c>
    </row>
    <row r="25" spans="1:6" x14ac:dyDescent="0.2">
      <c r="B25" s="56">
        <f>B23-'Hoja Costos OT'!B24</f>
        <v>0</v>
      </c>
      <c r="C25" s="56">
        <f>C23-'Hoja Costos OT'!C24</f>
        <v>0</v>
      </c>
      <c r="D25" s="16"/>
      <c r="E25" s="16"/>
      <c r="F25" s="56">
        <f>F23-'Hoja Costos OT'!F24</f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4"/>
  <sheetViews>
    <sheetView zoomScale="120" zoomScaleNormal="120" workbookViewId="0">
      <pane xSplit="2" ySplit="4" topLeftCell="C14" activePane="bottomRight" state="frozen"/>
      <selection pane="topRight" activeCell="C1" sqref="C1"/>
      <selection pane="bottomLeft" activeCell="A5" sqref="A5"/>
      <selection pane="bottomRight" activeCell="E24" sqref="E24"/>
    </sheetView>
  </sheetViews>
  <sheetFormatPr baseColWidth="10" defaultRowHeight="14.25" x14ac:dyDescent="0.2"/>
  <cols>
    <col min="1" max="1" width="8.375" customWidth="1"/>
    <col min="2" max="2" width="28.625" customWidth="1"/>
    <col min="3" max="3" width="12.875" customWidth="1"/>
    <col min="4" max="4" width="10.125" customWidth="1"/>
    <col min="5" max="5" width="16.875" customWidth="1"/>
    <col min="6" max="6" width="10.625" bestFit="1" customWidth="1"/>
    <col min="7" max="7" width="11.125" bestFit="1" customWidth="1"/>
    <col min="8" max="8" width="10.75" bestFit="1" customWidth="1"/>
  </cols>
  <sheetData>
    <row r="1" spans="1:9" ht="15" x14ac:dyDescent="0.25">
      <c r="A1" s="1" t="s">
        <v>181</v>
      </c>
    </row>
    <row r="2" spans="1:9" ht="15" x14ac:dyDescent="0.25">
      <c r="A2" s="1" t="s">
        <v>75</v>
      </c>
    </row>
    <row r="3" spans="1:9" ht="15" x14ac:dyDescent="0.25">
      <c r="A3" s="1" t="s">
        <v>187</v>
      </c>
    </row>
    <row r="4" spans="1:9" ht="15" x14ac:dyDescent="0.25">
      <c r="A4" s="25" t="s">
        <v>182</v>
      </c>
      <c r="B4" s="25" t="s">
        <v>183</v>
      </c>
      <c r="C4" s="9" t="s">
        <v>186</v>
      </c>
      <c r="D4" s="9" t="s">
        <v>185</v>
      </c>
      <c r="E4" s="9" t="s">
        <v>184</v>
      </c>
      <c r="F4" s="9" t="s">
        <v>76</v>
      </c>
      <c r="G4" s="9" t="s">
        <v>77</v>
      </c>
      <c r="H4" s="9" t="s">
        <v>125</v>
      </c>
      <c r="I4" s="9" t="s">
        <v>78</v>
      </c>
    </row>
    <row r="5" spans="1:9" ht="15" x14ac:dyDescent="0.25">
      <c r="A5" s="3" t="s">
        <v>117</v>
      </c>
      <c r="B5" s="3" t="s">
        <v>55</v>
      </c>
      <c r="C5" s="5"/>
      <c r="D5" s="5"/>
      <c r="E5" s="5"/>
      <c r="F5" s="32"/>
      <c r="G5" s="38"/>
      <c r="H5" s="39" t="s">
        <v>126</v>
      </c>
      <c r="I5" s="5"/>
    </row>
    <row r="6" spans="1:9" ht="15" x14ac:dyDescent="0.25">
      <c r="A6" s="3" t="s">
        <v>118</v>
      </c>
      <c r="B6" s="3" t="s">
        <v>56</v>
      </c>
      <c r="C6" s="5"/>
      <c r="D6" s="5"/>
      <c r="E6" s="5"/>
      <c r="F6" s="32"/>
      <c r="G6" s="38"/>
      <c r="H6" s="39" t="s">
        <v>126</v>
      </c>
      <c r="I6" s="5"/>
    </row>
    <row r="7" spans="1:9" ht="15" x14ac:dyDescent="0.25">
      <c r="A7" s="3" t="s">
        <v>119</v>
      </c>
      <c r="B7" s="3" t="s">
        <v>57</v>
      </c>
      <c r="C7" s="5"/>
      <c r="D7" s="5"/>
      <c r="E7" s="5"/>
      <c r="F7" s="32"/>
      <c r="G7" s="38"/>
      <c r="H7" s="39" t="s">
        <v>127</v>
      </c>
      <c r="I7" s="5"/>
    </row>
    <row r="8" spans="1:9" ht="15" x14ac:dyDescent="0.25">
      <c r="A8" s="3" t="s">
        <v>120</v>
      </c>
      <c r="B8" s="3" t="s">
        <v>58</v>
      </c>
      <c r="C8" s="5"/>
      <c r="D8" s="5"/>
      <c r="E8" s="5"/>
      <c r="F8" s="32"/>
      <c r="G8" s="38"/>
      <c r="H8" s="39" t="s">
        <v>127</v>
      </c>
      <c r="I8" s="5"/>
    </row>
    <row r="9" spans="1:9" ht="15" x14ac:dyDescent="0.25">
      <c r="A9" s="3" t="s">
        <v>121</v>
      </c>
      <c r="B9" s="3" t="s">
        <v>59</v>
      </c>
      <c r="C9" s="5"/>
      <c r="D9" s="5"/>
      <c r="E9" s="5"/>
      <c r="F9" s="32"/>
      <c r="G9" s="38"/>
      <c r="H9" s="39" t="s">
        <v>126</v>
      </c>
      <c r="I9" s="5"/>
    </row>
    <row r="10" spans="1:9" ht="15" x14ac:dyDescent="0.25">
      <c r="C10" s="17"/>
      <c r="D10" s="17"/>
      <c r="E10" s="17"/>
      <c r="F10" s="17"/>
      <c r="G10" s="17"/>
    </row>
    <row r="12" spans="1:9" ht="15" x14ac:dyDescent="0.25">
      <c r="A12" s="1" t="s">
        <v>188</v>
      </c>
      <c r="D12" s="19">
        <f>F5+F6+F9</f>
        <v>0</v>
      </c>
    </row>
    <row r="13" spans="1:9" ht="15" x14ac:dyDescent="0.25">
      <c r="A13" s="1" t="s">
        <v>189</v>
      </c>
      <c r="D13" s="19">
        <f>F7+F8</f>
        <v>0</v>
      </c>
    </row>
    <row r="14" spans="1:9" ht="15" x14ac:dyDescent="0.25">
      <c r="A14" s="1"/>
      <c r="D14" s="15"/>
    </row>
    <row r="15" spans="1:9" ht="15" x14ac:dyDescent="0.25">
      <c r="B15" s="1" t="s">
        <v>190</v>
      </c>
    </row>
    <row r="16" spans="1:9" ht="15" x14ac:dyDescent="0.25">
      <c r="B16" s="25" t="s">
        <v>183</v>
      </c>
      <c r="C16" s="9" t="s">
        <v>77</v>
      </c>
      <c r="D16" s="9" t="s">
        <v>78</v>
      </c>
      <c r="E16" s="9" t="s">
        <v>191</v>
      </c>
    </row>
    <row r="17" spans="2:5" x14ac:dyDescent="0.2">
      <c r="B17" s="3" t="s">
        <v>55</v>
      </c>
      <c r="C17" s="38">
        <v>190</v>
      </c>
      <c r="D17" s="5"/>
      <c r="E17" s="5"/>
    </row>
    <row r="18" spans="2:5" x14ac:dyDescent="0.2">
      <c r="B18" s="3" t="s">
        <v>56</v>
      </c>
      <c r="C18" s="38">
        <v>80</v>
      </c>
      <c r="D18" s="5"/>
      <c r="E18" s="5"/>
    </row>
    <row r="19" spans="2:5" x14ac:dyDescent="0.2">
      <c r="B19" s="3" t="s">
        <v>57</v>
      </c>
      <c r="C19" s="38">
        <v>0</v>
      </c>
      <c r="D19" s="5"/>
      <c r="E19" s="5"/>
    </row>
    <row r="20" spans="2:5" x14ac:dyDescent="0.2">
      <c r="B20" s="3" t="s">
        <v>58</v>
      </c>
      <c r="C20" s="38">
        <v>0</v>
      </c>
      <c r="D20" s="5"/>
      <c r="E20" s="5"/>
    </row>
    <row r="21" spans="2:5" x14ac:dyDescent="0.2">
      <c r="B21" s="3" t="s">
        <v>59</v>
      </c>
      <c r="C21" s="38">
        <v>600</v>
      </c>
      <c r="D21" s="5"/>
      <c r="E21" s="5"/>
    </row>
    <row r="22" spans="2:5" ht="15" x14ac:dyDescent="0.25">
      <c r="E22" s="17"/>
    </row>
    <row r="24" spans="2:5" ht="15" x14ac:dyDescent="0.25">
      <c r="C24" s="1" t="s">
        <v>192</v>
      </c>
      <c r="E24" s="20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zoomScale="120" zoomScaleNormal="120" workbookViewId="0">
      <selection activeCell="E3" sqref="E3:E5"/>
    </sheetView>
  </sheetViews>
  <sheetFormatPr baseColWidth="10" defaultRowHeight="14.25" x14ac:dyDescent="0.2"/>
  <sheetData>
    <row r="1" spans="1:5" ht="15" x14ac:dyDescent="0.25">
      <c r="A1" s="1" t="s">
        <v>193</v>
      </c>
    </row>
    <row r="3" spans="1:5" ht="15" x14ac:dyDescent="0.25">
      <c r="A3" s="1" t="s">
        <v>194</v>
      </c>
      <c r="E3" s="18"/>
    </row>
    <row r="4" spans="1:5" ht="15" x14ac:dyDescent="0.25">
      <c r="A4" s="1" t="s">
        <v>189</v>
      </c>
      <c r="E4" s="18"/>
    </row>
    <row r="5" spans="1:5" ht="15" x14ac:dyDescent="0.25">
      <c r="A5" s="1" t="s">
        <v>192</v>
      </c>
      <c r="E5" s="1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Modelo</vt:lpstr>
      <vt:lpstr>Data</vt:lpstr>
      <vt:lpstr>Costo MD</vt:lpstr>
      <vt:lpstr>Costo MOD</vt:lpstr>
      <vt:lpstr>Costo Indirectos</vt:lpstr>
      <vt:lpstr>Proceso 1</vt:lpstr>
      <vt:lpstr>Proceso 2</vt:lpstr>
      <vt:lpstr>Proceso 3</vt:lpstr>
      <vt:lpstr>Hoja Costos OT</vt:lpstr>
      <vt:lpstr>HC OT Unit</vt:lpstr>
      <vt:lpstr>Resumen Costos</vt:lpstr>
      <vt:lpstr>CONTABILIDAD COSTOS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 CHAVARRIA</dc:creator>
  <cp:lastModifiedBy>William Oria</cp:lastModifiedBy>
  <dcterms:created xsi:type="dcterms:W3CDTF">2012-10-05T19:48:21Z</dcterms:created>
  <dcterms:modified xsi:type="dcterms:W3CDTF">2020-08-06T00:38:19Z</dcterms:modified>
</cp:coreProperties>
</file>