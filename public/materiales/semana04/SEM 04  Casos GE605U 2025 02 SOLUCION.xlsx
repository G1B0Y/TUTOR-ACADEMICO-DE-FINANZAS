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IIS UNI 2025 02\GE605U 2025 02\Semana 04\"/>
    </mc:Choice>
  </mc:AlternateContent>
  <xr:revisionPtr revIDLastSave="0" documentId="13_ncr:1_{A6C7909A-D4DF-4873-BA72-A363E3C69ABB}" xr6:coauthVersionLast="47" xr6:coauthVersionMax="47" xr10:uidLastSave="{00000000-0000-0000-0000-000000000000}"/>
  <bookViews>
    <workbookView xWindow="-108" yWindow="-108" windowWidth="23256" windowHeight="12456" firstSheet="6" activeTab="16" xr2:uid="{00000000-000D-0000-FFFF-FFFF00000000}"/>
  </bookViews>
  <sheets>
    <sheet name="APUNTES" sheetId="43" r:id="rId1"/>
    <sheet name="P01" sheetId="16" r:id="rId2"/>
    <sheet name="P02" sheetId="17" r:id="rId3"/>
    <sheet name="P03" sheetId="18" r:id="rId4"/>
    <sheet name="P04" sheetId="41" r:id="rId5"/>
    <sheet name="P05" sheetId="42" r:id="rId6"/>
    <sheet name="P06" sheetId="3" r:id="rId7"/>
    <sheet name="P07" sheetId="21" r:id="rId8"/>
    <sheet name="P08" sheetId="4" r:id="rId9"/>
    <sheet name="P09" sheetId="5" r:id="rId10"/>
    <sheet name="P10" sheetId="23" r:id="rId11"/>
    <sheet name="P11 P01" sheetId="26" r:id="rId12"/>
    <sheet name="P11 P02" sheetId="44" r:id="rId13"/>
    <sheet name="P11 P03" sheetId="45" r:id="rId14"/>
    <sheet name="P12" sheetId="32" r:id="rId15"/>
    <sheet name="P13" sheetId="33" r:id="rId16"/>
    <sheet name="P14" sheetId="34" r:id="rId17"/>
    <sheet name="P15" sheetId="35" r:id="rId18"/>
    <sheet name="P16" sheetId="36" r:id="rId19"/>
    <sheet name="P17" sheetId="39" r:id="rId20"/>
  </sheets>
  <definedNames>
    <definedName name="COSTO_CAPITAL">#REF!</definedName>
    <definedName name="CPPC">#REF!</definedName>
    <definedName name="EVA">#REF!</definedName>
    <definedName name="HTML_CodePage" hidden="1">1252</definedName>
    <definedName name="HTML_Control" localSheetId="10" hidden="1">{"'Sheet1'!$A$1:$G$85"}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NOPAT">#REF!</definedName>
    <definedName name="PATRIMONIO_TOT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2" i="34" l="1"/>
  <c r="L46" i="34"/>
  <c r="K46" i="34"/>
  <c r="M46" i="34" s="1"/>
  <c r="K53" i="34" s="1"/>
  <c r="I46" i="34"/>
  <c r="L45" i="34"/>
  <c r="K45" i="34"/>
  <c r="M45" i="34" s="1"/>
  <c r="K52" i="34" s="1"/>
  <c r="I45" i="34"/>
  <c r="L52" i="34" s="1"/>
  <c r="L44" i="34"/>
  <c r="K44" i="34"/>
  <c r="M44" i="34" s="1"/>
  <c r="K51" i="34" s="1"/>
  <c r="I44" i="34"/>
  <c r="L51" i="34" s="1"/>
  <c r="I32" i="34"/>
  <c r="M30" i="34"/>
  <c r="I26" i="34"/>
  <c r="N25" i="34"/>
  <c r="M31" i="34" s="1"/>
  <c r="N24" i="34"/>
  <c r="L30" i="34" s="1"/>
  <c r="M16" i="34"/>
  <c r="J16" i="34"/>
  <c r="I16" i="34"/>
  <c r="L16" i="34" s="1"/>
  <c r="M15" i="34"/>
  <c r="J15" i="34"/>
  <c r="I15" i="34"/>
  <c r="L15" i="34" s="1"/>
  <c r="M14" i="34"/>
  <c r="M17" i="34" s="1"/>
  <c r="J60" i="34" s="1"/>
  <c r="J14" i="34"/>
  <c r="I14" i="34"/>
  <c r="L14" i="34" s="1"/>
  <c r="P7" i="34"/>
  <c r="M7" i="34"/>
  <c r="Q7" i="34" s="1"/>
  <c r="L7" i="34"/>
  <c r="P6" i="34"/>
  <c r="M6" i="34"/>
  <c r="M8" i="34" s="1"/>
  <c r="L6" i="34"/>
  <c r="P5" i="34"/>
  <c r="P8" i="34" s="1"/>
  <c r="M5" i="34"/>
  <c r="Q5" i="34" s="1"/>
  <c r="L5" i="34"/>
  <c r="L8" i="34" s="1"/>
  <c r="K27" i="33"/>
  <c r="J27" i="33"/>
  <c r="I27" i="33"/>
  <c r="K22" i="33"/>
  <c r="I18" i="33"/>
  <c r="L16" i="33"/>
  <c r="J24" i="33" s="1"/>
  <c r="I11" i="33"/>
  <c r="M10" i="33"/>
  <c r="L17" i="33" s="1"/>
  <c r="J25" i="33" s="1"/>
  <c r="M9" i="33"/>
  <c r="K16" i="33" s="1"/>
  <c r="M8" i="33"/>
  <c r="L15" i="33" s="1"/>
  <c r="L32" i="32"/>
  <c r="K32" i="32"/>
  <c r="J32" i="32"/>
  <c r="L31" i="32"/>
  <c r="K31" i="32"/>
  <c r="J31" i="32"/>
  <c r="L30" i="32"/>
  <c r="K30" i="32"/>
  <c r="J30" i="32"/>
  <c r="L29" i="32"/>
  <c r="L28" i="32"/>
  <c r="K29" i="32"/>
  <c r="K28" i="32"/>
  <c r="J29" i="32"/>
  <c r="J28" i="32"/>
  <c r="L27" i="32"/>
  <c r="N23" i="32"/>
  <c r="M23" i="32"/>
  <c r="L23" i="32"/>
  <c r="M22" i="32"/>
  <c r="N22" i="32" s="1"/>
  <c r="L22" i="32"/>
  <c r="M21" i="32"/>
  <c r="L21" i="32"/>
  <c r="N21" i="32" s="1"/>
  <c r="J23" i="32"/>
  <c r="N16" i="32"/>
  <c r="N15" i="32"/>
  <c r="J17" i="32"/>
  <c r="L18" i="4"/>
  <c r="K18" i="4"/>
  <c r="J18" i="4"/>
  <c r="L17" i="4"/>
  <c r="K17" i="4"/>
  <c r="J17" i="4"/>
  <c r="L16" i="4"/>
  <c r="K16" i="4"/>
  <c r="J16" i="4"/>
  <c r="L15" i="4"/>
  <c r="K15" i="4"/>
  <c r="J15" i="4"/>
  <c r="L14" i="4"/>
  <c r="K14" i="4"/>
  <c r="J14" i="4"/>
  <c r="I17" i="4"/>
  <c r="I16" i="4"/>
  <c r="I15" i="4"/>
  <c r="I14" i="4"/>
  <c r="L10" i="4"/>
  <c r="K10" i="4"/>
  <c r="J10" i="4"/>
  <c r="L9" i="4"/>
  <c r="K9" i="4"/>
  <c r="J9" i="4"/>
  <c r="L8" i="4"/>
  <c r="K8" i="4"/>
  <c r="J8" i="4"/>
  <c r="L7" i="4"/>
  <c r="K7" i="4"/>
  <c r="J7" i="4"/>
  <c r="L6" i="4"/>
  <c r="K6" i="4"/>
  <c r="J6" i="4"/>
  <c r="L5" i="4"/>
  <c r="K5" i="4"/>
  <c r="J5" i="4"/>
  <c r="L4" i="4"/>
  <c r="K4" i="4"/>
  <c r="J4" i="4"/>
  <c r="L3" i="4"/>
  <c r="K3" i="4"/>
  <c r="J3" i="4"/>
  <c r="I9" i="4"/>
  <c r="I8" i="4"/>
  <c r="I7" i="4"/>
  <c r="I6" i="4"/>
  <c r="I5" i="4"/>
  <c r="I4" i="4"/>
  <c r="I3" i="4"/>
  <c r="V8" i="3"/>
  <c r="V7" i="3"/>
  <c r="V6" i="3"/>
  <c r="V5" i="3"/>
  <c r="V9" i="3" s="1"/>
  <c r="V4" i="3"/>
  <c r="U9" i="3"/>
  <c r="T9" i="3"/>
  <c r="S9" i="3"/>
  <c r="R9" i="3"/>
  <c r="U8" i="3"/>
  <c r="T8" i="3"/>
  <c r="S8" i="3"/>
  <c r="R8" i="3"/>
  <c r="U7" i="3"/>
  <c r="T7" i="3"/>
  <c r="S7" i="3"/>
  <c r="R7" i="3"/>
  <c r="U6" i="3"/>
  <c r="T6" i="3"/>
  <c r="S6" i="3"/>
  <c r="R6" i="3"/>
  <c r="U5" i="3"/>
  <c r="T5" i="3"/>
  <c r="S5" i="3"/>
  <c r="R5" i="3"/>
  <c r="U4" i="3"/>
  <c r="T4" i="3"/>
  <c r="S4" i="3"/>
  <c r="R4" i="3"/>
  <c r="Q8" i="3"/>
  <c r="Q7" i="3"/>
  <c r="Q6" i="3"/>
  <c r="Q5" i="3"/>
  <c r="Q4" i="3"/>
  <c r="I26" i="18"/>
  <c r="I30" i="18" s="1"/>
  <c r="H26" i="18"/>
  <c r="N29" i="18"/>
  <c r="M29" i="18"/>
  <c r="N28" i="18"/>
  <c r="M28" i="18"/>
  <c r="I22" i="18"/>
  <c r="G22" i="18"/>
  <c r="N27" i="18"/>
  <c r="M27" i="18"/>
  <c r="F22" i="18"/>
  <c r="D22" i="18"/>
  <c r="N26" i="18"/>
  <c r="M26" i="18"/>
  <c r="H30" i="18"/>
  <c r="I28" i="18"/>
  <c r="H28" i="18"/>
  <c r="L21" i="18"/>
  <c r="K21" i="18"/>
  <c r="J21" i="18"/>
  <c r="I21" i="18"/>
  <c r="H21" i="18"/>
  <c r="L20" i="18"/>
  <c r="K20" i="18"/>
  <c r="J20" i="18"/>
  <c r="F20" i="18"/>
  <c r="E20" i="18"/>
  <c r="L19" i="18"/>
  <c r="K19" i="18" s="1"/>
  <c r="J19" i="18"/>
  <c r="I19" i="18"/>
  <c r="H19" i="18"/>
  <c r="I29" i="18"/>
  <c r="H29" i="18"/>
  <c r="K18" i="18"/>
  <c r="L18" i="18"/>
  <c r="J18" i="18"/>
  <c r="I18" i="18"/>
  <c r="H18" i="18"/>
  <c r="G18" i="18"/>
  <c r="K17" i="18"/>
  <c r="L17" i="18"/>
  <c r="J17" i="18"/>
  <c r="I17" i="18"/>
  <c r="H17" i="18"/>
  <c r="K16" i="18"/>
  <c r="L16" i="18"/>
  <c r="J16" i="18"/>
  <c r="I16" i="18"/>
  <c r="H16" i="18"/>
  <c r="K15" i="18"/>
  <c r="L15" i="18"/>
  <c r="J15" i="18"/>
  <c r="I15" i="18"/>
  <c r="H15" i="18"/>
  <c r="I27" i="18"/>
  <c r="H27" i="18"/>
  <c r="K14" i="18"/>
  <c r="L14" i="18"/>
  <c r="J14" i="18"/>
  <c r="F14" i="18"/>
  <c r="E14" i="18"/>
  <c r="D14" i="18"/>
  <c r="K13" i="18"/>
  <c r="L13" i="18"/>
  <c r="J13" i="18"/>
  <c r="F13" i="18"/>
  <c r="E13" i="18"/>
  <c r="K12" i="18"/>
  <c r="L12" i="18"/>
  <c r="J12" i="18"/>
  <c r="I12" i="18"/>
  <c r="H12" i="18"/>
  <c r="K11" i="18"/>
  <c r="L11" i="18"/>
  <c r="J11" i="18"/>
  <c r="I11" i="18"/>
  <c r="H11" i="18"/>
  <c r="K10" i="18"/>
  <c r="L10" i="18"/>
  <c r="J10" i="18"/>
  <c r="F10" i="18"/>
  <c r="E10" i="18"/>
  <c r="K9" i="18"/>
  <c r="L44" i="18"/>
  <c r="H40" i="18"/>
  <c r="L37" i="18"/>
  <c r="M51" i="34" l="1"/>
  <c r="M54" i="34" s="1"/>
  <c r="K54" i="34"/>
  <c r="I61" i="34" s="1"/>
  <c r="Q8" i="34"/>
  <c r="L17" i="34"/>
  <c r="I60" i="34" s="1"/>
  <c r="M52" i="34"/>
  <c r="M32" i="34"/>
  <c r="I38" i="34" s="1"/>
  <c r="L53" i="34"/>
  <c r="L54" i="34" s="1"/>
  <c r="J61" i="34" s="1"/>
  <c r="I59" i="34"/>
  <c r="P9" i="34"/>
  <c r="J69" i="34"/>
  <c r="M53" i="34"/>
  <c r="Q6" i="34"/>
  <c r="K31" i="34"/>
  <c r="L31" i="34"/>
  <c r="L32" i="34" s="1"/>
  <c r="I37" i="34" s="1"/>
  <c r="I47" i="34"/>
  <c r="I51" i="34"/>
  <c r="I53" i="34"/>
  <c r="K30" i="34"/>
  <c r="L18" i="33"/>
  <c r="J23" i="33"/>
  <c r="J26" i="33" s="1"/>
  <c r="J28" i="33" s="1"/>
  <c r="M16" i="33"/>
  <c r="I24" i="33"/>
  <c r="K24" i="33" s="1"/>
  <c r="K15" i="33"/>
  <c r="K17" i="33"/>
  <c r="G31" i="45"/>
  <c r="G30" i="45"/>
  <c r="G29" i="45"/>
  <c r="G28" i="45"/>
  <c r="G27" i="45"/>
  <c r="G26" i="45"/>
  <c r="E19" i="45"/>
  <c r="D19" i="45"/>
  <c r="F19" i="45" s="1"/>
  <c r="B11" i="45"/>
  <c r="B21" i="45" s="1"/>
  <c r="B31" i="45" s="1"/>
  <c r="B10" i="45"/>
  <c r="B20" i="45" s="1"/>
  <c r="B9" i="45"/>
  <c r="B8" i="45"/>
  <c r="B18" i="45" s="1"/>
  <c r="B28" i="45" s="1"/>
  <c r="B7" i="45"/>
  <c r="B17" i="45" s="1"/>
  <c r="B6" i="45"/>
  <c r="B16" i="45" s="1"/>
  <c r="C31" i="45"/>
  <c r="C30" i="45"/>
  <c r="C29" i="45"/>
  <c r="C28" i="45"/>
  <c r="C27" i="45"/>
  <c r="C26" i="45"/>
  <c r="F21" i="45"/>
  <c r="F20" i="45"/>
  <c r="F18" i="45"/>
  <c r="F17" i="45"/>
  <c r="F16" i="45"/>
  <c r="B19" i="45"/>
  <c r="E30" i="44"/>
  <c r="D30" i="44"/>
  <c r="F30" i="44" s="1"/>
  <c r="F29" i="44"/>
  <c r="E29" i="44"/>
  <c r="D29" i="44"/>
  <c r="F28" i="44"/>
  <c r="E28" i="44"/>
  <c r="D28" i="44"/>
  <c r="E27" i="44"/>
  <c r="F27" i="44" s="1"/>
  <c r="D27" i="44"/>
  <c r="E26" i="44"/>
  <c r="D26" i="44"/>
  <c r="F26" i="44" s="1"/>
  <c r="F25" i="44"/>
  <c r="E25" i="44"/>
  <c r="F20" i="44"/>
  <c r="F19" i="44"/>
  <c r="F18" i="44"/>
  <c r="F17" i="44"/>
  <c r="F16" i="44"/>
  <c r="F15" i="44"/>
  <c r="C30" i="44"/>
  <c r="B30" i="44"/>
  <c r="C29" i="44"/>
  <c r="B29" i="44"/>
  <c r="C28" i="44"/>
  <c r="B28" i="44"/>
  <c r="C27" i="44"/>
  <c r="B27" i="44"/>
  <c r="C26" i="44"/>
  <c r="B26" i="44"/>
  <c r="C25" i="44"/>
  <c r="B25" i="44"/>
  <c r="B20" i="44"/>
  <c r="B19" i="44"/>
  <c r="B18" i="44"/>
  <c r="B17" i="44"/>
  <c r="B16" i="44"/>
  <c r="B15" i="44"/>
  <c r="B21" i="44" s="1"/>
  <c r="B10" i="44"/>
  <c r="B9" i="44"/>
  <c r="B8" i="44"/>
  <c r="B7" i="44"/>
  <c r="B6" i="44"/>
  <c r="B5" i="44"/>
  <c r="B11" i="44" s="1"/>
  <c r="E36" i="26"/>
  <c r="E35" i="26"/>
  <c r="E34" i="26"/>
  <c r="E33" i="26"/>
  <c r="H30" i="26"/>
  <c r="G30" i="26"/>
  <c r="F30" i="26"/>
  <c r="E30" i="26"/>
  <c r="D30" i="26"/>
  <c r="I30" i="26" s="1"/>
  <c r="H29" i="26"/>
  <c r="I29" i="26" s="1"/>
  <c r="G29" i="26"/>
  <c r="F29" i="26"/>
  <c r="E29" i="26"/>
  <c r="D29" i="26"/>
  <c r="H28" i="26"/>
  <c r="G28" i="26"/>
  <c r="F28" i="26"/>
  <c r="E28" i="26"/>
  <c r="D28" i="26"/>
  <c r="H27" i="26"/>
  <c r="G27" i="26"/>
  <c r="F27" i="26"/>
  <c r="E27" i="26"/>
  <c r="D27" i="26"/>
  <c r="I27" i="26" s="1"/>
  <c r="H26" i="26"/>
  <c r="G26" i="26"/>
  <c r="I26" i="26" s="1"/>
  <c r="F26" i="26"/>
  <c r="E26" i="26"/>
  <c r="D26" i="26"/>
  <c r="H25" i="26"/>
  <c r="G25" i="26"/>
  <c r="F25" i="26"/>
  <c r="E25" i="26"/>
  <c r="D25" i="26"/>
  <c r="B31" i="26"/>
  <c r="I28" i="26"/>
  <c r="B21" i="26"/>
  <c r="I20" i="21"/>
  <c r="H20" i="21"/>
  <c r="G20" i="21"/>
  <c r="I19" i="21"/>
  <c r="H19" i="21"/>
  <c r="G19" i="21"/>
  <c r="I18" i="21"/>
  <c r="H18" i="21"/>
  <c r="G18" i="21"/>
  <c r="I17" i="21"/>
  <c r="H17" i="21"/>
  <c r="G17" i="21"/>
  <c r="I16" i="21"/>
  <c r="H16" i="21"/>
  <c r="G16" i="21"/>
  <c r="I15" i="21"/>
  <c r="H15" i="21"/>
  <c r="G15" i="21"/>
  <c r="F19" i="21"/>
  <c r="F18" i="21"/>
  <c r="F17" i="21"/>
  <c r="F16" i="21"/>
  <c r="F15" i="21"/>
  <c r="C30" i="16"/>
  <c r="B30" i="16"/>
  <c r="C29" i="16"/>
  <c r="B29" i="16"/>
  <c r="C28" i="16"/>
  <c r="B28" i="16"/>
  <c r="C27" i="16"/>
  <c r="B27" i="16"/>
  <c r="C26" i="16"/>
  <c r="B26" i="16"/>
  <c r="C25" i="16"/>
  <c r="B25" i="16"/>
  <c r="C24" i="16"/>
  <c r="B24" i="16"/>
  <c r="C23" i="16"/>
  <c r="B23" i="16"/>
  <c r="L36" i="16"/>
  <c r="K36" i="16"/>
  <c r="J36" i="16"/>
  <c r="K35" i="16"/>
  <c r="J35" i="16"/>
  <c r="L35" i="16" s="1"/>
  <c r="K34" i="16"/>
  <c r="J34" i="16"/>
  <c r="K33" i="16"/>
  <c r="J33" i="16"/>
  <c r="K32" i="16"/>
  <c r="J32" i="16"/>
  <c r="K31" i="16"/>
  <c r="J31" i="16"/>
  <c r="K30" i="16"/>
  <c r="J30" i="16"/>
  <c r="I35" i="16"/>
  <c r="H35" i="16"/>
  <c r="I34" i="16"/>
  <c r="H34" i="16"/>
  <c r="I33" i="16"/>
  <c r="H33" i="16"/>
  <c r="I32" i="16"/>
  <c r="H32" i="16"/>
  <c r="I31" i="16"/>
  <c r="H31" i="16"/>
  <c r="I30" i="16"/>
  <c r="H30" i="16"/>
  <c r="L32" i="16"/>
  <c r="L31" i="16"/>
  <c r="L25" i="16"/>
  <c r="K25" i="16"/>
  <c r="J25" i="16"/>
  <c r="L24" i="16"/>
  <c r="K24" i="16"/>
  <c r="J24" i="16"/>
  <c r="L23" i="16"/>
  <c r="K23" i="16"/>
  <c r="J23" i="16"/>
  <c r="L22" i="16"/>
  <c r="L21" i="16"/>
  <c r="L20" i="16"/>
  <c r="K20" i="16"/>
  <c r="J20" i="16"/>
  <c r="H26" i="16"/>
  <c r="H25" i="16"/>
  <c r="H24" i="16"/>
  <c r="H23" i="16"/>
  <c r="H22" i="16"/>
  <c r="H21" i="16"/>
  <c r="H20" i="16"/>
  <c r="B15" i="16"/>
  <c r="B14" i="16"/>
  <c r="B13" i="16"/>
  <c r="C22" i="16"/>
  <c r="C21" i="16"/>
  <c r="B22" i="16"/>
  <c r="B21" i="16"/>
  <c r="C20" i="16"/>
  <c r="B20" i="16"/>
  <c r="C19" i="16"/>
  <c r="B19" i="16"/>
  <c r="A8" i="43"/>
  <c r="B11" i="26"/>
  <c r="J70" i="34" l="1"/>
  <c r="N31" i="34"/>
  <c r="L60" i="34"/>
  <c r="I69" i="34"/>
  <c r="K60" i="34"/>
  <c r="J59" i="34"/>
  <c r="K59" i="34" s="1"/>
  <c r="Q9" i="34"/>
  <c r="I54" i="34"/>
  <c r="L61" i="34"/>
  <c r="I70" i="34"/>
  <c r="K61" i="34"/>
  <c r="K32" i="34"/>
  <c r="I36" i="34" s="1"/>
  <c r="I39" i="34" s="1"/>
  <c r="N30" i="34"/>
  <c r="L59" i="34"/>
  <c r="I62" i="34"/>
  <c r="I68" i="34"/>
  <c r="I71" i="34" s="1"/>
  <c r="I74" i="34" s="1"/>
  <c r="I75" i="34" s="1"/>
  <c r="I23" i="33"/>
  <c r="K18" i="33"/>
  <c r="M15" i="33"/>
  <c r="I25" i="33"/>
  <c r="K25" i="33" s="1"/>
  <c r="M17" i="33"/>
  <c r="E30" i="45"/>
  <c r="E28" i="45"/>
  <c r="D28" i="45"/>
  <c r="D31" i="45"/>
  <c r="E31" i="45"/>
  <c r="B29" i="45"/>
  <c r="E29" i="45"/>
  <c r="D29" i="45"/>
  <c r="B22" i="45"/>
  <c r="E26" i="45"/>
  <c r="D26" i="45"/>
  <c r="B26" i="45"/>
  <c r="E27" i="45"/>
  <c r="D27" i="45"/>
  <c r="F27" i="45" s="1"/>
  <c r="B27" i="45"/>
  <c r="B12" i="45"/>
  <c r="B30" i="45"/>
  <c r="D30" i="45"/>
  <c r="B31" i="44"/>
  <c r="D31" i="26"/>
  <c r="E31" i="26"/>
  <c r="F31" i="26"/>
  <c r="G31" i="26"/>
  <c r="H31" i="26"/>
  <c r="I25" i="26"/>
  <c r="I31" i="26" s="1"/>
  <c r="H36" i="16"/>
  <c r="L34" i="16"/>
  <c r="L33" i="16"/>
  <c r="L30" i="16"/>
  <c r="I20" i="26"/>
  <c r="I19" i="26"/>
  <c r="I18" i="26"/>
  <c r="I17" i="26"/>
  <c r="I16" i="26"/>
  <c r="I15" i="26"/>
  <c r="D11" i="21"/>
  <c r="D10" i="21"/>
  <c r="D9" i="21"/>
  <c r="D8" i="21"/>
  <c r="D7" i="21"/>
  <c r="E42" i="21"/>
  <c r="E41" i="21"/>
  <c r="K62" i="34" l="1"/>
  <c r="N59" i="34"/>
  <c r="N61" i="34"/>
  <c r="N60" i="34"/>
  <c r="L62" i="34"/>
  <c r="J62" i="34"/>
  <c r="J68" i="34"/>
  <c r="J71" i="34" s="1"/>
  <c r="J74" i="34" s="1"/>
  <c r="J75" i="34" s="1"/>
  <c r="M59" i="34"/>
  <c r="N32" i="34"/>
  <c r="K23" i="33"/>
  <c r="K26" i="33" s="1"/>
  <c r="K28" i="33" s="1"/>
  <c r="I26" i="33"/>
  <c r="I28" i="33" s="1"/>
  <c r="M18" i="33"/>
  <c r="F28" i="45"/>
  <c r="F30" i="45"/>
  <c r="F29" i="45"/>
  <c r="B32" i="45"/>
  <c r="E32" i="45"/>
  <c r="F31" i="45"/>
  <c r="F26" i="45"/>
  <c r="D32" i="45"/>
  <c r="C12" i="16"/>
  <c r="C11" i="16"/>
  <c r="C10" i="16"/>
  <c r="D22" i="39"/>
  <c r="C22" i="39"/>
  <c r="B22" i="39"/>
  <c r="B8" i="39"/>
  <c r="F22" i="17"/>
  <c r="E22" i="17"/>
  <c r="C22" i="17"/>
  <c r="B22" i="17"/>
  <c r="E8" i="17"/>
  <c r="E7" i="17"/>
  <c r="E6" i="17"/>
  <c r="E5" i="17"/>
  <c r="E6" i="16"/>
  <c r="E5" i="16"/>
  <c r="M60" i="34" l="1"/>
  <c r="M62" i="34" s="1"/>
  <c r="M61" i="34"/>
  <c r="N62" i="34"/>
  <c r="F32" i="45"/>
  <c r="E7" i="16"/>
  <c r="E9" i="17"/>
  <c r="E31" i="44" l="1"/>
  <c r="D25" i="44"/>
  <c r="D31" i="44" l="1"/>
  <c r="F31" i="44"/>
</calcChain>
</file>

<file path=xl/sharedStrings.xml><?xml version="1.0" encoding="utf-8"?>
<sst xmlns="http://schemas.openxmlformats.org/spreadsheetml/2006/main" count="1061" uniqueCount="455">
  <si>
    <t>Total</t>
  </si>
  <si>
    <t>Conceptos</t>
  </si>
  <si>
    <t>TCV</t>
  </si>
  <si>
    <t>Flete US$</t>
  </si>
  <si>
    <t>Seguro US$</t>
  </si>
  <si>
    <t>Handling S/</t>
  </si>
  <si>
    <t>Compras</t>
  </si>
  <si>
    <t>Pregunta 02:</t>
  </si>
  <si>
    <t>Datos:</t>
  </si>
  <si>
    <t>Repuestos</t>
  </si>
  <si>
    <t>UM</t>
  </si>
  <si>
    <t>Cantidad</t>
  </si>
  <si>
    <t>Fob Unit US$</t>
  </si>
  <si>
    <t>Fob Total US$</t>
  </si>
  <si>
    <t>Colmonoy Microbras</t>
  </si>
  <si>
    <t>Unid</t>
  </si>
  <si>
    <t>Costos:</t>
  </si>
  <si>
    <t>US$</t>
  </si>
  <si>
    <t>Soles</t>
  </si>
  <si>
    <t>TC Venta</t>
  </si>
  <si>
    <t>Supervision US$</t>
  </si>
  <si>
    <t>Gastos Aduana S/</t>
  </si>
  <si>
    <t>Gastos Bancarios S/</t>
  </si>
  <si>
    <t>Calculo Costo Unitario Importación unitario en Soles</t>
  </si>
  <si>
    <t>Fob Unit S/</t>
  </si>
  <si>
    <t>Fob Total S/</t>
  </si>
  <si>
    <t>Seguro</t>
  </si>
  <si>
    <t>Supervisión</t>
  </si>
  <si>
    <t>Flete</t>
  </si>
  <si>
    <t>Gastos Aduana</t>
  </si>
  <si>
    <t>Gastos Bancarios</t>
  </si>
  <si>
    <t>Costo Import total</t>
  </si>
  <si>
    <t>Costo unitario</t>
  </si>
  <si>
    <t>PLANCHA (ASTM A36) DE 1 4" ESPESOR X 6 PIES ANCHO X  20 PIES LARGO</t>
  </si>
  <si>
    <t>PLATINA DE 4 X 20 PIES X 1 8"THK</t>
  </si>
  <si>
    <t>ESPARRAGO ASTM A193.B7. 3 4".10 X 5 1 2"</t>
  </si>
  <si>
    <t>EMPAQUETADURA EN PLANCHA.  1 8 IN TH X 60  X 60 . CON INSERCION DE MALLA INCONEL</t>
  </si>
  <si>
    <t>Gastos Aduana S/.</t>
  </si>
  <si>
    <t>Gastos Bancarios S/.</t>
  </si>
  <si>
    <t>Fob Unit S/.</t>
  </si>
  <si>
    <t>Handling</t>
  </si>
  <si>
    <t>Pregunta 04:</t>
  </si>
  <si>
    <t>RP154K</t>
  </si>
  <si>
    <t>Almacén</t>
  </si>
  <si>
    <t>Periodo</t>
  </si>
  <si>
    <t>Método</t>
  </si>
  <si>
    <t>PROMEDIO</t>
  </si>
  <si>
    <t>Valorización de inventario</t>
  </si>
  <si>
    <t>INGRESOS</t>
  </si>
  <si>
    <t>SALIIDAS</t>
  </si>
  <si>
    <t>SALDOS</t>
  </si>
  <si>
    <t>Descripción</t>
  </si>
  <si>
    <t>Fecha</t>
  </si>
  <si>
    <t>Detalle</t>
  </si>
  <si>
    <t>Cto Unit S/</t>
  </si>
  <si>
    <t>Cto total S/</t>
  </si>
  <si>
    <t>Saldo inicial</t>
  </si>
  <si>
    <t>Consumo</t>
  </si>
  <si>
    <t>Devolución</t>
  </si>
  <si>
    <t>Pregunta 05:</t>
  </si>
  <si>
    <t>PEPS</t>
  </si>
  <si>
    <t>UEPS</t>
  </si>
  <si>
    <t>Periodo de costeo</t>
  </si>
  <si>
    <t>mes</t>
  </si>
  <si>
    <t>Personal directo</t>
  </si>
  <si>
    <t>Costo Mes S/</t>
  </si>
  <si>
    <t>Hras Efec</t>
  </si>
  <si>
    <t>Costo de Personal Directo por Orden de Mantenimiento</t>
  </si>
  <si>
    <t>Operarios</t>
  </si>
  <si>
    <t>Tasa Hora</t>
  </si>
  <si>
    <t>Hora</t>
  </si>
  <si>
    <t>OC: Productos Terminados</t>
  </si>
  <si>
    <t>CB - Operario 01</t>
  </si>
  <si>
    <t>CC - Operario 02</t>
  </si>
  <si>
    <t>SA - Operario 03</t>
  </si>
  <si>
    <t>CS - Operario 04</t>
  </si>
  <si>
    <t>PC - Operario 05</t>
  </si>
  <si>
    <t>PT 1</t>
  </si>
  <si>
    <t>PT 2</t>
  </si>
  <si>
    <t>PT 3</t>
  </si>
  <si>
    <t>PREGUNTA 14:</t>
  </si>
  <si>
    <t>Alquiler</t>
  </si>
  <si>
    <t>MES</t>
  </si>
  <si>
    <t>Costo S/</t>
  </si>
  <si>
    <t>Mano Obra Indirecta</t>
  </si>
  <si>
    <t>CALCULO DEL COSTO INDIRECTO A LOS CENTROS DE COSTOS</t>
  </si>
  <si>
    <t>Matriz de Costo de Elemento de Costo</t>
  </si>
  <si>
    <t>Elemento Costo</t>
  </si>
  <si>
    <t>Energía eléctrica</t>
  </si>
  <si>
    <t>Mantenimiento</t>
  </si>
  <si>
    <t>Internet</t>
  </si>
  <si>
    <t>Teléfono</t>
  </si>
  <si>
    <t>CCA</t>
  </si>
  <si>
    <t>CCV</t>
  </si>
  <si>
    <t>CCA1</t>
  </si>
  <si>
    <t>CCP1</t>
  </si>
  <si>
    <t>CCP2</t>
  </si>
  <si>
    <t xml:space="preserve">Criterio </t>
  </si>
  <si>
    <t>Periodo de Costeo:</t>
  </si>
  <si>
    <t>Mensual</t>
  </si>
  <si>
    <t>Objeto de Costo:</t>
  </si>
  <si>
    <t>Ordenes de Producción</t>
  </si>
  <si>
    <t>Ordenes</t>
  </si>
  <si>
    <t>Unid Prod</t>
  </si>
  <si>
    <t>OP 1</t>
  </si>
  <si>
    <t>OP 2</t>
  </si>
  <si>
    <t>OP 3</t>
  </si>
  <si>
    <t>Calculo del Costo Total de Materiales Directos a las Ordenes de Producción</t>
  </si>
  <si>
    <t>Material</t>
  </si>
  <si>
    <t>Cto Unit</t>
  </si>
  <si>
    <t>MD 1</t>
  </si>
  <si>
    <t>MD 2</t>
  </si>
  <si>
    <t>MD 3</t>
  </si>
  <si>
    <t>Costo de Personal Directo Total por Orden de Produccion</t>
  </si>
  <si>
    <t>PD 1</t>
  </si>
  <si>
    <t>PD 2</t>
  </si>
  <si>
    <t>PD 3</t>
  </si>
  <si>
    <t>Elementos de Costos Indirectos Mensuales</t>
  </si>
  <si>
    <t>Elemento</t>
  </si>
  <si>
    <t>Criterio EC - CCP</t>
  </si>
  <si>
    <t>Materiales Ind</t>
  </si>
  <si>
    <t>Personal indire</t>
  </si>
  <si>
    <t>Servicios públic</t>
  </si>
  <si>
    <t>Matriz de inductores de elemento de costo a los centros de costos</t>
  </si>
  <si>
    <t>Criterio</t>
  </si>
  <si>
    <t>CCA 1</t>
  </si>
  <si>
    <t>CCA 2</t>
  </si>
  <si>
    <t>CCP 1</t>
  </si>
  <si>
    <t>CCP3</t>
  </si>
  <si>
    <t>TOTAL</t>
  </si>
  <si>
    <t>Calculo del costo del elemento de costo a los centros de costos</t>
  </si>
  <si>
    <t>Costo S/.</t>
  </si>
  <si>
    <t>Matriz de criterio de reparto de costos indirectos de CC Apoyo a los centros de costos productivos</t>
  </si>
  <si>
    <t>Calculo de costos indirectos de CC Apoyo a los centros de costos productivos</t>
  </si>
  <si>
    <t>Matriz de inductores de costo de centros de costos productivos a las Ordenes de Produccion</t>
  </si>
  <si>
    <t>RESUMEN DE COSTOS TOTALES</t>
  </si>
  <si>
    <t>CMD</t>
  </si>
  <si>
    <t>CMOD</t>
  </si>
  <si>
    <t>CIND</t>
  </si>
  <si>
    <t>Unidades</t>
  </si>
  <si>
    <t>RESUMEN DE COSTOS UNITARIOS</t>
  </si>
  <si>
    <t>PREGUNTA 15:</t>
  </si>
  <si>
    <t>PREGUNTA 16:</t>
  </si>
  <si>
    <t>PREGUNTA 17:</t>
  </si>
  <si>
    <t>Pregunta 01</t>
  </si>
  <si>
    <t>Pregunta 03:</t>
  </si>
  <si>
    <t>PREGUNTA 06:</t>
  </si>
  <si>
    <t>Pregunta 07:</t>
  </si>
  <si>
    <t>PREGUNTA 09:</t>
  </si>
  <si>
    <t>PREGUNTA 10:</t>
  </si>
  <si>
    <t>PREGUNTA 12:</t>
  </si>
  <si>
    <t>CALCULO DE COSTOS DE PRODUCTOS UTILIZANDO COSTEO TRADICIONAL</t>
  </si>
  <si>
    <t>45 unid a S/ 9,994.45</t>
  </si>
  <si>
    <t>Flete interno S/</t>
  </si>
  <si>
    <t>Refrigerante</t>
  </si>
  <si>
    <t>Aceite</t>
  </si>
  <si>
    <t>Motor</t>
  </si>
  <si>
    <t>Soldadura</t>
  </si>
  <si>
    <t>Faja</t>
  </si>
  <si>
    <t>UMC</t>
  </si>
  <si>
    <t>Cilindro</t>
  </si>
  <si>
    <t>Galon</t>
  </si>
  <si>
    <t xml:space="preserve">Lata </t>
  </si>
  <si>
    <t>Pieza</t>
  </si>
  <si>
    <t>UMS</t>
  </si>
  <si>
    <t>Lt</t>
  </si>
  <si>
    <t>ml</t>
  </si>
  <si>
    <t>unid</t>
  </si>
  <si>
    <t>Kg</t>
  </si>
  <si>
    <t>OM 1</t>
  </si>
  <si>
    <t>OM 2</t>
  </si>
  <si>
    <t>OM 3</t>
  </si>
  <si>
    <t>OM 4</t>
  </si>
  <si>
    <t>COSTEO PERSONAL DIRECTO</t>
  </si>
  <si>
    <t>Flete interno</t>
  </si>
  <si>
    <t>COSTO = COSTO UNITARIO * CANTIDAD</t>
  </si>
  <si>
    <t>COSTEO PERSONAL DIRECTO:</t>
  </si>
  <si>
    <t>COSTO UNITARIO = TASA TIEMPO DE LA PERSONA</t>
  </si>
  <si>
    <t>TASA TIEMPO = VALOR TOTAL DE LA PERSONA / TOTAL HORAS EFECTIVAS</t>
  </si>
  <si>
    <t>EN UN PERIODO DE COSTEO</t>
  </si>
  <si>
    <t>VALOR TOTAL = REMUNERACION + CARGAS + BENEFICIOS SOCIALES</t>
  </si>
  <si>
    <t>VALOR DE PERMANENCIA</t>
  </si>
  <si>
    <t>ESTIMACION DE TIEMPO EFECTIVO</t>
  </si>
  <si>
    <t>CANTIDAD ES EL TIEMPO EFECTIVO DEDICADO AL OBJETO DE COSTEO QUE SE DESEA COSTEAR</t>
  </si>
  <si>
    <t>PT 1 S/</t>
  </si>
  <si>
    <t>PT 2 S/</t>
  </si>
  <si>
    <t>PT 3 S/</t>
  </si>
  <si>
    <t>MATRIZ DE CONFIGURACION Y VALORES DE CRITERIO DE REPARTO</t>
  </si>
  <si>
    <t>kw Hr</t>
  </si>
  <si>
    <t>M2</t>
  </si>
  <si>
    <t>Valor directo</t>
  </si>
  <si>
    <t># horas manten</t>
  </si>
  <si>
    <t># PC s que utilz</t>
  </si>
  <si>
    <t># telefonos</t>
  </si>
  <si>
    <t>P1: R a C , M y E</t>
  </si>
  <si>
    <t>METODO RECIPROCO:</t>
  </si>
  <si>
    <t>P2: C a R, M y E</t>
  </si>
  <si>
    <t>P3: R a M y E</t>
  </si>
  <si>
    <t>Celda 18¨</t>
  </si>
  <si>
    <t>Pza</t>
  </si>
  <si>
    <t>Calculo de Costo de Importación de Suministros</t>
  </si>
  <si>
    <t>Calculo de Costo de Importación de Materiales</t>
  </si>
  <si>
    <t>Calculo del Costo de importación unitario en soles por cada material</t>
  </si>
  <si>
    <t>65 unid, costo compra unitario US$ 75.8 con IGV F/ 01-1250 del 02/08/25</t>
  </si>
  <si>
    <t>15 unid, uso en la OT 1452</t>
  </si>
  <si>
    <t>26 unid, uso en la OT 1455</t>
  </si>
  <si>
    <t>180 unid, costo compra unitario S/ 298.8 con IGV F/ 01-1254</t>
  </si>
  <si>
    <t>20 unid, devolución al proveedor compra del 09/08/25 F/ 01-1254</t>
  </si>
  <si>
    <t>36 unid, uso en la OT 1452</t>
  </si>
  <si>
    <t>28 unid, uso en la OT 1454</t>
  </si>
  <si>
    <t>34 unid, uso en la OT 1453</t>
  </si>
  <si>
    <t>VALORIZACION DE INVENTARIO DE MATERIALES</t>
  </si>
  <si>
    <t>Materia Prima</t>
  </si>
  <si>
    <t>El área de producción devolvió 20 unidades por no usarlo</t>
  </si>
  <si>
    <t>30 unid, uso en la OT 1452</t>
  </si>
  <si>
    <t>120 unid, costo compra unitario US$ 80.42 con IGV F/ 01-1256 del 15/08/25</t>
  </si>
  <si>
    <t>50 unid, uso en la OT 1454</t>
  </si>
  <si>
    <t>Movimientos del mes de AGOSTO 2025</t>
  </si>
  <si>
    <t>Valorización de inventario (Primero en entrar Primero en salir)</t>
  </si>
  <si>
    <t>Valorización de inventario (Ultimo en entrar Primero en salir)</t>
  </si>
  <si>
    <t>Cantidad de materiales consumidos por cada OM:</t>
  </si>
  <si>
    <t>UMC: unidad de medida de compra</t>
  </si>
  <si>
    <t>UMS: unidad de medida de consumo</t>
  </si>
  <si>
    <t>Los costos unitarios de los materiales son: refrigerante S/ 195.2 por cilindro inculido IGV</t>
  </si>
  <si>
    <t>para el cálculo del costo de materiales directos por cada una de ellas.</t>
  </si>
  <si>
    <t>Se cuenta con 4 ordenes de mantenimiento OM1, OM2, OM3, OM4. Lo siguiente es la data</t>
  </si>
  <si>
    <t>(1 cilindro contine 45 galoes y cada galón contiene 4.5 litros); aceite S/ 58.2 por galón</t>
  </si>
  <si>
    <t>con IGV (1 galón contiene 4.5 litros), motor S/ 2,448.65 por unidad incluido IGV, soldadura</t>
  </si>
  <si>
    <t>S/ 245.3 por lata (1 lata contiene 10 kilos); faja S/ 72.3 por par incluido IGV.</t>
  </si>
  <si>
    <t>Con la información precedente se le pide calcular el costo de material directo por</t>
  </si>
  <si>
    <t>cada orden de mantenimiento.</t>
  </si>
  <si>
    <t>PREGUNTA 08:</t>
  </si>
  <si>
    <t>MATRIZ DE CALCULO DE COSTO - REPARTO PROPORCIONAL</t>
  </si>
  <si>
    <t>Una empresa tiene 2 centros de costos de apoyo a la producción y dos centros de costos productivos,</t>
  </si>
  <si>
    <t>para los cuales se muestra información:</t>
  </si>
  <si>
    <t>Tipo</t>
  </si>
  <si>
    <t>Centro Costo</t>
  </si>
  <si>
    <t>Area M2</t>
  </si>
  <si>
    <t>Horas PD</t>
  </si>
  <si>
    <t>Cafeteria</t>
  </si>
  <si>
    <t>Maquinado</t>
  </si>
  <si>
    <t>Ensamblaje</t>
  </si>
  <si>
    <t>Apoyo a la producción</t>
  </si>
  <si>
    <t>Producción</t>
  </si>
  <si>
    <t>Se muestran los costos totales de los centros de costos de apoyo a la producción y de los costos indirectos</t>
  </si>
  <si>
    <t>aplican tomando como criterio de reparto del área. De la misma forma, en el reparto de los costos del</t>
  </si>
  <si>
    <t>centro de costo de cafeteria se tomo como criterio las horas de personal directo.</t>
  </si>
  <si>
    <t>Se le pide:</t>
  </si>
  <si>
    <t>a) Determine el reparto de los costos totales de los centros de costos de apoyo a la producción a</t>
  </si>
  <si>
    <t>los centros de costos de producción utilizando el método directo, el método escalonado (primero</t>
  </si>
  <si>
    <t xml:space="preserve">reparta los costos del centro de costo de reparaciones) y el método algebraico o reciproco. </t>
  </si>
  <si>
    <t>Compare los resultados y comente.</t>
  </si>
  <si>
    <t>b) Calcule las tasas predeterminadas de aplicación de los costos indirectos por cada centro</t>
  </si>
  <si>
    <t>de costo de producción en las soluciones obtenidas por cada método si la base de aplicación</t>
  </si>
  <si>
    <t>son las horas de personal directo.</t>
  </si>
  <si>
    <t>CALCULO DEL COSTO INDIRECTO:</t>
  </si>
  <si>
    <t>CALCULAR EL COSTO INDIRECTO DE INTERNET A LOS SERVICIOS DE SOLUCIONES</t>
  </si>
  <si>
    <t>PERIODO DE COSTEO: 1 MES</t>
  </si>
  <si>
    <t>INTERNET</t>
  </si>
  <si>
    <t>CON IGV</t>
  </si>
  <si>
    <t>SERVICIOS</t>
  </si>
  <si>
    <t>UNI FIIS</t>
  </si>
  <si>
    <t>USIL</t>
  </si>
  <si>
    <t>CAJAMARCA</t>
  </si>
  <si>
    <t>EDITORA</t>
  </si>
  <si>
    <t>CRITERIO DE REPARTO</t>
  </si>
  <si>
    <t>ES UNA MAGNITUD DIRECTAMENTE PROPORCIONAL</t>
  </si>
  <si>
    <t>PARA UN BUEN COSTEO SE DEBE DETERMINAR EL MEJOR CRITERIO DE REPARTO</t>
  </si>
  <si>
    <t>TENIENDO EN CUENTA EL ANALISIS DE RELEVANCIA</t>
  </si>
  <si>
    <t>QUE PASA SI TIENES 2 O MAS CRITERIOS DE REPARTO SE USA LOS CRITERIOS DE REPARTO</t>
  </si>
  <si>
    <t>COMPUESTO</t>
  </si>
  <si>
    <t>QUE USAN LAS EMPRESAS PARA REPARTIR COSTOS INDIRECTOS: HRS MAQ, HORAS PD, UNIDADES</t>
  </si>
  <si>
    <t xml:space="preserve">PARA EL CALCULO DEL COSTO DE IMPORTACION </t>
  </si>
  <si>
    <t>UTILIZAMOS REPARTO PROPORCIONAL</t>
  </si>
  <si>
    <t>EL CRITERIO DE REPARTO DEBE SER UNA MAGNITUD DIRECTAMENTE PROPORCIONAL</t>
  </si>
  <si>
    <t>Fob total S/</t>
  </si>
  <si>
    <t># paquetes</t>
  </si>
  <si>
    <t>M3</t>
  </si>
  <si>
    <t>MATRIZ DE CALCULO DE COSTOS - REPARTO PROPORCIONAL</t>
  </si>
  <si>
    <t>COSTO PD = COSTO HRE *  CANTIDA HE</t>
  </si>
  <si>
    <t>COSTO HRE = VALOR TOTAL MES / HR MES</t>
  </si>
  <si>
    <t>VALOR TOTAL = REMUNE + CARGAS + BENEFICIOS</t>
  </si>
  <si>
    <t>ES LO QUE LE CUESTA A LA EMPRESA MANTENER UN</t>
  </si>
  <si>
    <t>TRABAJADOR</t>
  </si>
  <si>
    <t>Tasa Hora E S/</t>
  </si>
  <si>
    <t>PROCESO 1</t>
  </si>
  <si>
    <t>GA</t>
  </si>
  <si>
    <t>GV</t>
  </si>
  <si>
    <t>CI</t>
  </si>
  <si>
    <t>CALCULO DEL COSTO INDIRECTO A LOS CC APOYO A LOS PRODUCTIVOS</t>
  </si>
  <si>
    <t>PROCESO 2</t>
  </si>
  <si>
    <t>MATRIZ DE CONFIGURACION Y VALORES DE CRITERIO DE REPARTO  -  CC APOYO</t>
  </si>
  <si>
    <t>Directo</t>
  </si>
  <si>
    <t>Hrs planeamiento</t>
  </si>
  <si>
    <t>Horas supervision</t>
  </si>
  <si>
    <t># correos</t>
  </si>
  <si>
    <t># llamadas</t>
  </si>
  <si>
    <t>CALCULO DEL COSTO INDIRECTO A LOS CC PRODUCTIVOS A LOS OC</t>
  </si>
  <si>
    <t>PROCESO 3</t>
  </si>
  <si>
    <t>CENTRO DE COSTO PRODUCTIVO CCP1</t>
  </si>
  <si>
    <t>OC 01</t>
  </si>
  <si>
    <t>OC 02</t>
  </si>
  <si>
    <t>MATRIZ DE CONFIGURACION Y VALORES DE CRITERIO DE REPARTO  -  CCP01</t>
  </si>
  <si>
    <t>HRS MAQ</t>
  </si>
  <si>
    <t># horas supervision</t>
  </si>
  <si>
    <t># reportes</t>
  </si>
  <si>
    <t>INVENTARIOS:</t>
  </si>
  <si>
    <t>MATERIA PRIMA (MATERIALES DIRECTOS)</t>
  </si>
  <si>
    <t>MERCADERIAS (LO QUE SE COMPRA PARA VENDER)</t>
  </si>
  <si>
    <t>PRODUCTOS TERMINADOS (LO QUE SE PRODUCE PARA LA VENTA)</t>
  </si>
  <si>
    <t>PRODUCCION EN PROCESO (LO QUE SE ENCUENTRA EN PROCESO DE PRODUCCIÓN)</t>
  </si>
  <si>
    <t>SUMINISTROS (MATERIAL DIRECTO O UN MATERIAL INDIRECTO)</t>
  </si>
  <si>
    <t>EN UN PERIODO DE COSTOS POR EJEMPLO UN MES:</t>
  </si>
  <si>
    <t>Cto unit</t>
  </si>
  <si>
    <t>Cto total</t>
  </si>
  <si>
    <t>A</t>
  </si>
  <si>
    <t>Despacho</t>
  </si>
  <si>
    <t>Cant</t>
  </si>
  <si>
    <t>Saldo final</t>
  </si>
  <si>
    <t>METODOS DE VALORIZACION DE INVENTARIOS:</t>
  </si>
  <si>
    <t>METODO PROMEDIO (metodo más recomendable para valorizar inventarios en la contabilidad)</t>
  </si>
  <si>
    <t>METODO UEPS (ULTIMO EN ENTRAR Y PRIMESO SALIR) LIFO No es aceptado tributariamiente</t>
  </si>
  <si>
    <t>METODO PEPS (PRIMERO EN ENTRAR Y PRIMERO EN SALIR) FIFO No conviene porque da menos costo y generar mayor rentabilidad y por lo tanto más impuesto a la renta a pagar</t>
  </si>
  <si>
    <t>Solo cuando se realiza una compra el cotos unitario</t>
  </si>
  <si>
    <t>promedio cambia.</t>
  </si>
  <si>
    <t>OT</t>
  </si>
  <si>
    <t>OT 1452</t>
  </si>
  <si>
    <t>OT 1455</t>
  </si>
  <si>
    <t>PARA USO DE LA CONTABILIDAD DE COSTOS</t>
  </si>
  <si>
    <t>RESUMEN DE ACUMULACION DE COSTOS</t>
  </si>
  <si>
    <t>OT 1454</t>
  </si>
  <si>
    <t>OT 1453</t>
  </si>
  <si>
    <t>CONCILIACIÓN:</t>
  </si>
  <si>
    <t>Salidas</t>
  </si>
  <si>
    <t>El movimiento del kardex esta conciliado</t>
  </si>
  <si>
    <t>LA SALIDA DE UN MATERIAL DIRECTO DEL ALMACEN A LA PRODUCCIÓN SE DEBE INDICAR A QUE OBJETO DE COSTO VA</t>
  </si>
  <si>
    <t>LA SALIDA DE UN MATERIAL INDIRECTO DEL ALMACEN A LA PRODUCCIÓN SE DEBE INDICAR A QUE CENTRO DE COSTO VA</t>
  </si>
  <si>
    <t>SOLUCIÓN:</t>
  </si>
  <si>
    <t>OM 1 S/</t>
  </si>
  <si>
    <t>OM 2 S/</t>
  </si>
  <si>
    <t>OM 3 S/</t>
  </si>
  <si>
    <t>OM 4 S/</t>
  </si>
  <si>
    <t>Total S/</t>
  </si>
  <si>
    <t>Según UMS</t>
  </si>
  <si>
    <t>SOLUCION:</t>
  </si>
  <si>
    <t>Materiales</t>
  </si>
  <si>
    <t>Plancha</t>
  </si>
  <si>
    <t>Platina</t>
  </si>
  <si>
    <t>Esparrago</t>
  </si>
  <si>
    <t>Empaque</t>
  </si>
  <si>
    <t>Arena</t>
  </si>
  <si>
    <t>Pintura</t>
  </si>
  <si>
    <t>UC</t>
  </si>
  <si>
    <t>OT 48-2020</t>
  </si>
  <si>
    <t>OT 50-2020</t>
  </si>
  <si>
    <t>OT 49-2020</t>
  </si>
  <si>
    <t>Unidad</t>
  </si>
  <si>
    <t>Galón</t>
  </si>
  <si>
    <t>OT 48-2020 S/</t>
  </si>
  <si>
    <t>OT 49-2020 S/</t>
  </si>
  <si>
    <t>OT 50-2020 S/</t>
  </si>
  <si>
    <t>Operario</t>
  </si>
  <si>
    <t>JP</t>
  </si>
  <si>
    <t>MA</t>
  </si>
  <si>
    <t>AV</t>
  </si>
  <si>
    <t>JB</t>
  </si>
  <si>
    <t>Tasa HR S/</t>
  </si>
  <si>
    <t>LOS OBJETOS DE COSTOS DE FABRICAN EN LOS CC PRODUCTIVOS</t>
  </si>
  <si>
    <t>SI TENEMOS UN COSTO INDIRECTO A NIVEL EMPRESA (ES UN COSTO Y GASTO COMUN A TODOS LOS CENTROS DE COSTOS)</t>
  </si>
  <si>
    <t>PARA CALCULAR EL COSTO INDIRECTO EN EL OBJETO DE COSTO SE REALIZAN</t>
  </si>
  <si>
    <t>LOS SIGUIENTES PROCESOS DE CALCULO DE COSTOS</t>
  </si>
  <si>
    <t>PROCESO 1: REPARTIR EL COSTO INDIRECTO A TODOS LOS CENTROS DE COSTOS</t>
  </si>
  <si>
    <t>PROCESO 2: REPARTIR LOS COSTOS INDIRECTOS DE LOS CENTROS DE COSTO DE APOYO A LOS CENTROS DE COSTOS PRODUCTIVOS</t>
  </si>
  <si>
    <t>PROCESO 3: REPARTIR LOS COSTOS INDIRECTOS DE LOS CENTROS DE COSTOS PRODUCTIVOS A LOS OBJETOS DE COSTOS</t>
  </si>
  <si>
    <t>PARA CADA PROCESO SE APLICA LA TECNICA DE REPARTO PROPORCIONAL</t>
  </si>
  <si>
    <t>de los centros de costos de producción. Los costos indirectos del centro de costo mantenimiento se</t>
  </si>
  <si>
    <t>METODO DIRECTO:</t>
  </si>
  <si>
    <t>CC Apoyo</t>
  </si>
  <si>
    <t xml:space="preserve">    CC Apoyo</t>
  </si>
  <si>
    <t xml:space="preserve">    CC Productivo</t>
  </si>
  <si>
    <t>REPARTO DE LOS CC APOYO A LOS PRODUCTIVOS</t>
  </si>
  <si>
    <t>Matriz de configuración y valores de criterio de reparto</t>
  </si>
  <si>
    <t>Mantenim</t>
  </si>
  <si>
    <t>Ensamble</t>
  </si>
  <si>
    <t>Hrs PD</t>
  </si>
  <si>
    <t>Matriz de costeo - reparto proporcional</t>
  </si>
  <si>
    <t>CALCULO DE TASAS PREDETERMINADAS</t>
  </si>
  <si>
    <t>CI Propio</t>
  </si>
  <si>
    <t>CI Manten</t>
  </si>
  <si>
    <t>CI Cafeteria</t>
  </si>
  <si>
    <t>Tasa CI / HrPD</t>
  </si>
  <si>
    <t>Base de asignación es lo mismo que criterio de reparto</t>
  </si>
  <si>
    <t>SEGÚN EL METODO DIRECTO:</t>
  </si>
  <si>
    <t>Matriz de configuración y valores de criterio de reparto:</t>
  </si>
  <si>
    <t>Semi Humedos</t>
  </si>
  <si>
    <t>Secos</t>
  </si>
  <si>
    <t>Hrs Maq</t>
  </si>
  <si>
    <t>Fabrica general</t>
  </si>
  <si>
    <t>Personal</t>
  </si>
  <si>
    <t># empleados</t>
  </si>
  <si>
    <t>Matriz de calculo de costos - Reparto proporcional</t>
  </si>
  <si>
    <t>Calculo de la tasa predeterminada de costos indirectos en función de horas maquina</t>
  </si>
  <si>
    <t>CI Mantenim</t>
  </si>
  <si>
    <t>CI Fabr general</t>
  </si>
  <si>
    <t>CI personal</t>
  </si>
  <si>
    <t>Hrs Maquina</t>
  </si>
  <si>
    <t>CI / Hr maquina</t>
  </si>
  <si>
    <t>CALCULO DEL COSTO DE MATERIAL DIRECTO</t>
  </si>
  <si>
    <t>Matriz de consumo</t>
  </si>
  <si>
    <t>Produccion</t>
  </si>
  <si>
    <t>Prod A</t>
  </si>
  <si>
    <t>Prod B</t>
  </si>
  <si>
    <t>Prod A S/</t>
  </si>
  <si>
    <t>Prod B S/</t>
  </si>
  <si>
    <t>X</t>
  </si>
  <si>
    <t>Y</t>
  </si>
  <si>
    <t>Z</t>
  </si>
  <si>
    <t>CMD Unit</t>
  </si>
  <si>
    <t>CALCULO DEL COSTO DE PERSONAL DIRECTO</t>
  </si>
  <si>
    <t>Matriz de consumo horas PD</t>
  </si>
  <si>
    <t>Cto Total PD</t>
  </si>
  <si>
    <t>CC Prod</t>
  </si>
  <si>
    <t>Mecanizado</t>
  </si>
  <si>
    <t>Pintado</t>
  </si>
  <si>
    <t>CALCULO DEL COSTO INDIRECTO</t>
  </si>
  <si>
    <t>REPARTIR LOS COSTOS INDIRECTOS DE LOS CC DE APOYO A LOS CC PRODUCTIVOS</t>
  </si>
  <si>
    <t>PCP</t>
  </si>
  <si>
    <t>Remuneraci</t>
  </si>
  <si>
    <t>Energia</t>
  </si>
  <si>
    <t>Consumo KW</t>
  </si>
  <si>
    <t>Matriz de calculo de costos - Reparto Proporcional</t>
  </si>
  <si>
    <t>Resumen de costos indirectos en los CC Productivos</t>
  </si>
  <si>
    <t>CC Productivo</t>
  </si>
  <si>
    <t>Reparto de costos indirectos de los CC productivos a los Objetos de Costos</t>
  </si>
  <si>
    <t>Hrs maquina</t>
  </si>
  <si>
    <t>Hrs MOD</t>
  </si>
  <si>
    <t>RESUMEN DE COSTOS:</t>
  </si>
  <si>
    <t>Estructura de costos</t>
  </si>
  <si>
    <t>Prod A %</t>
  </si>
  <si>
    <t>Prod B %</t>
  </si>
  <si>
    <t>Total %</t>
  </si>
  <si>
    <t>CPD</t>
  </si>
  <si>
    <t>R1</t>
  </si>
  <si>
    <t>CIF</t>
  </si>
  <si>
    <t>R2</t>
  </si>
  <si>
    <t>Los costos más relevantes son: costo de personal directo y costos indirectos</t>
  </si>
  <si>
    <t>CALCULO DE COSTOS UNITARIOS:</t>
  </si>
  <si>
    <t>para una reducción de costos</t>
  </si>
  <si>
    <t>primero se debe formular proyectos de mejora para el personal directo</t>
  </si>
  <si>
    <t>y segundo proyectos de mejora para los costos indirectos</t>
  </si>
  <si>
    <t>Margen</t>
  </si>
  <si>
    <t>Valor venta</t>
  </si>
  <si>
    <t>Sin IGV</t>
  </si>
  <si>
    <t>Precio venta</t>
  </si>
  <si>
    <t>Con 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</si>
</sst>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.00_ ;[Red]\-#,##0.00\ "/>
    <numFmt numFmtId="165" formatCode="#,##0_ ;[Red]\-#,##0\ "/>
    <numFmt numFmtId="166" formatCode="#,##0.000_ ;[Red]\-#,##0.000\ "/>
    <numFmt numFmtId="167" formatCode="dd/mm/yy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Verdana"/>
      <family val="2"/>
    </font>
    <font>
      <b/>
      <sz val="8"/>
      <color theme="1"/>
      <name val="Arial"/>
      <family val="2"/>
    </font>
    <font>
      <b/>
      <sz val="11"/>
      <color indexed="8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8" fillId="0" borderId="0"/>
    <xf numFmtId="0" fontId="7" fillId="0" borderId="0"/>
  </cellStyleXfs>
  <cellXfs count="138">
    <xf numFmtId="0" fontId="0" fillId="0" borderId="0" xfId="0"/>
    <xf numFmtId="0" fontId="1" fillId="2" borderId="0" xfId="0" applyFont="1" applyFill="1"/>
    <xf numFmtId="0" fontId="0" fillId="2" borderId="0" xfId="0" applyFill="1"/>
    <xf numFmtId="0" fontId="3" fillId="0" borderId="0" xfId="2" applyFont="1"/>
    <xf numFmtId="0" fontId="2" fillId="0" borderId="0" xfId="2"/>
    <xf numFmtId="0" fontId="3" fillId="3" borderId="1" xfId="2" applyFont="1" applyFill="1" applyBorder="1" applyAlignment="1">
      <alignment horizontal="center"/>
    </xf>
    <xf numFmtId="0" fontId="3" fillId="3" borderId="1" xfId="2" applyFont="1" applyFill="1" applyBorder="1" applyAlignment="1">
      <alignment horizontal="center" vertical="center"/>
    </xf>
    <xf numFmtId="164" fontId="2" fillId="0" borderId="1" xfId="2" applyNumberFormat="1" applyBorder="1" applyAlignment="1">
      <alignment horizontal="center" vertical="center"/>
    </xf>
    <xf numFmtId="0" fontId="3" fillId="0" borderId="1" xfId="2" applyFont="1" applyBorder="1"/>
    <xf numFmtId="0" fontId="2" fillId="0" borderId="1" xfId="2" applyBorder="1"/>
    <xf numFmtId="164" fontId="3" fillId="0" borderId="1" xfId="2" applyNumberFormat="1" applyFont="1" applyBorder="1"/>
    <xf numFmtId="164" fontId="3" fillId="0" borderId="1" xfId="2" applyNumberFormat="1" applyFont="1" applyBorder="1" applyAlignment="1">
      <alignment horizontal="center"/>
    </xf>
    <xf numFmtId="0" fontId="2" fillId="0" borderId="0" xfId="2" applyAlignment="1">
      <alignment horizontal="center"/>
    </xf>
    <xf numFmtId="164" fontId="2" fillId="0" borderId="0" xfId="2" applyNumberFormat="1"/>
    <xf numFmtId="164" fontId="3" fillId="0" borderId="0" xfId="2" applyNumberFormat="1" applyFont="1"/>
    <xf numFmtId="0" fontId="3" fillId="3" borderId="1" xfId="2" applyFont="1" applyFill="1" applyBorder="1"/>
    <xf numFmtId="0" fontId="2" fillId="0" borderId="1" xfId="2" applyBorder="1" applyAlignment="1">
      <alignment horizontal="center"/>
    </xf>
    <xf numFmtId="3" fontId="2" fillId="0" borderId="1" xfId="2" applyNumberFormat="1" applyBorder="1" applyAlignment="1">
      <alignment horizontal="center"/>
    </xf>
    <xf numFmtId="164" fontId="2" fillId="0" borderId="1" xfId="2" applyNumberFormat="1" applyBorder="1" applyAlignment="1">
      <alignment horizontal="center"/>
    </xf>
    <xf numFmtId="166" fontId="2" fillId="0" borderId="1" xfId="2" applyNumberFormat="1" applyBorder="1" applyAlignment="1">
      <alignment horizontal="center"/>
    </xf>
    <xf numFmtId="0" fontId="2" fillId="0" borderId="1" xfId="2" applyBorder="1" applyAlignment="1">
      <alignment horizontal="center" vertical="center"/>
    </xf>
    <xf numFmtId="3" fontId="2" fillId="0" borderId="1" xfId="2" applyNumberForma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3" fontId="3" fillId="0" borderId="1" xfId="2" applyNumberFormat="1" applyFont="1" applyBorder="1" applyAlignment="1">
      <alignment horizontal="center" vertical="center"/>
    </xf>
    <xf numFmtId="0" fontId="4" fillId="0" borderId="2" xfId="2" applyFont="1" applyBorder="1" applyAlignment="1">
      <alignment vertical="center" wrapText="1"/>
    </xf>
    <xf numFmtId="0" fontId="4" fillId="0" borderId="1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164" fontId="3" fillId="0" borderId="1" xfId="2" applyNumberFormat="1" applyFont="1" applyBorder="1" applyAlignment="1">
      <alignment horizontal="center" vertical="center"/>
    </xf>
    <xf numFmtId="3" fontId="3" fillId="0" borderId="0" xfId="2" applyNumberFormat="1" applyFont="1"/>
    <xf numFmtId="0" fontId="5" fillId="3" borderId="1" xfId="2" applyFont="1" applyFill="1" applyBorder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/>
    </xf>
    <xf numFmtId="14" fontId="2" fillId="0" borderId="1" xfId="2" applyNumberFormat="1" applyBorder="1" applyAlignment="1">
      <alignment horizontal="center"/>
    </xf>
    <xf numFmtId="0" fontId="2" fillId="0" borderId="0" xfId="2" applyAlignment="1">
      <alignment horizontal="center" vertical="center"/>
    </xf>
    <xf numFmtId="0" fontId="6" fillId="3" borderId="1" xfId="2" applyFont="1" applyFill="1" applyBorder="1" applyAlignment="1">
      <alignment horizontal="center"/>
    </xf>
    <xf numFmtId="4" fontId="2" fillId="0" borderId="1" xfId="2" applyNumberFormat="1" applyBorder="1" applyAlignment="1">
      <alignment horizontal="center" vertical="center"/>
    </xf>
    <xf numFmtId="0" fontId="6" fillId="0" borderId="0" xfId="2" applyFont="1"/>
    <xf numFmtId="0" fontId="6" fillId="3" borderId="1" xfId="2" applyFont="1" applyFill="1" applyBorder="1"/>
    <xf numFmtId="0" fontId="6" fillId="4" borderId="1" xfId="2" applyFont="1" applyFill="1" applyBorder="1"/>
    <xf numFmtId="0" fontId="6" fillId="4" borderId="1" xfId="2" applyFont="1" applyFill="1" applyBorder="1" applyAlignment="1">
      <alignment horizontal="center"/>
    </xf>
    <xf numFmtId="164" fontId="6" fillId="0" borderId="1" xfId="2" applyNumberFormat="1" applyFont="1" applyBorder="1" applyAlignment="1">
      <alignment horizontal="center"/>
    </xf>
    <xf numFmtId="0" fontId="3" fillId="2" borderId="0" xfId="2" applyFont="1" applyFill="1"/>
    <xf numFmtId="0" fontId="2" fillId="2" borderId="0" xfId="2" applyFill="1"/>
    <xf numFmtId="0" fontId="9" fillId="0" borderId="0" xfId="4" applyFont="1"/>
    <xf numFmtId="0" fontId="10" fillId="0" borderId="0" xfId="4" applyFont="1"/>
    <xf numFmtId="0" fontId="9" fillId="3" borderId="1" xfId="4" applyFont="1" applyFill="1" applyBorder="1"/>
    <xf numFmtId="0" fontId="9" fillId="3" borderId="1" xfId="4" applyFont="1" applyFill="1" applyBorder="1" applyAlignment="1">
      <alignment horizontal="center"/>
    </xf>
    <xf numFmtId="0" fontId="10" fillId="0" borderId="1" xfId="4" applyFont="1" applyBorder="1"/>
    <xf numFmtId="3" fontId="10" fillId="0" borderId="1" xfId="4" applyNumberFormat="1" applyFont="1" applyBorder="1" applyAlignment="1">
      <alignment horizontal="center"/>
    </xf>
    <xf numFmtId="0" fontId="9" fillId="0" borderId="1" xfId="4" applyFont="1" applyBorder="1"/>
    <xf numFmtId="3" fontId="9" fillId="0" borderId="1" xfId="4" applyNumberFormat="1" applyFont="1" applyBorder="1" applyAlignment="1">
      <alignment horizontal="center"/>
    </xf>
    <xf numFmtId="0" fontId="10" fillId="0" borderId="1" xfId="4" applyFont="1" applyBorder="1" applyAlignment="1">
      <alignment horizontal="center"/>
    </xf>
    <xf numFmtId="0" fontId="1" fillId="2" borderId="0" xfId="5" applyFont="1" applyFill="1"/>
    <xf numFmtId="0" fontId="7" fillId="2" borderId="0" xfId="5" applyFill="1"/>
    <xf numFmtId="0" fontId="3" fillId="0" borderId="1" xfId="2" applyFont="1" applyBorder="1" applyAlignment="1">
      <alignment horizontal="center"/>
    </xf>
    <xf numFmtId="164" fontId="3" fillId="3" borderId="1" xfId="2" applyNumberFormat="1" applyFont="1" applyFill="1" applyBorder="1" applyAlignment="1">
      <alignment horizontal="center"/>
    </xf>
    <xf numFmtId="164" fontId="2" fillId="3" borderId="1" xfId="2" applyNumberFormat="1" applyFill="1" applyBorder="1" applyAlignment="1">
      <alignment horizontal="center"/>
    </xf>
    <xf numFmtId="164" fontId="2" fillId="3" borderId="1" xfId="2" applyNumberFormat="1" applyFill="1" applyBorder="1"/>
    <xf numFmtId="3" fontId="2" fillId="0" borderId="0" xfId="2" applyNumberFormat="1"/>
    <xf numFmtId="0" fontId="2" fillId="3" borderId="1" xfId="2" applyFill="1" applyBorder="1"/>
    <xf numFmtId="0" fontId="3" fillId="5" borderId="1" xfId="2" applyFont="1" applyFill="1" applyBorder="1"/>
    <xf numFmtId="164" fontId="3" fillId="5" borderId="1" xfId="2" applyNumberFormat="1" applyFont="1" applyFill="1" applyBorder="1" applyAlignment="1">
      <alignment horizontal="center"/>
    </xf>
    <xf numFmtId="17" fontId="2" fillId="0" borderId="0" xfId="2" applyNumberFormat="1"/>
    <xf numFmtId="14" fontId="2" fillId="0" borderId="0" xfId="2" applyNumberFormat="1" applyAlignment="1">
      <alignment horizontal="center"/>
    </xf>
    <xf numFmtId="167" fontId="2" fillId="0" borderId="1" xfId="2" applyNumberFormat="1" applyBorder="1" applyAlignment="1">
      <alignment horizontal="center"/>
    </xf>
    <xf numFmtId="14" fontId="2" fillId="0" borderId="0" xfId="2" applyNumberForma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64" fontId="2" fillId="0" borderId="0" xfId="2" applyNumberFormat="1" applyAlignment="1">
      <alignment horizontal="center"/>
    </xf>
    <xf numFmtId="164" fontId="2" fillId="0" borderId="1" xfId="2" applyNumberFormat="1" applyBorder="1"/>
    <xf numFmtId="165" fontId="2" fillId="0" borderId="1" xfId="2" applyNumberFormat="1" applyBorder="1"/>
    <xf numFmtId="165" fontId="2" fillId="0" borderId="0" xfId="2" applyNumberFormat="1"/>
    <xf numFmtId="164" fontId="2" fillId="3" borderId="1" xfId="2" applyNumberFormat="1" applyFill="1" applyBorder="1" applyAlignment="1">
      <alignment horizontal="center" vertical="center"/>
    </xf>
    <xf numFmtId="0" fontId="0" fillId="2" borderId="0" xfId="5" applyFont="1" applyFill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7" fillId="2" borderId="1" xfId="5" applyFill="1" applyBorder="1"/>
    <xf numFmtId="165" fontId="7" fillId="2" borderId="1" xfId="5" applyNumberFormat="1" applyFill="1" applyBorder="1" applyAlignment="1">
      <alignment horizontal="center"/>
    </xf>
    <xf numFmtId="0" fontId="1" fillId="3" borderId="1" xfId="5" applyFont="1" applyFill="1" applyBorder="1"/>
    <xf numFmtId="0" fontId="1" fillId="3" borderId="1" xfId="5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3" fillId="6" borderId="1" xfId="2" applyFont="1" applyFill="1" applyBorder="1"/>
    <xf numFmtId="164" fontId="3" fillId="6" borderId="1" xfId="2" applyNumberFormat="1" applyFont="1" applyFill="1" applyBorder="1" applyAlignment="1">
      <alignment horizontal="center" vertical="center"/>
    </xf>
    <xf numFmtId="164" fontId="10" fillId="0" borderId="1" xfId="4" applyNumberFormat="1" applyFont="1" applyBorder="1" applyAlignment="1">
      <alignment horizontal="center"/>
    </xf>
    <xf numFmtId="164" fontId="10" fillId="0" borderId="0" xfId="4" applyNumberFormat="1" applyFont="1"/>
    <xf numFmtId="164" fontId="9" fillId="0" borderId="1" xfId="4" applyNumberFormat="1" applyFont="1" applyBorder="1" applyAlignment="1">
      <alignment horizontal="center"/>
    </xf>
    <xf numFmtId="164" fontId="9" fillId="0" borderId="0" xfId="4" applyNumberFormat="1" applyFont="1"/>
    <xf numFmtId="4" fontId="10" fillId="0" borderId="1" xfId="4" applyNumberFormat="1" applyFont="1" applyBorder="1" applyAlignment="1">
      <alignment horizontal="center"/>
    </xf>
    <xf numFmtId="4" fontId="9" fillId="0" borderId="1" xfId="4" applyNumberFormat="1" applyFont="1" applyBorder="1" applyAlignment="1">
      <alignment horizontal="center"/>
    </xf>
    <xf numFmtId="10" fontId="10" fillId="0" borderId="0" xfId="4" applyNumberFormat="1" applyFont="1"/>
    <xf numFmtId="0" fontId="2" fillId="0" borderId="4" xfId="2" applyBorder="1"/>
    <xf numFmtId="0" fontId="2" fillId="0" borderId="5" xfId="2" applyBorder="1"/>
    <xf numFmtId="0" fontId="2" fillId="0" borderId="6" xfId="2" applyBorder="1"/>
    <xf numFmtId="0" fontId="2" fillId="0" borderId="7" xfId="2" applyBorder="1"/>
    <xf numFmtId="0" fontId="2" fillId="0" borderId="8" xfId="2" applyBorder="1"/>
    <xf numFmtId="0" fontId="2" fillId="0" borderId="9" xfId="2" applyBorder="1"/>
    <xf numFmtId="0" fontId="2" fillId="0" borderId="10" xfId="2" applyBorder="1"/>
    <xf numFmtId="0" fontId="2" fillId="0" borderId="11" xfId="2" applyBorder="1"/>
    <xf numFmtId="0" fontId="2" fillId="0" borderId="5" xfId="2" applyBorder="1" applyAlignment="1">
      <alignment horizontal="center"/>
    </xf>
    <xf numFmtId="3" fontId="2" fillId="0" borderId="0" xfId="2" applyNumberFormat="1" applyAlignment="1">
      <alignment horizontal="center"/>
    </xf>
    <xf numFmtId="165" fontId="2" fillId="0" borderId="0" xfId="2" applyNumberFormat="1" applyAlignment="1">
      <alignment horizontal="center"/>
    </xf>
    <xf numFmtId="0" fontId="2" fillId="0" borderId="8" xfId="2" applyBorder="1" applyAlignment="1">
      <alignment horizontal="center"/>
    </xf>
    <xf numFmtId="165" fontId="2" fillId="6" borderId="1" xfId="2" applyNumberFormat="1" applyFill="1" applyBorder="1"/>
    <xf numFmtId="164" fontId="2" fillId="6" borderId="1" xfId="2" applyNumberFormat="1" applyFill="1" applyBorder="1"/>
    <xf numFmtId="164" fontId="3" fillId="6" borderId="1" xfId="2" applyNumberFormat="1" applyFont="1" applyFill="1" applyBorder="1"/>
    <xf numFmtId="165" fontId="2" fillId="6" borderId="0" xfId="2" applyNumberFormat="1" applyFill="1"/>
    <xf numFmtId="164" fontId="2" fillId="6" borderId="0" xfId="2" applyNumberFormat="1" applyFill="1"/>
    <xf numFmtId="165" fontId="2" fillId="6" borderId="0" xfId="2" applyNumberFormat="1" applyFill="1" applyAlignment="1">
      <alignment horizontal="center"/>
    </xf>
    <xf numFmtId="164" fontId="2" fillId="6" borderId="0" xfId="2" applyNumberFormat="1" applyFill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7" fillId="2" borderId="0" xfId="5" applyFill="1" applyAlignment="1">
      <alignment horizontal="center"/>
    </xf>
    <xf numFmtId="3" fontId="7" fillId="2" borderId="0" xfId="5" applyNumberFormat="1" applyFill="1" applyAlignment="1">
      <alignment horizontal="center"/>
    </xf>
    <xf numFmtId="164" fontId="7" fillId="2" borderId="0" xfId="5" applyNumberFormat="1" applyFill="1" applyAlignment="1">
      <alignment horizontal="center"/>
    </xf>
    <xf numFmtId="0" fontId="3" fillId="3" borderId="1" xfId="2" applyFont="1" applyFill="1" applyBorder="1" applyAlignment="1">
      <alignment horizontal="center"/>
    </xf>
    <xf numFmtId="0" fontId="7" fillId="2" borderId="1" xfId="5" applyFill="1" applyBorder="1" applyAlignment="1">
      <alignment horizontal="center" vertical="center" wrapText="1"/>
    </xf>
    <xf numFmtId="0" fontId="3" fillId="3" borderId="2" xfId="2" applyFont="1" applyFill="1" applyBorder="1" applyAlignment="1">
      <alignment horizontal="center"/>
    </xf>
    <xf numFmtId="0" fontId="3" fillId="3" borderId="3" xfId="2" applyFont="1" applyFill="1" applyBorder="1" applyAlignment="1">
      <alignment horizontal="center"/>
    </xf>
    <xf numFmtId="0" fontId="2" fillId="0" borderId="2" xfId="2" applyBorder="1" applyAlignment="1">
      <alignment horizontal="center"/>
    </xf>
    <xf numFmtId="0" fontId="2" fillId="0" borderId="3" xfId="2" applyBorder="1" applyAlignment="1">
      <alignment horizontal="center"/>
    </xf>
    <xf numFmtId="0" fontId="3" fillId="5" borderId="2" xfId="2" applyFont="1" applyFill="1" applyBorder="1" applyAlignment="1">
      <alignment horizontal="center"/>
    </xf>
    <xf numFmtId="0" fontId="3" fillId="5" borderId="3" xfId="2" applyFont="1" applyFill="1" applyBorder="1" applyAlignment="1">
      <alignment horizontal="center"/>
    </xf>
    <xf numFmtId="0" fontId="2" fillId="0" borderId="1" xfId="2" applyBorder="1" applyAlignment="1">
      <alignment horizontal="left"/>
    </xf>
    <xf numFmtId="0" fontId="1" fillId="2" borderId="0" xfId="5" applyFont="1" applyFill="1" applyAlignment="1">
      <alignment horizontal="center"/>
    </xf>
    <xf numFmtId="164" fontId="1" fillId="2" borderId="0" xfId="5" applyNumberFormat="1" applyFont="1" applyFill="1" applyAlignment="1">
      <alignment horizontal="center"/>
    </xf>
    <xf numFmtId="164" fontId="7" fillId="2" borderId="0" xfId="5" applyNumberFormat="1" applyFill="1"/>
    <xf numFmtId="165" fontId="7" fillId="2" borderId="0" xfId="5" applyNumberFormat="1" applyFill="1" applyAlignment="1">
      <alignment horizontal="center"/>
    </xf>
    <xf numFmtId="10" fontId="7" fillId="2" borderId="0" xfId="5" applyNumberFormat="1" applyFill="1" applyAlignment="1">
      <alignment horizontal="center"/>
    </xf>
    <xf numFmtId="10" fontId="7" fillId="6" borderId="0" xfId="5" applyNumberFormat="1" applyFill="1" applyAlignment="1">
      <alignment horizontal="center"/>
    </xf>
    <xf numFmtId="164" fontId="1" fillId="2" borderId="0" xfId="5" applyNumberFormat="1" applyFont="1" applyFill="1"/>
    <xf numFmtId="10" fontId="1" fillId="2" borderId="0" xfId="5" applyNumberFormat="1" applyFont="1" applyFill="1" applyAlignment="1">
      <alignment horizontal="center"/>
    </xf>
    <xf numFmtId="9" fontId="7" fillId="2" borderId="0" xfId="5" applyNumberFormat="1" applyFill="1" applyAlignment="1">
      <alignment horizontal="center"/>
    </xf>
  </cellXfs>
  <cellStyles count="6">
    <cellStyle name="Normal" xfId="0" builtinId="0"/>
    <cellStyle name="Normal 2 3 2" xfId="4" xr:uid="{66809024-2F25-4B56-96F4-328729E58451}"/>
    <cellStyle name="Normal 3" xfId="2" xr:uid="{00000000-0005-0000-0000-000001000000}"/>
    <cellStyle name="Normal 4 2" xfId="1" xr:uid="{00000000-0005-0000-0000-000002000000}"/>
    <cellStyle name="Normal 6" xfId="5" xr:uid="{AA992C85-41A1-470A-9735-D193484F3673}"/>
    <cellStyle name="Porcentaje 2" xfId="3" xr:uid="{40BB5A34-0AEE-4FFD-B97C-792EB84A6CBC}"/>
  </cellStyles>
  <dxfs count="0"/>
  <tableStyles count="1" defaultTableStyle="TableStyleMedium2" defaultPivotStyle="PivotStyleLight16">
    <tableStyle name="Invisible" pivot="0" table="0" count="0" xr9:uid="{491180A9-D326-42DA-8C8C-6B48B361240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90024</xdr:colOff>
      <xdr:row>1</xdr:row>
      <xdr:rowOff>76198</xdr:rowOff>
    </xdr:from>
    <xdr:to>
      <xdr:col>2</xdr:col>
      <xdr:colOff>400050</xdr:colOff>
      <xdr:row>25</xdr:row>
      <xdr:rowOff>101600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488D0D-F584-4B89-A3DD-629865044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4" y="260348"/>
          <a:ext cx="5390026" cy="44450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1</xdr:row>
      <xdr:rowOff>30480</xdr:rowOff>
    </xdr:from>
    <xdr:to>
      <xdr:col>6</xdr:col>
      <xdr:colOff>211455</xdr:colOff>
      <xdr:row>21</xdr:row>
      <xdr:rowOff>19050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3E7D83-CAB1-46C8-92DF-32061934A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213360"/>
          <a:ext cx="6116955" cy="3646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107156</xdr:colOff>
      <xdr:row>1</xdr:row>
      <xdr:rowOff>59532</xdr:rowOff>
    </xdr:from>
    <xdr:to>
      <xdr:col>5</xdr:col>
      <xdr:colOff>706937</xdr:colOff>
      <xdr:row>18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AE284CF-6978-41E7-A23C-2E7448F91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" y="230982"/>
          <a:ext cx="7200606" cy="2931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164123</xdr:colOff>
      <xdr:row>5</xdr:row>
      <xdr:rowOff>17585</xdr:rowOff>
    </xdr:from>
    <xdr:to>
      <xdr:col>21</xdr:col>
      <xdr:colOff>293077</xdr:colOff>
      <xdr:row>12</xdr:row>
      <xdr:rowOff>134816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50E74793-09F1-DC00-AECD-21C1703296FD}"/>
            </a:ext>
          </a:extLst>
        </xdr:cNvPr>
        <xdr:cNvSpPr/>
      </xdr:nvSpPr>
      <xdr:spPr>
        <a:xfrm>
          <a:off x="13786338" y="926123"/>
          <a:ext cx="3270739" cy="138918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18</xdr:col>
      <xdr:colOff>404446</xdr:colOff>
      <xdr:row>5</xdr:row>
      <xdr:rowOff>35170</xdr:rowOff>
    </xdr:from>
    <xdr:to>
      <xdr:col>18</xdr:col>
      <xdr:colOff>410307</xdr:colOff>
      <xdr:row>12</xdr:row>
      <xdr:rowOff>175846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9AD40C1E-11AB-0648-3308-853724578063}"/>
            </a:ext>
          </a:extLst>
        </xdr:cNvPr>
        <xdr:cNvCxnSpPr/>
      </xdr:nvCxnSpPr>
      <xdr:spPr>
        <a:xfrm>
          <a:off x="14812108" y="943708"/>
          <a:ext cx="5861" cy="141263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82062</xdr:colOff>
      <xdr:row>5</xdr:row>
      <xdr:rowOff>11724</xdr:rowOff>
    </xdr:from>
    <xdr:to>
      <xdr:col>20</xdr:col>
      <xdr:colOff>87923</xdr:colOff>
      <xdr:row>12</xdr:row>
      <xdr:rowOff>152400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133C1369-4B78-4C6A-A2A4-2728627F4F67}"/>
            </a:ext>
          </a:extLst>
        </xdr:cNvPr>
        <xdr:cNvCxnSpPr/>
      </xdr:nvCxnSpPr>
      <xdr:spPr>
        <a:xfrm>
          <a:off x="16060616" y="920262"/>
          <a:ext cx="5861" cy="141263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509954</xdr:colOff>
      <xdr:row>3</xdr:row>
      <xdr:rowOff>117231</xdr:rowOff>
    </xdr:from>
    <xdr:ext cx="473719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29679A26-5030-2D3B-08E6-869A795B9138}"/>
            </a:ext>
          </a:extLst>
        </xdr:cNvPr>
        <xdr:cNvSpPr txBox="1"/>
      </xdr:nvSpPr>
      <xdr:spPr>
        <a:xfrm>
          <a:off x="14132169" y="662354"/>
          <a:ext cx="47371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ADM</a:t>
          </a:r>
        </a:p>
      </xdr:txBody>
    </xdr:sp>
    <xdr:clientData/>
  </xdr:oneCellAnchor>
  <xdr:oneCellAnchor>
    <xdr:from>
      <xdr:col>20</xdr:col>
      <xdr:colOff>269630</xdr:colOff>
      <xdr:row>3</xdr:row>
      <xdr:rowOff>111370</xdr:rowOff>
    </xdr:from>
    <xdr:ext cx="871072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9FBBD35-6CCD-4FC4-B223-62DCDEF46564}"/>
            </a:ext>
          </a:extLst>
        </xdr:cNvPr>
        <xdr:cNvSpPr txBox="1"/>
      </xdr:nvSpPr>
      <xdr:spPr>
        <a:xfrm>
          <a:off x="16248184" y="656493"/>
          <a:ext cx="87107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COMERCIAL</a:t>
          </a:r>
        </a:p>
      </xdr:txBody>
    </xdr:sp>
    <xdr:clientData/>
  </xdr:oneCellAnchor>
  <xdr:oneCellAnchor>
    <xdr:from>
      <xdr:col>18</xdr:col>
      <xdr:colOff>627183</xdr:colOff>
      <xdr:row>3</xdr:row>
      <xdr:rowOff>87924</xdr:rowOff>
    </xdr:from>
    <xdr:ext cx="844014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1F9B35-4A58-442D-9BD5-5049F45F035F}"/>
            </a:ext>
          </a:extLst>
        </xdr:cNvPr>
        <xdr:cNvSpPr txBox="1"/>
      </xdr:nvSpPr>
      <xdr:spPr>
        <a:xfrm>
          <a:off x="15034845" y="633047"/>
          <a:ext cx="84401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OPERATIVA</a:t>
          </a:r>
        </a:p>
      </xdr:txBody>
    </xdr:sp>
    <xdr:clientData/>
  </xdr:oneCellAnchor>
  <xdr:twoCellAnchor>
    <xdr:from>
      <xdr:col>18</xdr:col>
      <xdr:colOff>416169</xdr:colOff>
      <xdr:row>8</xdr:row>
      <xdr:rowOff>58615</xdr:rowOff>
    </xdr:from>
    <xdr:to>
      <xdr:col>20</xdr:col>
      <xdr:colOff>76200</xdr:colOff>
      <xdr:row>8</xdr:row>
      <xdr:rowOff>64476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323B7519-7662-4269-8004-8E675C6A8458}"/>
            </a:ext>
          </a:extLst>
        </xdr:cNvPr>
        <xdr:cNvCxnSpPr/>
      </xdr:nvCxnSpPr>
      <xdr:spPr>
        <a:xfrm flipV="1">
          <a:off x="14823831" y="1512277"/>
          <a:ext cx="1230923" cy="5861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404444</xdr:colOff>
      <xdr:row>5</xdr:row>
      <xdr:rowOff>5863</xdr:rowOff>
    </xdr:from>
    <xdr:ext cx="594778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55E927A-741F-48DA-8232-6C8913834A4D}"/>
            </a:ext>
          </a:extLst>
        </xdr:cNvPr>
        <xdr:cNvSpPr txBox="1"/>
      </xdr:nvSpPr>
      <xdr:spPr>
        <a:xfrm>
          <a:off x="14812106" y="914401"/>
          <a:ext cx="59477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APOYO</a:t>
          </a:r>
        </a:p>
      </xdr:txBody>
    </xdr:sp>
    <xdr:clientData/>
  </xdr:oneCellAnchor>
  <xdr:oneCellAnchor>
    <xdr:from>
      <xdr:col>18</xdr:col>
      <xdr:colOff>386860</xdr:colOff>
      <xdr:row>8</xdr:row>
      <xdr:rowOff>64478</xdr:rowOff>
    </xdr:from>
    <xdr:ext cx="946093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DE6C4EC7-292B-4290-ABDC-7A9AC462EE06}"/>
            </a:ext>
          </a:extLst>
        </xdr:cNvPr>
        <xdr:cNvSpPr txBox="1"/>
      </xdr:nvSpPr>
      <xdr:spPr>
        <a:xfrm>
          <a:off x="14794522" y="1518140"/>
          <a:ext cx="9460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PRODUCTIVA</a:t>
          </a:r>
        </a:p>
      </xdr:txBody>
    </xdr:sp>
    <xdr:clientData/>
  </xdr:oneCellAnchor>
  <xdr:oneCellAnchor>
    <xdr:from>
      <xdr:col>17</xdr:col>
      <xdr:colOff>287214</xdr:colOff>
      <xdr:row>7</xdr:row>
      <xdr:rowOff>164124</xdr:rowOff>
    </xdr:from>
    <xdr:ext cx="656013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5BE18576-1E46-44E0-BAA6-8D3A536FAC8E}"/>
            </a:ext>
          </a:extLst>
        </xdr:cNvPr>
        <xdr:cNvSpPr txBox="1"/>
      </xdr:nvSpPr>
      <xdr:spPr>
        <a:xfrm>
          <a:off x="13909429" y="1436078"/>
          <a:ext cx="6560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CC ADM</a:t>
          </a:r>
        </a:p>
      </xdr:txBody>
    </xdr:sp>
    <xdr:clientData/>
  </xdr:oneCellAnchor>
  <xdr:oneCellAnchor>
    <xdr:from>
      <xdr:col>20</xdr:col>
      <xdr:colOff>228598</xdr:colOff>
      <xdr:row>7</xdr:row>
      <xdr:rowOff>87924</xdr:rowOff>
    </xdr:from>
    <xdr:ext cx="822085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971CED52-D00C-4FD9-837C-CB7CCB3F4162}"/>
            </a:ext>
          </a:extLst>
        </xdr:cNvPr>
        <xdr:cNvSpPr txBox="1"/>
      </xdr:nvSpPr>
      <xdr:spPr>
        <a:xfrm>
          <a:off x="16207152" y="1359878"/>
          <a:ext cx="82208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CC VENTAS</a:t>
          </a:r>
        </a:p>
      </xdr:txBody>
    </xdr:sp>
    <xdr:clientData/>
  </xdr:oneCellAnchor>
  <xdr:oneCellAnchor>
    <xdr:from>
      <xdr:col>18</xdr:col>
      <xdr:colOff>439614</xdr:colOff>
      <xdr:row>6</xdr:row>
      <xdr:rowOff>87924</xdr:rowOff>
    </xdr:from>
    <xdr:ext cx="777072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23215FAD-6EE9-4727-AD52-3C74AAFD1BC6}"/>
            </a:ext>
          </a:extLst>
        </xdr:cNvPr>
        <xdr:cNvSpPr txBox="1"/>
      </xdr:nvSpPr>
      <xdr:spPr>
        <a:xfrm>
          <a:off x="14847276" y="1178170"/>
          <a:ext cx="77707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CC APOYO</a:t>
          </a:r>
        </a:p>
      </xdr:txBody>
    </xdr:sp>
    <xdr:clientData/>
  </xdr:oneCellAnchor>
  <xdr:oneCellAnchor>
    <xdr:from>
      <xdr:col>18</xdr:col>
      <xdr:colOff>404445</xdr:colOff>
      <xdr:row>9</xdr:row>
      <xdr:rowOff>123093</xdr:rowOff>
    </xdr:from>
    <xdr:ext cx="1140184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57BF1C5B-906B-4AD6-B517-1C724D0500CC}"/>
            </a:ext>
          </a:extLst>
        </xdr:cNvPr>
        <xdr:cNvSpPr txBox="1"/>
      </xdr:nvSpPr>
      <xdr:spPr>
        <a:xfrm>
          <a:off x="14812107" y="1758462"/>
          <a:ext cx="11401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CC PRODUCTIVO</a:t>
          </a:r>
        </a:p>
      </xdr:txBody>
    </xdr:sp>
    <xdr:clientData/>
  </xdr:oneCellAnchor>
  <xdr:twoCellAnchor>
    <xdr:from>
      <xdr:col>8</xdr:col>
      <xdr:colOff>152400</xdr:colOff>
      <xdr:row>4</xdr:row>
      <xdr:rowOff>105507</xdr:rowOff>
    </xdr:from>
    <xdr:to>
      <xdr:col>9</xdr:col>
      <xdr:colOff>158262</xdr:colOff>
      <xdr:row>6</xdr:row>
      <xdr:rowOff>117231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66B59EA-94A7-1A2B-115E-18CE4BC600AB}"/>
            </a:ext>
          </a:extLst>
        </xdr:cNvPr>
        <xdr:cNvSpPr/>
      </xdr:nvSpPr>
      <xdr:spPr>
        <a:xfrm>
          <a:off x="6705600" y="832338"/>
          <a:ext cx="791308" cy="37513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CC MANT</a:t>
          </a:r>
        </a:p>
      </xdr:txBody>
    </xdr:sp>
    <xdr:clientData/>
  </xdr:twoCellAnchor>
  <xdr:twoCellAnchor>
    <xdr:from>
      <xdr:col>8</xdr:col>
      <xdr:colOff>169985</xdr:colOff>
      <xdr:row>7</xdr:row>
      <xdr:rowOff>158261</xdr:rowOff>
    </xdr:from>
    <xdr:to>
      <xdr:col>9</xdr:col>
      <xdr:colOff>175847</xdr:colOff>
      <xdr:row>9</xdr:row>
      <xdr:rowOff>169985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610A9052-AF4B-41BC-9694-D43847F9742A}"/>
            </a:ext>
          </a:extLst>
        </xdr:cNvPr>
        <xdr:cNvSpPr/>
      </xdr:nvSpPr>
      <xdr:spPr>
        <a:xfrm>
          <a:off x="6723185" y="1430215"/>
          <a:ext cx="791308" cy="37513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CC CAFET</a:t>
          </a:r>
        </a:p>
      </xdr:txBody>
    </xdr:sp>
    <xdr:clientData/>
  </xdr:twoCellAnchor>
  <xdr:twoCellAnchor>
    <xdr:from>
      <xdr:col>10</xdr:col>
      <xdr:colOff>193432</xdr:colOff>
      <xdr:row>4</xdr:row>
      <xdr:rowOff>82061</xdr:rowOff>
    </xdr:from>
    <xdr:to>
      <xdr:col>11</xdr:col>
      <xdr:colOff>199294</xdr:colOff>
      <xdr:row>6</xdr:row>
      <xdr:rowOff>93785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DF46B69A-99D7-4C1B-865A-ED903A48A95E}"/>
            </a:ext>
          </a:extLst>
        </xdr:cNvPr>
        <xdr:cNvSpPr/>
      </xdr:nvSpPr>
      <xdr:spPr>
        <a:xfrm>
          <a:off x="8317524" y="808892"/>
          <a:ext cx="791308" cy="37513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CC MAQUI</a:t>
          </a:r>
        </a:p>
      </xdr:txBody>
    </xdr:sp>
    <xdr:clientData/>
  </xdr:twoCellAnchor>
  <xdr:twoCellAnchor>
    <xdr:from>
      <xdr:col>10</xdr:col>
      <xdr:colOff>211017</xdr:colOff>
      <xdr:row>7</xdr:row>
      <xdr:rowOff>134815</xdr:rowOff>
    </xdr:from>
    <xdr:to>
      <xdr:col>11</xdr:col>
      <xdr:colOff>216879</xdr:colOff>
      <xdr:row>9</xdr:row>
      <xdr:rowOff>146539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DECECC02-965C-4D6F-B8C4-F9A52C325265}"/>
            </a:ext>
          </a:extLst>
        </xdr:cNvPr>
        <xdr:cNvSpPr/>
      </xdr:nvSpPr>
      <xdr:spPr>
        <a:xfrm>
          <a:off x="8335109" y="1406769"/>
          <a:ext cx="791308" cy="37513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CC ENSAM</a:t>
          </a:r>
        </a:p>
      </xdr:txBody>
    </xdr:sp>
    <xdr:clientData/>
  </xdr:twoCellAnchor>
  <xdr:twoCellAnchor>
    <xdr:from>
      <xdr:col>9</xdr:col>
      <xdr:colOff>158262</xdr:colOff>
      <xdr:row>5</xdr:row>
      <xdr:rowOff>87924</xdr:rowOff>
    </xdr:from>
    <xdr:to>
      <xdr:col>10</xdr:col>
      <xdr:colOff>193432</xdr:colOff>
      <xdr:row>5</xdr:row>
      <xdr:rowOff>111370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3E3915D8-CA47-F1FE-4ACA-3B435E73D4C6}"/>
            </a:ext>
          </a:extLst>
        </xdr:cNvPr>
        <xdr:cNvCxnSpPr>
          <a:stCxn id="19" idx="3"/>
          <a:endCxn id="22" idx="1"/>
        </xdr:cNvCxnSpPr>
      </xdr:nvCxnSpPr>
      <xdr:spPr>
        <a:xfrm flipV="1">
          <a:off x="7496908" y="996462"/>
          <a:ext cx="820616" cy="2344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158262</xdr:colOff>
      <xdr:row>5</xdr:row>
      <xdr:rowOff>111370</xdr:rowOff>
    </xdr:from>
    <xdr:to>
      <xdr:col>10</xdr:col>
      <xdr:colOff>211017</xdr:colOff>
      <xdr:row>8</xdr:row>
      <xdr:rowOff>140677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2EB1E21E-07C3-E3AE-611B-1DF2D854C06E}"/>
            </a:ext>
          </a:extLst>
        </xdr:cNvPr>
        <xdr:cNvCxnSpPr>
          <a:stCxn id="19" idx="3"/>
          <a:endCxn id="23" idx="1"/>
        </xdr:cNvCxnSpPr>
      </xdr:nvCxnSpPr>
      <xdr:spPr>
        <a:xfrm>
          <a:off x="7496908" y="1019908"/>
          <a:ext cx="838201" cy="5744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175847</xdr:colOff>
      <xdr:row>5</xdr:row>
      <xdr:rowOff>87924</xdr:rowOff>
    </xdr:from>
    <xdr:to>
      <xdr:col>10</xdr:col>
      <xdr:colOff>193432</xdr:colOff>
      <xdr:row>8</xdr:row>
      <xdr:rowOff>164123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A52AEE05-8FD9-2D91-1628-79E3DA103470}"/>
            </a:ext>
          </a:extLst>
        </xdr:cNvPr>
        <xdr:cNvCxnSpPr>
          <a:stCxn id="21" idx="3"/>
          <a:endCxn id="22" idx="1"/>
        </xdr:cNvCxnSpPr>
      </xdr:nvCxnSpPr>
      <xdr:spPr>
        <a:xfrm flipV="1">
          <a:off x="7514493" y="996462"/>
          <a:ext cx="803031" cy="6213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175847</xdr:colOff>
      <xdr:row>8</xdr:row>
      <xdr:rowOff>140676</xdr:rowOff>
    </xdr:from>
    <xdr:to>
      <xdr:col>10</xdr:col>
      <xdr:colOff>351693</xdr:colOff>
      <xdr:row>8</xdr:row>
      <xdr:rowOff>164123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2243A064-6120-6A5A-4AA5-0904F41D5F6F}"/>
            </a:ext>
          </a:extLst>
        </xdr:cNvPr>
        <xdr:cNvCxnSpPr>
          <a:stCxn id="21" idx="3"/>
        </xdr:cNvCxnSpPr>
      </xdr:nvCxnSpPr>
      <xdr:spPr>
        <a:xfrm flipV="1">
          <a:off x="7514493" y="1594338"/>
          <a:ext cx="961292" cy="234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161925</xdr:colOff>
      <xdr:row>23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5AB6A8B-048E-495C-8567-358960597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62960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304800</xdr:colOff>
      <xdr:row>44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20F8259-80E5-40BB-9175-714CB8BAE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6296025" cy="832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904875</xdr:colOff>
      <xdr:row>45</xdr:row>
      <xdr:rowOff>0</xdr:rowOff>
    </xdr:from>
    <xdr:ext cx="504690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25678CE-0BB0-4D1C-BA78-1238D1F2D854}"/>
            </a:ext>
          </a:extLst>
        </xdr:cNvPr>
        <xdr:cNvSpPr txBox="1"/>
      </xdr:nvSpPr>
      <xdr:spPr>
        <a:xfrm>
          <a:off x="904875" y="8572500"/>
          <a:ext cx="5046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>
              <a:solidFill>
                <a:schemeClr val="bg1"/>
              </a:solidFill>
            </a:rPr>
            <a:t>CC EE</a:t>
          </a:r>
        </a:p>
      </xdr:txBody>
    </xdr:sp>
    <xdr:clientData/>
  </xdr:oneCellAnchor>
  <xdr:oneCellAnchor>
    <xdr:from>
      <xdr:col>1</xdr:col>
      <xdr:colOff>542925</xdr:colOff>
      <xdr:row>45</xdr:row>
      <xdr:rowOff>0</xdr:rowOff>
    </xdr:from>
    <xdr:ext cx="556434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AEBC8E4D-3C83-40A1-85BB-C9F543E77BE3}"/>
            </a:ext>
          </a:extLst>
        </xdr:cNvPr>
        <xdr:cNvSpPr txBox="1"/>
      </xdr:nvSpPr>
      <xdr:spPr>
        <a:xfrm>
          <a:off x="2343150" y="8572500"/>
          <a:ext cx="5564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>
              <a:solidFill>
                <a:schemeClr val="bg1"/>
              </a:solidFill>
            </a:rPr>
            <a:t>CC ME</a:t>
          </a:r>
        </a:p>
      </xdr:txBody>
    </xdr:sp>
    <xdr:clientData/>
  </xdr:oneCellAnchor>
  <xdr:oneCellAnchor>
    <xdr:from>
      <xdr:col>1</xdr:col>
      <xdr:colOff>552450</xdr:colOff>
      <xdr:row>45</xdr:row>
      <xdr:rowOff>0</xdr:rowOff>
    </xdr:from>
    <xdr:ext cx="526876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D833B9E-77B6-41C4-8C5D-82BCC9B5CA0E}"/>
            </a:ext>
          </a:extLst>
        </xdr:cNvPr>
        <xdr:cNvSpPr txBox="1"/>
      </xdr:nvSpPr>
      <xdr:spPr>
        <a:xfrm>
          <a:off x="2352675" y="8572500"/>
          <a:ext cx="52687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>
              <a:solidFill>
                <a:schemeClr val="bg1"/>
              </a:solidFill>
            </a:rPr>
            <a:t>CC EN</a:t>
          </a:r>
        </a:p>
      </xdr:txBody>
    </xdr:sp>
    <xdr:clientData/>
  </xdr:oneCellAnchor>
  <xdr:oneCellAnchor>
    <xdr:from>
      <xdr:col>1</xdr:col>
      <xdr:colOff>542925</xdr:colOff>
      <xdr:row>45</xdr:row>
      <xdr:rowOff>0</xdr:rowOff>
    </xdr:from>
    <xdr:ext cx="475387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1484D02E-6516-49F8-82FC-ABA25D9C2056}"/>
            </a:ext>
          </a:extLst>
        </xdr:cNvPr>
        <xdr:cNvSpPr txBox="1"/>
      </xdr:nvSpPr>
      <xdr:spPr>
        <a:xfrm>
          <a:off x="2343150" y="8572500"/>
          <a:ext cx="47538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>
              <a:solidFill>
                <a:schemeClr val="bg1"/>
              </a:solidFill>
            </a:rPr>
            <a:t>CC PI</a:t>
          </a:r>
        </a:p>
      </xdr:txBody>
    </xdr:sp>
    <xdr:clientData/>
  </xdr:oneCellAnchor>
  <xdr:oneCellAnchor>
    <xdr:from>
      <xdr:col>3</xdr:col>
      <xdr:colOff>485775</xdr:colOff>
      <xdr:row>45</xdr:row>
      <xdr:rowOff>0</xdr:rowOff>
    </xdr:from>
    <xdr:ext cx="484172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5CD7A517-63F9-42DD-AAAE-24CC1492D9A7}"/>
            </a:ext>
          </a:extLst>
        </xdr:cNvPr>
        <xdr:cNvSpPr txBox="1"/>
      </xdr:nvSpPr>
      <xdr:spPr>
        <a:xfrm>
          <a:off x="3962400" y="8572500"/>
          <a:ext cx="48417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>
              <a:solidFill>
                <a:schemeClr val="bg1"/>
              </a:solidFill>
            </a:rPr>
            <a:t>P "A"</a:t>
          </a:r>
        </a:p>
      </xdr:txBody>
    </xdr:sp>
    <xdr:clientData/>
  </xdr:oneCellAnchor>
  <xdr:oneCellAnchor>
    <xdr:from>
      <xdr:col>3</xdr:col>
      <xdr:colOff>466725</xdr:colOff>
      <xdr:row>45</xdr:row>
      <xdr:rowOff>0</xdr:rowOff>
    </xdr:from>
    <xdr:ext cx="484172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C6153DD4-BE29-4847-BA31-CAC871FF7F59}"/>
            </a:ext>
          </a:extLst>
        </xdr:cNvPr>
        <xdr:cNvSpPr txBox="1"/>
      </xdr:nvSpPr>
      <xdr:spPr>
        <a:xfrm>
          <a:off x="3943350" y="8572500"/>
          <a:ext cx="48417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>
              <a:solidFill>
                <a:schemeClr val="bg1"/>
              </a:solidFill>
            </a:rPr>
            <a:t>P "B"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533400</xdr:colOff>
      <xdr:row>28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463CE87-20FD-4F02-9EFD-7F52B86CC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6296025" cy="516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466725</xdr:colOff>
      <xdr:row>40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A5B0E14-C87B-407E-9BD5-9C8F20E81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6324600" cy="7524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F7E95-9745-49EA-88DD-E22BF5390EF5}">
  <dimension ref="A1:C24"/>
  <sheetViews>
    <sheetView zoomScale="120" zoomScaleNormal="120" workbookViewId="0">
      <selection activeCell="G26" sqref="G26"/>
    </sheetView>
  </sheetViews>
  <sheetFormatPr baseColWidth="10" defaultRowHeight="14.4" x14ac:dyDescent="0.3"/>
  <cols>
    <col min="3" max="3" width="13.33203125" customWidth="1"/>
  </cols>
  <sheetData>
    <row r="1" spans="1:3" x14ac:dyDescent="0.3">
      <c r="A1" t="s">
        <v>255</v>
      </c>
    </row>
    <row r="2" spans="1:3" x14ac:dyDescent="0.3">
      <c r="A2" t="s">
        <v>257</v>
      </c>
    </row>
    <row r="3" spans="1:3" x14ac:dyDescent="0.3">
      <c r="A3" t="s">
        <v>256</v>
      </c>
    </row>
    <row r="4" spans="1:3" x14ac:dyDescent="0.3">
      <c r="C4" t="s">
        <v>260</v>
      </c>
    </row>
    <row r="6" spans="1:3" x14ac:dyDescent="0.3">
      <c r="A6" t="s">
        <v>258</v>
      </c>
      <c r="C6" t="s">
        <v>261</v>
      </c>
    </row>
    <row r="7" spans="1:3" x14ac:dyDescent="0.3">
      <c r="A7" s="81">
        <v>1250</v>
      </c>
      <c r="B7" t="s">
        <v>259</v>
      </c>
    </row>
    <row r="8" spans="1:3" x14ac:dyDescent="0.3">
      <c r="A8" s="83">
        <f>A7/1.18</f>
        <v>1059.3220338983051</v>
      </c>
      <c r="C8" t="s">
        <v>262</v>
      </c>
    </row>
    <row r="9" spans="1:3" x14ac:dyDescent="0.3">
      <c r="A9" s="82"/>
    </row>
    <row r="10" spans="1:3" x14ac:dyDescent="0.3">
      <c r="C10" t="s">
        <v>263</v>
      </c>
    </row>
    <row r="12" spans="1:3" x14ac:dyDescent="0.3">
      <c r="C12" t="s">
        <v>264</v>
      </c>
    </row>
    <row r="16" spans="1:3" x14ac:dyDescent="0.3">
      <c r="A16" t="s">
        <v>265</v>
      </c>
    </row>
    <row r="17" spans="1:1" x14ac:dyDescent="0.3">
      <c r="A17" t="s">
        <v>266</v>
      </c>
    </row>
    <row r="18" spans="1:1" x14ac:dyDescent="0.3">
      <c r="A18" t="s">
        <v>267</v>
      </c>
    </row>
    <row r="19" spans="1:1" x14ac:dyDescent="0.3">
      <c r="A19" t="s">
        <v>268</v>
      </c>
    </row>
    <row r="21" spans="1:1" x14ac:dyDescent="0.3">
      <c r="A21" t="s">
        <v>269</v>
      </c>
    </row>
    <row r="22" spans="1:1" x14ac:dyDescent="0.3">
      <c r="A22" t="s">
        <v>270</v>
      </c>
    </row>
    <row r="24" spans="1:1" x14ac:dyDescent="0.3">
      <c r="A24" t="s">
        <v>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B3F85-1A47-4EB9-BD79-97F9F28BF760}">
  <dimension ref="A1:L36"/>
  <sheetViews>
    <sheetView zoomScale="110" zoomScaleNormal="110" workbookViewId="0">
      <selection activeCell="C32" sqref="C32"/>
    </sheetView>
  </sheetViews>
  <sheetFormatPr baseColWidth="10" defaultRowHeight="13.8" x14ac:dyDescent="0.25"/>
  <cols>
    <col min="1" max="1" width="22.109375" style="4" customWidth="1"/>
    <col min="2" max="2" width="19.109375" style="4" customWidth="1"/>
    <col min="3" max="3" width="22.6640625" style="4" bestFit="1" customWidth="1"/>
    <col min="4" max="4" width="15.33203125" style="4" customWidth="1"/>
    <col min="5" max="5" width="15.44140625" style="4" customWidth="1"/>
    <col min="6" max="6" width="11.6640625" style="4" customWidth="1"/>
    <col min="7" max="7" width="15.109375" style="4" customWidth="1"/>
    <col min="8" max="8" width="11" style="4" customWidth="1"/>
    <col min="9" max="9" width="15.109375" style="4" customWidth="1"/>
    <col min="10" max="10" width="14.33203125" style="4" bestFit="1" customWidth="1"/>
    <col min="11" max="11" width="12.5546875" style="4" customWidth="1"/>
    <col min="12" max="12" width="12.109375" style="4" bestFit="1" customWidth="1"/>
    <col min="13" max="256" width="11.44140625" style="4"/>
    <col min="257" max="257" width="22.109375" style="4" customWidth="1"/>
    <col min="258" max="258" width="19.109375" style="4" customWidth="1"/>
    <col min="259" max="259" width="22.6640625" style="4" bestFit="1" customWidth="1"/>
    <col min="260" max="260" width="15.33203125" style="4" customWidth="1"/>
    <col min="261" max="261" width="15.44140625" style="4" customWidth="1"/>
    <col min="262" max="262" width="11.6640625" style="4" customWidth="1"/>
    <col min="263" max="263" width="13.33203125" style="4" bestFit="1" customWidth="1"/>
    <col min="264" max="264" width="11" style="4" customWidth="1"/>
    <col min="265" max="265" width="13" style="4" bestFit="1" customWidth="1"/>
    <col min="266" max="266" width="14.33203125" style="4" bestFit="1" customWidth="1"/>
    <col min="267" max="512" width="11.44140625" style="4"/>
    <col min="513" max="513" width="22.109375" style="4" customWidth="1"/>
    <col min="514" max="514" width="19.109375" style="4" customWidth="1"/>
    <col min="515" max="515" width="22.6640625" style="4" bestFit="1" customWidth="1"/>
    <col min="516" max="516" width="15.33203125" style="4" customWidth="1"/>
    <col min="517" max="517" width="15.44140625" style="4" customWidth="1"/>
    <col min="518" max="518" width="11.6640625" style="4" customWidth="1"/>
    <col min="519" max="519" width="13.33203125" style="4" bestFit="1" customWidth="1"/>
    <col min="520" max="520" width="11" style="4" customWidth="1"/>
    <col min="521" max="521" width="13" style="4" bestFit="1" customWidth="1"/>
    <col min="522" max="522" width="14.33203125" style="4" bestFit="1" customWidth="1"/>
    <col min="523" max="768" width="11.44140625" style="4"/>
    <col min="769" max="769" width="22.109375" style="4" customWidth="1"/>
    <col min="770" max="770" width="19.109375" style="4" customWidth="1"/>
    <col min="771" max="771" width="22.6640625" style="4" bestFit="1" customWidth="1"/>
    <col min="772" max="772" width="15.33203125" style="4" customWidth="1"/>
    <col min="773" max="773" width="15.44140625" style="4" customWidth="1"/>
    <col min="774" max="774" width="11.6640625" style="4" customWidth="1"/>
    <col min="775" max="775" width="13.33203125" style="4" bestFit="1" customWidth="1"/>
    <col min="776" max="776" width="11" style="4" customWidth="1"/>
    <col min="777" max="777" width="13" style="4" bestFit="1" customWidth="1"/>
    <col min="778" max="778" width="14.33203125" style="4" bestFit="1" customWidth="1"/>
    <col min="779" max="1024" width="11.44140625" style="4"/>
    <col min="1025" max="1025" width="22.109375" style="4" customWidth="1"/>
    <col min="1026" max="1026" width="19.109375" style="4" customWidth="1"/>
    <col min="1027" max="1027" width="22.6640625" style="4" bestFit="1" customWidth="1"/>
    <col min="1028" max="1028" width="15.33203125" style="4" customWidth="1"/>
    <col min="1029" max="1029" width="15.44140625" style="4" customWidth="1"/>
    <col min="1030" max="1030" width="11.6640625" style="4" customWidth="1"/>
    <col min="1031" max="1031" width="13.33203125" style="4" bestFit="1" customWidth="1"/>
    <col min="1032" max="1032" width="11" style="4" customWidth="1"/>
    <col min="1033" max="1033" width="13" style="4" bestFit="1" customWidth="1"/>
    <col min="1034" max="1034" width="14.33203125" style="4" bestFit="1" customWidth="1"/>
    <col min="1035" max="1280" width="11.44140625" style="4"/>
    <col min="1281" max="1281" width="22.109375" style="4" customWidth="1"/>
    <col min="1282" max="1282" width="19.109375" style="4" customWidth="1"/>
    <col min="1283" max="1283" width="22.6640625" style="4" bestFit="1" customWidth="1"/>
    <col min="1284" max="1284" width="15.33203125" style="4" customWidth="1"/>
    <col min="1285" max="1285" width="15.44140625" style="4" customWidth="1"/>
    <col min="1286" max="1286" width="11.6640625" style="4" customWidth="1"/>
    <col min="1287" max="1287" width="13.33203125" style="4" bestFit="1" customWidth="1"/>
    <col min="1288" max="1288" width="11" style="4" customWidth="1"/>
    <col min="1289" max="1289" width="13" style="4" bestFit="1" customWidth="1"/>
    <col min="1290" max="1290" width="14.33203125" style="4" bestFit="1" customWidth="1"/>
    <col min="1291" max="1536" width="11.44140625" style="4"/>
    <col min="1537" max="1537" width="22.109375" style="4" customWidth="1"/>
    <col min="1538" max="1538" width="19.109375" style="4" customWidth="1"/>
    <col min="1539" max="1539" width="22.6640625" style="4" bestFit="1" customWidth="1"/>
    <col min="1540" max="1540" width="15.33203125" style="4" customWidth="1"/>
    <col min="1541" max="1541" width="15.44140625" style="4" customWidth="1"/>
    <col min="1542" max="1542" width="11.6640625" style="4" customWidth="1"/>
    <col min="1543" max="1543" width="13.33203125" style="4" bestFit="1" customWidth="1"/>
    <col min="1544" max="1544" width="11" style="4" customWidth="1"/>
    <col min="1545" max="1545" width="13" style="4" bestFit="1" customWidth="1"/>
    <col min="1546" max="1546" width="14.33203125" style="4" bestFit="1" customWidth="1"/>
    <col min="1547" max="1792" width="11.44140625" style="4"/>
    <col min="1793" max="1793" width="22.109375" style="4" customWidth="1"/>
    <col min="1794" max="1794" width="19.109375" style="4" customWidth="1"/>
    <col min="1795" max="1795" width="22.6640625" style="4" bestFit="1" customWidth="1"/>
    <col min="1796" max="1796" width="15.33203125" style="4" customWidth="1"/>
    <col min="1797" max="1797" width="15.44140625" style="4" customWidth="1"/>
    <col min="1798" max="1798" width="11.6640625" style="4" customWidth="1"/>
    <col min="1799" max="1799" width="13.33203125" style="4" bestFit="1" customWidth="1"/>
    <col min="1800" max="1800" width="11" style="4" customWidth="1"/>
    <col min="1801" max="1801" width="13" style="4" bestFit="1" customWidth="1"/>
    <col min="1802" max="1802" width="14.33203125" style="4" bestFit="1" customWidth="1"/>
    <col min="1803" max="2048" width="11.44140625" style="4"/>
    <col min="2049" max="2049" width="22.109375" style="4" customWidth="1"/>
    <col min="2050" max="2050" width="19.109375" style="4" customWidth="1"/>
    <col min="2051" max="2051" width="22.6640625" style="4" bestFit="1" customWidth="1"/>
    <col min="2052" max="2052" width="15.33203125" style="4" customWidth="1"/>
    <col min="2053" max="2053" width="15.44140625" style="4" customWidth="1"/>
    <col min="2054" max="2054" width="11.6640625" style="4" customWidth="1"/>
    <col min="2055" max="2055" width="13.33203125" style="4" bestFit="1" customWidth="1"/>
    <col min="2056" max="2056" width="11" style="4" customWidth="1"/>
    <col min="2057" max="2057" width="13" style="4" bestFit="1" customWidth="1"/>
    <col min="2058" max="2058" width="14.33203125" style="4" bestFit="1" customWidth="1"/>
    <col min="2059" max="2304" width="11.44140625" style="4"/>
    <col min="2305" max="2305" width="22.109375" style="4" customWidth="1"/>
    <col min="2306" max="2306" width="19.109375" style="4" customWidth="1"/>
    <col min="2307" max="2307" width="22.6640625" style="4" bestFit="1" customWidth="1"/>
    <col min="2308" max="2308" width="15.33203125" style="4" customWidth="1"/>
    <col min="2309" max="2309" width="15.44140625" style="4" customWidth="1"/>
    <col min="2310" max="2310" width="11.6640625" style="4" customWidth="1"/>
    <col min="2311" max="2311" width="13.33203125" style="4" bestFit="1" customWidth="1"/>
    <col min="2312" max="2312" width="11" style="4" customWidth="1"/>
    <col min="2313" max="2313" width="13" style="4" bestFit="1" customWidth="1"/>
    <col min="2314" max="2314" width="14.33203125" style="4" bestFit="1" customWidth="1"/>
    <col min="2315" max="2560" width="11.44140625" style="4"/>
    <col min="2561" max="2561" width="22.109375" style="4" customWidth="1"/>
    <col min="2562" max="2562" width="19.109375" style="4" customWidth="1"/>
    <col min="2563" max="2563" width="22.6640625" style="4" bestFit="1" customWidth="1"/>
    <col min="2564" max="2564" width="15.33203125" style="4" customWidth="1"/>
    <col min="2565" max="2565" width="15.44140625" style="4" customWidth="1"/>
    <col min="2566" max="2566" width="11.6640625" style="4" customWidth="1"/>
    <col min="2567" max="2567" width="13.33203125" style="4" bestFit="1" customWidth="1"/>
    <col min="2568" max="2568" width="11" style="4" customWidth="1"/>
    <col min="2569" max="2569" width="13" style="4" bestFit="1" customWidth="1"/>
    <col min="2570" max="2570" width="14.33203125" style="4" bestFit="1" customWidth="1"/>
    <col min="2571" max="2816" width="11.44140625" style="4"/>
    <col min="2817" max="2817" width="22.109375" style="4" customWidth="1"/>
    <col min="2818" max="2818" width="19.109375" style="4" customWidth="1"/>
    <col min="2819" max="2819" width="22.6640625" style="4" bestFit="1" customWidth="1"/>
    <col min="2820" max="2820" width="15.33203125" style="4" customWidth="1"/>
    <col min="2821" max="2821" width="15.44140625" style="4" customWidth="1"/>
    <col min="2822" max="2822" width="11.6640625" style="4" customWidth="1"/>
    <col min="2823" max="2823" width="13.33203125" style="4" bestFit="1" customWidth="1"/>
    <col min="2824" max="2824" width="11" style="4" customWidth="1"/>
    <col min="2825" max="2825" width="13" style="4" bestFit="1" customWidth="1"/>
    <col min="2826" max="2826" width="14.33203125" style="4" bestFit="1" customWidth="1"/>
    <col min="2827" max="3072" width="11.44140625" style="4"/>
    <col min="3073" max="3073" width="22.109375" style="4" customWidth="1"/>
    <col min="3074" max="3074" width="19.109375" style="4" customWidth="1"/>
    <col min="3075" max="3075" width="22.6640625" style="4" bestFit="1" customWidth="1"/>
    <col min="3076" max="3076" width="15.33203125" style="4" customWidth="1"/>
    <col min="3077" max="3077" width="15.44140625" style="4" customWidth="1"/>
    <col min="3078" max="3078" width="11.6640625" style="4" customWidth="1"/>
    <col min="3079" max="3079" width="13.33203125" style="4" bestFit="1" customWidth="1"/>
    <col min="3080" max="3080" width="11" style="4" customWidth="1"/>
    <col min="3081" max="3081" width="13" style="4" bestFit="1" customWidth="1"/>
    <col min="3082" max="3082" width="14.33203125" style="4" bestFit="1" customWidth="1"/>
    <col min="3083" max="3328" width="11.44140625" style="4"/>
    <col min="3329" max="3329" width="22.109375" style="4" customWidth="1"/>
    <col min="3330" max="3330" width="19.109375" style="4" customWidth="1"/>
    <col min="3331" max="3331" width="22.6640625" style="4" bestFit="1" customWidth="1"/>
    <col min="3332" max="3332" width="15.33203125" style="4" customWidth="1"/>
    <col min="3333" max="3333" width="15.44140625" style="4" customWidth="1"/>
    <col min="3334" max="3334" width="11.6640625" style="4" customWidth="1"/>
    <col min="3335" max="3335" width="13.33203125" style="4" bestFit="1" customWidth="1"/>
    <col min="3336" max="3336" width="11" style="4" customWidth="1"/>
    <col min="3337" max="3337" width="13" style="4" bestFit="1" customWidth="1"/>
    <col min="3338" max="3338" width="14.33203125" style="4" bestFit="1" customWidth="1"/>
    <col min="3339" max="3584" width="11.44140625" style="4"/>
    <col min="3585" max="3585" width="22.109375" style="4" customWidth="1"/>
    <col min="3586" max="3586" width="19.109375" style="4" customWidth="1"/>
    <col min="3587" max="3587" width="22.6640625" style="4" bestFit="1" customWidth="1"/>
    <col min="3588" max="3588" width="15.33203125" style="4" customWidth="1"/>
    <col min="3589" max="3589" width="15.44140625" style="4" customWidth="1"/>
    <col min="3590" max="3590" width="11.6640625" style="4" customWidth="1"/>
    <col min="3591" max="3591" width="13.33203125" style="4" bestFit="1" customWidth="1"/>
    <col min="3592" max="3592" width="11" style="4" customWidth="1"/>
    <col min="3593" max="3593" width="13" style="4" bestFit="1" customWidth="1"/>
    <col min="3594" max="3594" width="14.33203125" style="4" bestFit="1" customWidth="1"/>
    <col min="3595" max="3840" width="11.44140625" style="4"/>
    <col min="3841" max="3841" width="22.109375" style="4" customWidth="1"/>
    <col min="3842" max="3842" width="19.109375" style="4" customWidth="1"/>
    <col min="3843" max="3843" width="22.6640625" style="4" bestFit="1" customWidth="1"/>
    <col min="3844" max="3844" width="15.33203125" style="4" customWidth="1"/>
    <col min="3845" max="3845" width="15.44140625" style="4" customWidth="1"/>
    <col min="3846" max="3846" width="11.6640625" style="4" customWidth="1"/>
    <col min="3847" max="3847" width="13.33203125" style="4" bestFit="1" customWidth="1"/>
    <col min="3848" max="3848" width="11" style="4" customWidth="1"/>
    <col min="3849" max="3849" width="13" style="4" bestFit="1" customWidth="1"/>
    <col min="3850" max="3850" width="14.33203125" style="4" bestFit="1" customWidth="1"/>
    <col min="3851" max="4096" width="11.44140625" style="4"/>
    <col min="4097" max="4097" width="22.109375" style="4" customWidth="1"/>
    <col min="4098" max="4098" width="19.109375" style="4" customWidth="1"/>
    <col min="4099" max="4099" width="22.6640625" style="4" bestFit="1" customWidth="1"/>
    <col min="4100" max="4100" width="15.33203125" style="4" customWidth="1"/>
    <col min="4101" max="4101" width="15.44140625" style="4" customWidth="1"/>
    <col min="4102" max="4102" width="11.6640625" style="4" customWidth="1"/>
    <col min="4103" max="4103" width="13.33203125" style="4" bestFit="1" customWidth="1"/>
    <col min="4104" max="4104" width="11" style="4" customWidth="1"/>
    <col min="4105" max="4105" width="13" style="4" bestFit="1" customWidth="1"/>
    <col min="4106" max="4106" width="14.33203125" style="4" bestFit="1" customWidth="1"/>
    <col min="4107" max="4352" width="11.44140625" style="4"/>
    <col min="4353" max="4353" width="22.109375" style="4" customWidth="1"/>
    <col min="4354" max="4354" width="19.109375" style="4" customWidth="1"/>
    <col min="4355" max="4355" width="22.6640625" style="4" bestFit="1" customWidth="1"/>
    <col min="4356" max="4356" width="15.33203125" style="4" customWidth="1"/>
    <col min="4357" max="4357" width="15.44140625" style="4" customWidth="1"/>
    <col min="4358" max="4358" width="11.6640625" style="4" customWidth="1"/>
    <col min="4359" max="4359" width="13.33203125" style="4" bestFit="1" customWidth="1"/>
    <col min="4360" max="4360" width="11" style="4" customWidth="1"/>
    <col min="4361" max="4361" width="13" style="4" bestFit="1" customWidth="1"/>
    <col min="4362" max="4362" width="14.33203125" style="4" bestFit="1" customWidth="1"/>
    <col min="4363" max="4608" width="11.44140625" style="4"/>
    <col min="4609" max="4609" width="22.109375" style="4" customWidth="1"/>
    <col min="4610" max="4610" width="19.109375" style="4" customWidth="1"/>
    <col min="4611" max="4611" width="22.6640625" style="4" bestFit="1" customWidth="1"/>
    <col min="4612" max="4612" width="15.33203125" style="4" customWidth="1"/>
    <col min="4613" max="4613" width="15.44140625" style="4" customWidth="1"/>
    <col min="4614" max="4614" width="11.6640625" style="4" customWidth="1"/>
    <col min="4615" max="4615" width="13.33203125" style="4" bestFit="1" customWidth="1"/>
    <col min="4616" max="4616" width="11" style="4" customWidth="1"/>
    <col min="4617" max="4617" width="13" style="4" bestFit="1" customWidth="1"/>
    <col min="4618" max="4618" width="14.33203125" style="4" bestFit="1" customWidth="1"/>
    <col min="4619" max="4864" width="11.44140625" style="4"/>
    <col min="4865" max="4865" width="22.109375" style="4" customWidth="1"/>
    <col min="4866" max="4866" width="19.109375" style="4" customWidth="1"/>
    <col min="4867" max="4867" width="22.6640625" style="4" bestFit="1" customWidth="1"/>
    <col min="4868" max="4868" width="15.33203125" style="4" customWidth="1"/>
    <col min="4869" max="4869" width="15.44140625" style="4" customWidth="1"/>
    <col min="4870" max="4870" width="11.6640625" style="4" customWidth="1"/>
    <col min="4871" max="4871" width="13.33203125" style="4" bestFit="1" customWidth="1"/>
    <col min="4872" max="4872" width="11" style="4" customWidth="1"/>
    <col min="4873" max="4873" width="13" style="4" bestFit="1" customWidth="1"/>
    <col min="4874" max="4874" width="14.33203125" style="4" bestFit="1" customWidth="1"/>
    <col min="4875" max="5120" width="11.44140625" style="4"/>
    <col min="5121" max="5121" width="22.109375" style="4" customWidth="1"/>
    <col min="5122" max="5122" width="19.109375" style="4" customWidth="1"/>
    <col min="5123" max="5123" width="22.6640625" style="4" bestFit="1" customWidth="1"/>
    <col min="5124" max="5124" width="15.33203125" style="4" customWidth="1"/>
    <col min="5125" max="5125" width="15.44140625" style="4" customWidth="1"/>
    <col min="5126" max="5126" width="11.6640625" style="4" customWidth="1"/>
    <col min="5127" max="5127" width="13.33203125" style="4" bestFit="1" customWidth="1"/>
    <col min="5128" max="5128" width="11" style="4" customWidth="1"/>
    <col min="5129" max="5129" width="13" style="4" bestFit="1" customWidth="1"/>
    <col min="5130" max="5130" width="14.33203125" style="4" bestFit="1" customWidth="1"/>
    <col min="5131" max="5376" width="11.44140625" style="4"/>
    <col min="5377" max="5377" width="22.109375" style="4" customWidth="1"/>
    <col min="5378" max="5378" width="19.109375" style="4" customWidth="1"/>
    <col min="5379" max="5379" width="22.6640625" style="4" bestFit="1" customWidth="1"/>
    <col min="5380" max="5380" width="15.33203125" style="4" customWidth="1"/>
    <col min="5381" max="5381" width="15.44140625" style="4" customWidth="1"/>
    <col min="5382" max="5382" width="11.6640625" style="4" customWidth="1"/>
    <col min="5383" max="5383" width="13.33203125" style="4" bestFit="1" customWidth="1"/>
    <col min="5384" max="5384" width="11" style="4" customWidth="1"/>
    <col min="5385" max="5385" width="13" style="4" bestFit="1" customWidth="1"/>
    <col min="5386" max="5386" width="14.33203125" style="4" bestFit="1" customWidth="1"/>
    <col min="5387" max="5632" width="11.44140625" style="4"/>
    <col min="5633" max="5633" width="22.109375" style="4" customWidth="1"/>
    <col min="5634" max="5634" width="19.109375" style="4" customWidth="1"/>
    <col min="5635" max="5635" width="22.6640625" style="4" bestFit="1" customWidth="1"/>
    <col min="5636" max="5636" width="15.33203125" style="4" customWidth="1"/>
    <col min="5637" max="5637" width="15.44140625" style="4" customWidth="1"/>
    <col min="5638" max="5638" width="11.6640625" style="4" customWidth="1"/>
    <col min="5639" max="5639" width="13.33203125" style="4" bestFit="1" customWidth="1"/>
    <col min="5640" max="5640" width="11" style="4" customWidth="1"/>
    <col min="5641" max="5641" width="13" style="4" bestFit="1" customWidth="1"/>
    <col min="5642" max="5642" width="14.33203125" style="4" bestFit="1" customWidth="1"/>
    <col min="5643" max="5888" width="11.44140625" style="4"/>
    <col min="5889" max="5889" width="22.109375" style="4" customWidth="1"/>
    <col min="5890" max="5890" width="19.109375" style="4" customWidth="1"/>
    <col min="5891" max="5891" width="22.6640625" style="4" bestFit="1" customWidth="1"/>
    <col min="5892" max="5892" width="15.33203125" style="4" customWidth="1"/>
    <col min="5893" max="5893" width="15.44140625" style="4" customWidth="1"/>
    <col min="5894" max="5894" width="11.6640625" style="4" customWidth="1"/>
    <col min="5895" max="5895" width="13.33203125" style="4" bestFit="1" customWidth="1"/>
    <col min="5896" max="5896" width="11" style="4" customWidth="1"/>
    <col min="5897" max="5897" width="13" style="4" bestFit="1" customWidth="1"/>
    <col min="5898" max="5898" width="14.33203125" style="4" bestFit="1" customWidth="1"/>
    <col min="5899" max="6144" width="11.44140625" style="4"/>
    <col min="6145" max="6145" width="22.109375" style="4" customWidth="1"/>
    <col min="6146" max="6146" width="19.109375" style="4" customWidth="1"/>
    <col min="6147" max="6147" width="22.6640625" style="4" bestFit="1" customWidth="1"/>
    <col min="6148" max="6148" width="15.33203125" style="4" customWidth="1"/>
    <col min="6149" max="6149" width="15.44140625" style="4" customWidth="1"/>
    <col min="6150" max="6150" width="11.6640625" style="4" customWidth="1"/>
    <col min="6151" max="6151" width="13.33203125" style="4" bestFit="1" customWidth="1"/>
    <col min="6152" max="6152" width="11" style="4" customWidth="1"/>
    <col min="6153" max="6153" width="13" style="4" bestFit="1" customWidth="1"/>
    <col min="6154" max="6154" width="14.33203125" style="4" bestFit="1" customWidth="1"/>
    <col min="6155" max="6400" width="11.44140625" style="4"/>
    <col min="6401" max="6401" width="22.109375" style="4" customWidth="1"/>
    <col min="6402" max="6402" width="19.109375" style="4" customWidth="1"/>
    <col min="6403" max="6403" width="22.6640625" style="4" bestFit="1" customWidth="1"/>
    <col min="6404" max="6404" width="15.33203125" style="4" customWidth="1"/>
    <col min="6405" max="6405" width="15.44140625" style="4" customWidth="1"/>
    <col min="6406" max="6406" width="11.6640625" style="4" customWidth="1"/>
    <col min="6407" max="6407" width="13.33203125" style="4" bestFit="1" customWidth="1"/>
    <col min="6408" max="6408" width="11" style="4" customWidth="1"/>
    <col min="6409" max="6409" width="13" style="4" bestFit="1" customWidth="1"/>
    <col min="6410" max="6410" width="14.33203125" style="4" bestFit="1" customWidth="1"/>
    <col min="6411" max="6656" width="11.44140625" style="4"/>
    <col min="6657" max="6657" width="22.109375" style="4" customWidth="1"/>
    <col min="6658" max="6658" width="19.109375" style="4" customWidth="1"/>
    <col min="6659" max="6659" width="22.6640625" style="4" bestFit="1" customWidth="1"/>
    <col min="6660" max="6660" width="15.33203125" style="4" customWidth="1"/>
    <col min="6661" max="6661" width="15.44140625" style="4" customWidth="1"/>
    <col min="6662" max="6662" width="11.6640625" style="4" customWidth="1"/>
    <col min="6663" max="6663" width="13.33203125" style="4" bestFit="1" customWidth="1"/>
    <col min="6664" max="6664" width="11" style="4" customWidth="1"/>
    <col min="6665" max="6665" width="13" style="4" bestFit="1" customWidth="1"/>
    <col min="6666" max="6666" width="14.33203125" style="4" bestFit="1" customWidth="1"/>
    <col min="6667" max="6912" width="11.44140625" style="4"/>
    <col min="6913" max="6913" width="22.109375" style="4" customWidth="1"/>
    <col min="6914" max="6914" width="19.109375" style="4" customWidth="1"/>
    <col min="6915" max="6915" width="22.6640625" style="4" bestFit="1" customWidth="1"/>
    <col min="6916" max="6916" width="15.33203125" style="4" customWidth="1"/>
    <col min="6917" max="6917" width="15.44140625" style="4" customWidth="1"/>
    <col min="6918" max="6918" width="11.6640625" style="4" customWidth="1"/>
    <col min="6919" max="6919" width="13.33203125" style="4" bestFit="1" customWidth="1"/>
    <col min="6920" max="6920" width="11" style="4" customWidth="1"/>
    <col min="6921" max="6921" width="13" style="4" bestFit="1" customWidth="1"/>
    <col min="6922" max="6922" width="14.33203125" style="4" bestFit="1" customWidth="1"/>
    <col min="6923" max="7168" width="11.44140625" style="4"/>
    <col min="7169" max="7169" width="22.109375" style="4" customWidth="1"/>
    <col min="7170" max="7170" width="19.109375" style="4" customWidth="1"/>
    <col min="7171" max="7171" width="22.6640625" style="4" bestFit="1" customWidth="1"/>
    <col min="7172" max="7172" width="15.33203125" style="4" customWidth="1"/>
    <col min="7173" max="7173" width="15.44140625" style="4" customWidth="1"/>
    <col min="7174" max="7174" width="11.6640625" style="4" customWidth="1"/>
    <col min="7175" max="7175" width="13.33203125" style="4" bestFit="1" customWidth="1"/>
    <col min="7176" max="7176" width="11" style="4" customWidth="1"/>
    <col min="7177" max="7177" width="13" style="4" bestFit="1" customWidth="1"/>
    <col min="7178" max="7178" width="14.33203125" style="4" bestFit="1" customWidth="1"/>
    <col min="7179" max="7424" width="11.44140625" style="4"/>
    <col min="7425" max="7425" width="22.109375" style="4" customWidth="1"/>
    <col min="7426" max="7426" width="19.109375" style="4" customWidth="1"/>
    <col min="7427" max="7427" width="22.6640625" style="4" bestFit="1" customWidth="1"/>
    <col min="7428" max="7428" width="15.33203125" style="4" customWidth="1"/>
    <col min="7429" max="7429" width="15.44140625" style="4" customWidth="1"/>
    <col min="7430" max="7430" width="11.6640625" style="4" customWidth="1"/>
    <col min="7431" max="7431" width="13.33203125" style="4" bestFit="1" customWidth="1"/>
    <col min="7432" max="7432" width="11" style="4" customWidth="1"/>
    <col min="7433" max="7433" width="13" style="4" bestFit="1" customWidth="1"/>
    <col min="7434" max="7434" width="14.33203125" style="4" bestFit="1" customWidth="1"/>
    <col min="7435" max="7680" width="11.44140625" style="4"/>
    <col min="7681" max="7681" width="22.109375" style="4" customWidth="1"/>
    <col min="7682" max="7682" width="19.109375" style="4" customWidth="1"/>
    <col min="7683" max="7683" width="22.6640625" style="4" bestFit="1" customWidth="1"/>
    <col min="7684" max="7684" width="15.33203125" style="4" customWidth="1"/>
    <col min="7685" max="7685" width="15.44140625" style="4" customWidth="1"/>
    <col min="7686" max="7686" width="11.6640625" style="4" customWidth="1"/>
    <col min="7687" max="7687" width="13.33203125" style="4" bestFit="1" customWidth="1"/>
    <col min="7688" max="7688" width="11" style="4" customWidth="1"/>
    <col min="7689" max="7689" width="13" style="4" bestFit="1" customWidth="1"/>
    <col min="7690" max="7690" width="14.33203125" style="4" bestFit="1" customWidth="1"/>
    <col min="7691" max="7936" width="11.44140625" style="4"/>
    <col min="7937" max="7937" width="22.109375" style="4" customWidth="1"/>
    <col min="7938" max="7938" width="19.109375" style="4" customWidth="1"/>
    <col min="7939" max="7939" width="22.6640625" style="4" bestFit="1" customWidth="1"/>
    <col min="7940" max="7940" width="15.33203125" style="4" customWidth="1"/>
    <col min="7941" max="7941" width="15.44140625" style="4" customWidth="1"/>
    <col min="7942" max="7942" width="11.6640625" style="4" customWidth="1"/>
    <col min="7943" max="7943" width="13.33203125" style="4" bestFit="1" customWidth="1"/>
    <col min="7944" max="7944" width="11" style="4" customWidth="1"/>
    <col min="7945" max="7945" width="13" style="4" bestFit="1" customWidth="1"/>
    <col min="7946" max="7946" width="14.33203125" style="4" bestFit="1" customWidth="1"/>
    <col min="7947" max="8192" width="11.44140625" style="4"/>
    <col min="8193" max="8193" width="22.109375" style="4" customWidth="1"/>
    <col min="8194" max="8194" width="19.109375" style="4" customWidth="1"/>
    <col min="8195" max="8195" width="22.6640625" style="4" bestFit="1" customWidth="1"/>
    <col min="8196" max="8196" width="15.33203125" style="4" customWidth="1"/>
    <col min="8197" max="8197" width="15.44140625" style="4" customWidth="1"/>
    <col min="8198" max="8198" width="11.6640625" style="4" customWidth="1"/>
    <col min="8199" max="8199" width="13.33203125" style="4" bestFit="1" customWidth="1"/>
    <col min="8200" max="8200" width="11" style="4" customWidth="1"/>
    <col min="8201" max="8201" width="13" style="4" bestFit="1" customWidth="1"/>
    <col min="8202" max="8202" width="14.33203125" style="4" bestFit="1" customWidth="1"/>
    <col min="8203" max="8448" width="11.44140625" style="4"/>
    <col min="8449" max="8449" width="22.109375" style="4" customWidth="1"/>
    <col min="8450" max="8450" width="19.109375" style="4" customWidth="1"/>
    <col min="8451" max="8451" width="22.6640625" style="4" bestFit="1" customWidth="1"/>
    <col min="8452" max="8452" width="15.33203125" style="4" customWidth="1"/>
    <col min="8453" max="8453" width="15.44140625" style="4" customWidth="1"/>
    <col min="8454" max="8454" width="11.6640625" style="4" customWidth="1"/>
    <col min="8455" max="8455" width="13.33203125" style="4" bestFit="1" customWidth="1"/>
    <col min="8456" max="8456" width="11" style="4" customWidth="1"/>
    <col min="8457" max="8457" width="13" style="4" bestFit="1" customWidth="1"/>
    <col min="8458" max="8458" width="14.33203125" style="4" bestFit="1" customWidth="1"/>
    <col min="8459" max="8704" width="11.44140625" style="4"/>
    <col min="8705" max="8705" width="22.109375" style="4" customWidth="1"/>
    <col min="8706" max="8706" width="19.109375" style="4" customWidth="1"/>
    <col min="8707" max="8707" width="22.6640625" style="4" bestFit="1" customWidth="1"/>
    <col min="8708" max="8708" width="15.33203125" style="4" customWidth="1"/>
    <col min="8709" max="8709" width="15.44140625" style="4" customWidth="1"/>
    <col min="8710" max="8710" width="11.6640625" style="4" customWidth="1"/>
    <col min="8711" max="8711" width="13.33203125" style="4" bestFit="1" customWidth="1"/>
    <col min="8712" max="8712" width="11" style="4" customWidth="1"/>
    <col min="8713" max="8713" width="13" style="4" bestFit="1" customWidth="1"/>
    <col min="8714" max="8714" width="14.33203125" style="4" bestFit="1" customWidth="1"/>
    <col min="8715" max="8960" width="11.44140625" style="4"/>
    <col min="8961" max="8961" width="22.109375" style="4" customWidth="1"/>
    <col min="8962" max="8962" width="19.109375" style="4" customWidth="1"/>
    <col min="8963" max="8963" width="22.6640625" style="4" bestFit="1" customWidth="1"/>
    <col min="8964" max="8964" width="15.33203125" style="4" customWidth="1"/>
    <col min="8965" max="8965" width="15.44140625" style="4" customWidth="1"/>
    <col min="8966" max="8966" width="11.6640625" style="4" customWidth="1"/>
    <col min="8967" max="8967" width="13.33203125" style="4" bestFit="1" customWidth="1"/>
    <col min="8968" max="8968" width="11" style="4" customWidth="1"/>
    <col min="8969" max="8969" width="13" style="4" bestFit="1" customWidth="1"/>
    <col min="8970" max="8970" width="14.33203125" style="4" bestFit="1" customWidth="1"/>
    <col min="8971" max="9216" width="11.44140625" style="4"/>
    <col min="9217" max="9217" width="22.109375" style="4" customWidth="1"/>
    <col min="9218" max="9218" width="19.109375" style="4" customWidth="1"/>
    <col min="9219" max="9219" width="22.6640625" style="4" bestFit="1" customWidth="1"/>
    <col min="9220" max="9220" width="15.33203125" style="4" customWidth="1"/>
    <col min="9221" max="9221" width="15.44140625" style="4" customWidth="1"/>
    <col min="9222" max="9222" width="11.6640625" style="4" customWidth="1"/>
    <col min="9223" max="9223" width="13.33203125" style="4" bestFit="1" customWidth="1"/>
    <col min="9224" max="9224" width="11" style="4" customWidth="1"/>
    <col min="9225" max="9225" width="13" style="4" bestFit="1" customWidth="1"/>
    <col min="9226" max="9226" width="14.33203125" style="4" bestFit="1" customWidth="1"/>
    <col min="9227" max="9472" width="11.44140625" style="4"/>
    <col min="9473" max="9473" width="22.109375" style="4" customWidth="1"/>
    <col min="9474" max="9474" width="19.109375" style="4" customWidth="1"/>
    <col min="9475" max="9475" width="22.6640625" style="4" bestFit="1" customWidth="1"/>
    <col min="9476" max="9476" width="15.33203125" style="4" customWidth="1"/>
    <col min="9477" max="9477" width="15.44140625" style="4" customWidth="1"/>
    <col min="9478" max="9478" width="11.6640625" style="4" customWidth="1"/>
    <col min="9479" max="9479" width="13.33203125" style="4" bestFit="1" customWidth="1"/>
    <col min="9480" max="9480" width="11" style="4" customWidth="1"/>
    <col min="9481" max="9481" width="13" style="4" bestFit="1" customWidth="1"/>
    <col min="9482" max="9482" width="14.33203125" style="4" bestFit="1" customWidth="1"/>
    <col min="9483" max="9728" width="11.44140625" style="4"/>
    <col min="9729" max="9729" width="22.109375" style="4" customWidth="1"/>
    <col min="9730" max="9730" width="19.109375" style="4" customWidth="1"/>
    <col min="9731" max="9731" width="22.6640625" style="4" bestFit="1" customWidth="1"/>
    <col min="9732" max="9732" width="15.33203125" style="4" customWidth="1"/>
    <col min="9733" max="9733" width="15.44140625" style="4" customWidth="1"/>
    <col min="9734" max="9734" width="11.6640625" style="4" customWidth="1"/>
    <col min="9735" max="9735" width="13.33203125" style="4" bestFit="1" customWidth="1"/>
    <col min="9736" max="9736" width="11" style="4" customWidth="1"/>
    <col min="9737" max="9737" width="13" style="4" bestFit="1" customWidth="1"/>
    <col min="9738" max="9738" width="14.33203125" style="4" bestFit="1" customWidth="1"/>
    <col min="9739" max="9984" width="11.44140625" style="4"/>
    <col min="9985" max="9985" width="22.109375" style="4" customWidth="1"/>
    <col min="9986" max="9986" width="19.109375" style="4" customWidth="1"/>
    <col min="9987" max="9987" width="22.6640625" style="4" bestFit="1" customWidth="1"/>
    <col min="9988" max="9988" width="15.33203125" style="4" customWidth="1"/>
    <col min="9989" max="9989" width="15.44140625" style="4" customWidth="1"/>
    <col min="9990" max="9990" width="11.6640625" style="4" customWidth="1"/>
    <col min="9991" max="9991" width="13.33203125" style="4" bestFit="1" customWidth="1"/>
    <col min="9992" max="9992" width="11" style="4" customWidth="1"/>
    <col min="9993" max="9993" width="13" style="4" bestFit="1" customWidth="1"/>
    <col min="9994" max="9994" width="14.33203125" style="4" bestFit="1" customWidth="1"/>
    <col min="9995" max="10240" width="11.44140625" style="4"/>
    <col min="10241" max="10241" width="22.109375" style="4" customWidth="1"/>
    <col min="10242" max="10242" width="19.109375" style="4" customWidth="1"/>
    <col min="10243" max="10243" width="22.6640625" style="4" bestFit="1" customWidth="1"/>
    <col min="10244" max="10244" width="15.33203125" style="4" customWidth="1"/>
    <col min="10245" max="10245" width="15.44140625" style="4" customWidth="1"/>
    <col min="10246" max="10246" width="11.6640625" style="4" customWidth="1"/>
    <col min="10247" max="10247" width="13.33203125" style="4" bestFit="1" customWidth="1"/>
    <col min="10248" max="10248" width="11" style="4" customWidth="1"/>
    <col min="10249" max="10249" width="13" style="4" bestFit="1" customWidth="1"/>
    <col min="10250" max="10250" width="14.33203125" style="4" bestFit="1" customWidth="1"/>
    <col min="10251" max="10496" width="11.44140625" style="4"/>
    <col min="10497" max="10497" width="22.109375" style="4" customWidth="1"/>
    <col min="10498" max="10498" width="19.109375" style="4" customWidth="1"/>
    <col min="10499" max="10499" width="22.6640625" style="4" bestFit="1" customWidth="1"/>
    <col min="10500" max="10500" width="15.33203125" style="4" customWidth="1"/>
    <col min="10501" max="10501" width="15.44140625" style="4" customWidth="1"/>
    <col min="10502" max="10502" width="11.6640625" style="4" customWidth="1"/>
    <col min="10503" max="10503" width="13.33203125" style="4" bestFit="1" customWidth="1"/>
    <col min="10504" max="10504" width="11" style="4" customWidth="1"/>
    <col min="10505" max="10505" width="13" style="4" bestFit="1" customWidth="1"/>
    <col min="10506" max="10506" width="14.33203125" style="4" bestFit="1" customWidth="1"/>
    <col min="10507" max="10752" width="11.44140625" style="4"/>
    <col min="10753" max="10753" width="22.109375" style="4" customWidth="1"/>
    <col min="10754" max="10754" width="19.109375" style="4" customWidth="1"/>
    <col min="10755" max="10755" width="22.6640625" style="4" bestFit="1" customWidth="1"/>
    <col min="10756" max="10756" width="15.33203125" style="4" customWidth="1"/>
    <col min="10757" max="10757" width="15.44140625" style="4" customWidth="1"/>
    <col min="10758" max="10758" width="11.6640625" style="4" customWidth="1"/>
    <col min="10759" max="10759" width="13.33203125" style="4" bestFit="1" customWidth="1"/>
    <col min="10760" max="10760" width="11" style="4" customWidth="1"/>
    <col min="10761" max="10761" width="13" style="4" bestFit="1" customWidth="1"/>
    <col min="10762" max="10762" width="14.33203125" style="4" bestFit="1" customWidth="1"/>
    <col min="10763" max="11008" width="11.44140625" style="4"/>
    <col min="11009" max="11009" width="22.109375" style="4" customWidth="1"/>
    <col min="11010" max="11010" width="19.109375" style="4" customWidth="1"/>
    <col min="11011" max="11011" width="22.6640625" style="4" bestFit="1" customWidth="1"/>
    <col min="11012" max="11012" width="15.33203125" style="4" customWidth="1"/>
    <col min="11013" max="11013" width="15.44140625" style="4" customWidth="1"/>
    <col min="11014" max="11014" width="11.6640625" style="4" customWidth="1"/>
    <col min="11015" max="11015" width="13.33203125" style="4" bestFit="1" customWidth="1"/>
    <col min="11016" max="11016" width="11" style="4" customWidth="1"/>
    <col min="11017" max="11017" width="13" style="4" bestFit="1" customWidth="1"/>
    <col min="11018" max="11018" width="14.33203125" style="4" bestFit="1" customWidth="1"/>
    <col min="11019" max="11264" width="11.44140625" style="4"/>
    <col min="11265" max="11265" width="22.109375" style="4" customWidth="1"/>
    <col min="11266" max="11266" width="19.109375" style="4" customWidth="1"/>
    <col min="11267" max="11267" width="22.6640625" style="4" bestFit="1" customWidth="1"/>
    <col min="11268" max="11268" width="15.33203125" style="4" customWidth="1"/>
    <col min="11269" max="11269" width="15.44140625" style="4" customWidth="1"/>
    <col min="11270" max="11270" width="11.6640625" style="4" customWidth="1"/>
    <col min="11271" max="11271" width="13.33203125" style="4" bestFit="1" customWidth="1"/>
    <col min="11272" max="11272" width="11" style="4" customWidth="1"/>
    <col min="11273" max="11273" width="13" style="4" bestFit="1" customWidth="1"/>
    <col min="11274" max="11274" width="14.33203125" style="4" bestFit="1" customWidth="1"/>
    <col min="11275" max="11520" width="11.44140625" style="4"/>
    <col min="11521" max="11521" width="22.109375" style="4" customWidth="1"/>
    <col min="11522" max="11522" width="19.109375" style="4" customWidth="1"/>
    <col min="11523" max="11523" width="22.6640625" style="4" bestFit="1" customWidth="1"/>
    <col min="11524" max="11524" width="15.33203125" style="4" customWidth="1"/>
    <col min="11525" max="11525" width="15.44140625" style="4" customWidth="1"/>
    <col min="11526" max="11526" width="11.6640625" style="4" customWidth="1"/>
    <col min="11527" max="11527" width="13.33203125" style="4" bestFit="1" customWidth="1"/>
    <col min="11528" max="11528" width="11" style="4" customWidth="1"/>
    <col min="11529" max="11529" width="13" style="4" bestFit="1" customWidth="1"/>
    <col min="11530" max="11530" width="14.33203125" style="4" bestFit="1" customWidth="1"/>
    <col min="11531" max="11776" width="11.44140625" style="4"/>
    <col min="11777" max="11777" width="22.109375" style="4" customWidth="1"/>
    <col min="11778" max="11778" width="19.109375" style="4" customWidth="1"/>
    <col min="11779" max="11779" width="22.6640625" style="4" bestFit="1" customWidth="1"/>
    <col min="11780" max="11780" width="15.33203125" style="4" customWidth="1"/>
    <col min="11781" max="11781" width="15.44140625" style="4" customWidth="1"/>
    <col min="11782" max="11782" width="11.6640625" style="4" customWidth="1"/>
    <col min="11783" max="11783" width="13.33203125" style="4" bestFit="1" customWidth="1"/>
    <col min="11784" max="11784" width="11" style="4" customWidth="1"/>
    <col min="11785" max="11785" width="13" style="4" bestFit="1" customWidth="1"/>
    <col min="11786" max="11786" width="14.33203125" style="4" bestFit="1" customWidth="1"/>
    <col min="11787" max="12032" width="11.44140625" style="4"/>
    <col min="12033" max="12033" width="22.109375" style="4" customWidth="1"/>
    <col min="12034" max="12034" width="19.109375" style="4" customWidth="1"/>
    <col min="12035" max="12035" width="22.6640625" style="4" bestFit="1" customWidth="1"/>
    <col min="12036" max="12036" width="15.33203125" style="4" customWidth="1"/>
    <col min="12037" max="12037" width="15.44140625" style="4" customWidth="1"/>
    <col min="12038" max="12038" width="11.6640625" style="4" customWidth="1"/>
    <col min="12039" max="12039" width="13.33203125" style="4" bestFit="1" customWidth="1"/>
    <col min="12040" max="12040" width="11" style="4" customWidth="1"/>
    <col min="12041" max="12041" width="13" style="4" bestFit="1" customWidth="1"/>
    <col min="12042" max="12042" width="14.33203125" style="4" bestFit="1" customWidth="1"/>
    <col min="12043" max="12288" width="11.44140625" style="4"/>
    <col min="12289" max="12289" width="22.109375" style="4" customWidth="1"/>
    <col min="12290" max="12290" width="19.109375" style="4" customWidth="1"/>
    <col min="12291" max="12291" width="22.6640625" style="4" bestFit="1" customWidth="1"/>
    <col min="12292" max="12292" width="15.33203125" style="4" customWidth="1"/>
    <col min="12293" max="12293" width="15.44140625" style="4" customWidth="1"/>
    <col min="12294" max="12294" width="11.6640625" style="4" customWidth="1"/>
    <col min="12295" max="12295" width="13.33203125" style="4" bestFit="1" customWidth="1"/>
    <col min="12296" max="12296" width="11" style="4" customWidth="1"/>
    <col min="12297" max="12297" width="13" style="4" bestFit="1" customWidth="1"/>
    <col min="12298" max="12298" width="14.33203125" style="4" bestFit="1" customWidth="1"/>
    <col min="12299" max="12544" width="11.44140625" style="4"/>
    <col min="12545" max="12545" width="22.109375" style="4" customWidth="1"/>
    <col min="12546" max="12546" width="19.109375" style="4" customWidth="1"/>
    <col min="12547" max="12547" width="22.6640625" style="4" bestFit="1" customWidth="1"/>
    <col min="12548" max="12548" width="15.33203125" style="4" customWidth="1"/>
    <col min="12549" max="12549" width="15.44140625" style="4" customWidth="1"/>
    <col min="12550" max="12550" width="11.6640625" style="4" customWidth="1"/>
    <col min="12551" max="12551" width="13.33203125" style="4" bestFit="1" customWidth="1"/>
    <col min="12552" max="12552" width="11" style="4" customWidth="1"/>
    <col min="12553" max="12553" width="13" style="4" bestFit="1" customWidth="1"/>
    <col min="12554" max="12554" width="14.33203125" style="4" bestFit="1" customWidth="1"/>
    <col min="12555" max="12800" width="11.44140625" style="4"/>
    <col min="12801" max="12801" width="22.109375" style="4" customWidth="1"/>
    <col min="12802" max="12802" width="19.109375" style="4" customWidth="1"/>
    <col min="12803" max="12803" width="22.6640625" style="4" bestFit="1" customWidth="1"/>
    <col min="12804" max="12804" width="15.33203125" style="4" customWidth="1"/>
    <col min="12805" max="12805" width="15.44140625" style="4" customWidth="1"/>
    <col min="12806" max="12806" width="11.6640625" style="4" customWidth="1"/>
    <col min="12807" max="12807" width="13.33203125" style="4" bestFit="1" customWidth="1"/>
    <col min="12808" max="12808" width="11" style="4" customWidth="1"/>
    <col min="12809" max="12809" width="13" style="4" bestFit="1" customWidth="1"/>
    <col min="12810" max="12810" width="14.33203125" style="4" bestFit="1" customWidth="1"/>
    <col min="12811" max="13056" width="11.44140625" style="4"/>
    <col min="13057" max="13057" width="22.109375" style="4" customWidth="1"/>
    <col min="13058" max="13058" width="19.109375" style="4" customWidth="1"/>
    <col min="13059" max="13059" width="22.6640625" style="4" bestFit="1" customWidth="1"/>
    <col min="13060" max="13060" width="15.33203125" style="4" customWidth="1"/>
    <col min="13061" max="13061" width="15.44140625" style="4" customWidth="1"/>
    <col min="13062" max="13062" width="11.6640625" style="4" customWidth="1"/>
    <col min="13063" max="13063" width="13.33203125" style="4" bestFit="1" customWidth="1"/>
    <col min="13064" max="13064" width="11" style="4" customWidth="1"/>
    <col min="13065" max="13065" width="13" style="4" bestFit="1" customWidth="1"/>
    <col min="13066" max="13066" width="14.33203125" style="4" bestFit="1" customWidth="1"/>
    <col min="13067" max="13312" width="11.44140625" style="4"/>
    <col min="13313" max="13313" width="22.109375" style="4" customWidth="1"/>
    <col min="13314" max="13314" width="19.109375" style="4" customWidth="1"/>
    <col min="13315" max="13315" width="22.6640625" style="4" bestFit="1" customWidth="1"/>
    <col min="13316" max="13316" width="15.33203125" style="4" customWidth="1"/>
    <col min="13317" max="13317" width="15.44140625" style="4" customWidth="1"/>
    <col min="13318" max="13318" width="11.6640625" style="4" customWidth="1"/>
    <col min="13319" max="13319" width="13.33203125" style="4" bestFit="1" customWidth="1"/>
    <col min="13320" max="13320" width="11" style="4" customWidth="1"/>
    <col min="13321" max="13321" width="13" style="4" bestFit="1" customWidth="1"/>
    <col min="13322" max="13322" width="14.33203125" style="4" bestFit="1" customWidth="1"/>
    <col min="13323" max="13568" width="11.44140625" style="4"/>
    <col min="13569" max="13569" width="22.109375" style="4" customWidth="1"/>
    <col min="13570" max="13570" width="19.109375" style="4" customWidth="1"/>
    <col min="13571" max="13571" width="22.6640625" style="4" bestFit="1" customWidth="1"/>
    <col min="13572" max="13572" width="15.33203125" style="4" customWidth="1"/>
    <col min="13573" max="13573" width="15.44140625" style="4" customWidth="1"/>
    <col min="13574" max="13574" width="11.6640625" style="4" customWidth="1"/>
    <col min="13575" max="13575" width="13.33203125" style="4" bestFit="1" customWidth="1"/>
    <col min="13576" max="13576" width="11" style="4" customWidth="1"/>
    <col min="13577" max="13577" width="13" style="4" bestFit="1" customWidth="1"/>
    <col min="13578" max="13578" width="14.33203125" style="4" bestFit="1" customWidth="1"/>
    <col min="13579" max="13824" width="11.44140625" style="4"/>
    <col min="13825" max="13825" width="22.109375" style="4" customWidth="1"/>
    <col min="13826" max="13826" width="19.109375" style="4" customWidth="1"/>
    <col min="13827" max="13827" width="22.6640625" style="4" bestFit="1" customWidth="1"/>
    <col min="13828" max="13828" width="15.33203125" style="4" customWidth="1"/>
    <col min="13829" max="13829" width="15.44140625" style="4" customWidth="1"/>
    <col min="13830" max="13830" width="11.6640625" style="4" customWidth="1"/>
    <col min="13831" max="13831" width="13.33203125" style="4" bestFit="1" customWidth="1"/>
    <col min="13832" max="13832" width="11" style="4" customWidth="1"/>
    <col min="13833" max="13833" width="13" style="4" bestFit="1" customWidth="1"/>
    <col min="13834" max="13834" width="14.33203125" style="4" bestFit="1" customWidth="1"/>
    <col min="13835" max="14080" width="11.44140625" style="4"/>
    <col min="14081" max="14081" width="22.109375" style="4" customWidth="1"/>
    <col min="14082" max="14082" width="19.109375" style="4" customWidth="1"/>
    <col min="14083" max="14083" width="22.6640625" style="4" bestFit="1" customWidth="1"/>
    <col min="14084" max="14084" width="15.33203125" style="4" customWidth="1"/>
    <col min="14085" max="14085" width="15.44140625" style="4" customWidth="1"/>
    <col min="14086" max="14086" width="11.6640625" style="4" customWidth="1"/>
    <col min="14087" max="14087" width="13.33203125" style="4" bestFit="1" customWidth="1"/>
    <col min="14088" max="14088" width="11" style="4" customWidth="1"/>
    <col min="14089" max="14089" width="13" style="4" bestFit="1" customWidth="1"/>
    <col min="14090" max="14090" width="14.33203125" style="4" bestFit="1" customWidth="1"/>
    <col min="14091" max="14336" width="11.44140625" style="4"/>
    <col min="14337" max="14337" width="22.109375" style="4" customWidth="1"/>
    <col min="14338" max="14338" width="19.109375" style="4" customWidth="1"/>
    <col min="14339" max="14339" width="22.6640625" style="4" bestFit="1" customWidth="1"/>
    <col min="14340" max="14340" width="15.33203125" style="4" customWidth="1"/>
    <col min="14341" max="14341" width="15.44140625" style="4" customWidth="1"/>
    <col min="14342" max="14342" width="11.6640625" style="4" customWidth="1"/>
    <col min="14343" max="14343" width="13.33203125" style="4" bestFit="1" customWidth="1"/>
    <col min="14344" max="14344" width="11" style="4" customWidth="1"/>
    <col min="14345" max="14345" width="13" style="4" bestFit="1" customWidth="1"/>
    <col min="14346" max="14346" width="14.33203125" style="4" bestFit="1" customWidth="1"/>
    <col min="14347" max="14592" width="11.44140625" style="4"/>
    <col min="14593" max="14593" width="22.109375" style="4" customWidth="1"/>
    <col min="14594" max="14594" width="19.109375" style="4" customWidth="1"/>
    <col min="14595" max="14595" width="22.6640625" style="4" bestFit="1" customWidth="1"/>
    <col min="14596" max="14596" width="15.33203125" style="4" customWidth="1"/>
    <col min="14597" max="14597" width="15.44140625" style="4" customWidth="1"/>
    <col min="14598" max="14598" width="11.6640625" style="4" customWidth="1"/>
    <col min="14599" max="14599" width="13.33203125" style="4" bestFit="1" customWidth="1"/>
    <col min="14600" max="14600" width="11" style="4" customWidth="1"/>
    <col min="14601" max="14601" width="13" style="4" bestFit="1" customWidth="1"/>
    <col min="14602" max="14602" width="14.33203125" style="4" bestFit="1" customWidth="1"/>
    <col min="14603" max="14848" width="11.44140625" style="4"/>
    <col min="14849" max="14849" width="22.109375" style="4" customWidth="1"/>
    <col min="14850" max="14850" width="19.109375" style="4" customWidth="1"/>
    <col min="14851" max="14851" width="22.6640625" style="4" bestFit="1" customWidth="1"/>
    <col min="14852" max="14852" width="15.33203125" style="4" customWidth="1"/>
    <col min="14853" max="14853" width="15.44140625" style="4" customWidth="1"/>
    <col min="14854" max="14854" width="11.6640625" style="4" customWidth="1"/>
    <col min="14855" max="14855" width="13.33203125" style="4" bestFit="1" customWidth="1"/>
    <col min="14856" max="14856" width="11" style="4" customWidth="1"/>
    <col min="14857" max="14857" width="13" style="4" bestFit="1" customWidth="1"/>
    <col min="14858" max="14858" width="14.33203125" style="4" bestFit="1" customWidth="1"/>
    <col min="14859" max="15104" width="11.44140625" style="4"/>
    <col min="15105" max="15105" width="22.109375" style="4" customWidth="1"/>
    <col min="15106" max="15106" width="19.109375" style="4" customWidth="1"/>
    <col min="15107" max="15107" width="22.6640625" style="4" bestFit="1" customWidth="1"/>
    <col min="15108" max="15108" width="15.33203125" style="4" customWidth="1"/>
    <col min="15109" max="15109" width="15.44140625" style="4" customWidth="1"/>
    <col min="15110" max="15110" width="11.6640625" style="4" customWidth="1"/>
    <col min="15111" max="15111" width="13.33203125" style="4" bestFit="1" customWidth="1"/>
    <col min="15112" max="15112" width="11" style="4" customWidth="1"/>
    <col min="15113" max="15113" width="13" style="4" bestFit="1" customWidth="1"/>
    <col min="15114" max="15114" width="14.33203125" style="4" bestFit="1" customWidth="1"/>
    <col min="15115" max="15360" width="11.44140625" style="4"/>
    <col min="15361" max="15361" width="22.109375" style="4" customWidth="1"/>
    <col min="15362" max="15362" width="19.109375" style="4" customWidth="1"/>
    <col min="15363" max="15363" width="22.6640625" style="4" bestFit="1" customWidth="1"/>
    <col min="15364" max="15364" width="15.33203125" style="4" customWidth="1"/>
    <col min="15365" max="15365" width="15.44140625" style="4" customWidth="1"/>
    <col min="15366" max="15366" width="11.6640625" style="4" customWidth="1"/>
    <col min="15367" max="15367" width="13.33203125" style="4" bestFit="1" customWidth="1"/>
    <col min="15368" max="15368" width="11" style="4" customWidth="1"/>
    <col min="15369" max="15369" width="13" style="4" bestFit="1" customWidth="1"/>
    <col min="15370" max="15370" width="14.33203125" style="4" bestFit="1" customWidth="1"/>
    <col min="15371" max="15616" width="11.44140625" style="4"/>
    <col min="15617" max="15617" width="22.109375" style="4" customWidth="1"/>
    <col min="15618" max="15618" width="19.109375" style="4" customWidth="1"/>
    <col min="15619" max="15619" width="22.6640625" style="4" bestFit="1" customWidth="1"/>
    <col min="15620" max="15620" width="15.33203125" style="4" customWidth="1"/>
    <col min="15621" max="15621" width="15.44140625" style="4" customWidth="1"/>
    <col min="15622" max="15622" width="11.6640625" style="4" customWidth="1"/>
    <col min="15623" max="15623" width="13.33203125" style="4" bestFit="1" customWidth="1"/>
    <col min="15624" max="15624" width="11" style="4" customWidth="1"/>
    <col min="15625" max="15625" width="13" style="4" bestFit="1" customWidth="1"/>
    <col min="15626" max="15626" width="14.33203125" style="4" bestFit="1" customWidth="1"/>
    <col min="15627" max="15872" width="11.44140625" style="4"/>
    <col min="15873" max="15873" width="22.109375" style="4" customWidth="1"/>
    <col min="15874" max="15874" width="19.109375" style="4" customWidth="1"/>
    <col min="15875" max="15875" width="22.6640625" style="4" bestFit="1" customWidth="1"/>
    <col min="15876" max="15876" width="15.33203125" style="4" customWidth="1"/>
    <col min="15877" max="15877" width="15.44140625" style="4" customWidth="1"/>
    <col min="15878" max="15878" width="11.6640625" style="4" customWidth="1"/>
    <col min="15879" max="15879" width="13.33203125" style="4" bestFit="1" customWidth="1"/>
    <col min="15880" max="15880" width="11" style="4" customWidth="1"/>
    <col min="15881" max="15881" width="13" style="4" bestFit="1" customWidth="1"/>
    <col min="15882" max="15882" width="14.33203125" style="4" bestFit="1" customWidth="1"/>
    <col min="15883" max="16128" width="11.44140625" style="4"/>
    <col min="16129" max="16129" width="22.109375" style="4" customWidth="1"/>
    <col min="16130" max="16130" width="19.109375" style="4" customWidth="1"/>
    <col min="16131" max="16131" width="22.6640625" style="4" bestFit="1" customWidth="1"/>
    <col min="16132" max="16132" width="15.33203125" style="4" customWidth="1"/>
    <col min="16133" max="16133" width="15.44140625" style="4" customWidth="1"/>
    <col min="16134" max="16134" width="11.6640625" style="4" customWidth="1"/>
    <col min="16135" max="16135" width="13.33203125" style="4" bestFit="1" customWidth="1"/>
    <col min="16136" max="16136" width="11" style="4" customWidth="1"/>
    <col min="16137" max="16137" width="13" style="4" bestFit="1" customWidth="1"/>
    <col min="16138" max="16138" width="14.33203125" style="4" bestFit="1" customWidth="1"/>
    <col min="16139" max="16384" width="11.44140625" style="4"/>
  </cols>
  <sheetData>
    <row r="1" spans="1:8" x14ac:dyDescent="0.25">
      <c r="A1" s="3" t="s">
        <v>144</v>
      </c>
    </row>
    <row r="2" spans="1:8" x14ac:dyDescent="0.25">
      <c r="A2" s="3" t="s">
        <v>200</v>
      </c>
    </row>
    <row r="3" spans="1:8" x14ac:dyDescent="0.25">
      <c r="A3" s="3" t="s">
        <v>8</v>
      </c>
    </row>
    <row r="4" spans="1:8" x14ac:dyDescent="0.25">
      <c r="A4" s="1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G4" s="5" t="s">
        <v>52</v>
      </c>
      <c r="H4" s="5" t="s">
        <v>19</v>
      </c>
    </row>
    <row r="5" spans="1:8" x14ac:dyDescent="0.25">
      <c r="A5" s="9" t="s">
        <v>198</v>
      </c>
      <c r="B5" s="16" t="s">
        <v>199</v>
      </c>
      <c r="C5" s="17">
        <v>40</v>
      </c>
      <c r="D5" s="18">
        <v>1254.3</v>
      </c>
      <c r="E5" s="18">
        <f>C5*D5</f>
        <v>50172</v>
      </c>
      <c r="G5" s="63">
        <v>45831</v>
      </c>
      <c r="H5" s="12">
        <v>3.552</v>
      </c>
    </row>
    <row r="6" spans="1:8" x14ac:dyDescent="0.25">
      <c r="A6" s="9" t="s">
        <v>14</v>
      </c>
      <c r="B6" s="16" t="s">
        <v>15</v>
      </c>
      <c r="C6" s="17">
        <v>420</v>
      </c>
      <c r="D6" s="18">
        <v>85.2</v>
      </c>
      <c r="E6" s="18">
        <f>C6*D6</f>
        <v>35784</v>
      </c>
    </row>
    <row r="7" spans="1:8" x14ac:dyDescent="0.25">
      <c r="D7" s="13"/>
      <c r="E7" s="11">
        <f>SUM(E5:E6)</f>
        <v>85956</v>
      </c>
    </row>
    <row r="8" spans="1:8" ht="6" customHeight="1" x14ac:dyDescent="0.25"/>
    <row r="9" spans="1:8" x14ac:dyDescent="0.25">
      <c r="A9" s="15" t="s">
        <v>16</v>
      </c>
      <c r="B9" s="5" t="s">
        <v>17</v>
      </c>
      <c r="C9" s="5" t="s">
        <v>18</v>
      </c>
      <c r="D9" s="5" t="s">
        <v>19</v>
      </c>
      <c r="E9" s="5" t="s">
        <v>52</v>
      </c>
    </row>
    <row r="10" spans="1:8" x14ac:dyDescent="0.25">
      <c r="A10" s="9" t="s">
        <v>4</v>
      </c>
      <c r="B10" s="18">
        <v>1500</v>
      </c>
      <c r="C10" s="18">
        <f>B10*D10</f>
        <v>5332.5</v>
      </c>
      <c r="D10" s="19">
        <v>3.5550000000000002</v>
      </c>
      <c r="E10" s="64">
        <v>45848</v>
      </c>
      <c r="G10" s="4" t="s">
        <v>272</v>
      </c>
    </row>
    <row r="11" spans="1:8" x14ac:dyDescent="0.25">
      <c r="A11" s="9" t="s">
        <v>20</v>
      </c>
      <c r="B11" s="18">
        <v>700</v>
      </c>
      <c r="C11" s="18">
        <f>B11*D11</f>
        <v>2489.1999999999998</v>
      </c>
      <c r="D11" s="19">
        <v>3.556</v>
      </c>
      <c r="E11" s="64">
        <v>45856</v>
      </c>
      <c r="G11" s="4" t="s">
        <v>273</v>
      </c>
    </row>
    <row r="12" spans="1:8" x14ac:dyDescent="0.25">
      <c r="A12" s="9" t="s">
        <v>3</v>
      </c>
      <c r="B12" s="18">
        <v>3500</v>
      </c>
      <c r="C12" s="18">
        <f>B12*D12</f>
        <v>12470.5</v>
      </c>
      <c r="D12" s="19">
        <v>3.5630000000000002</v>
      </c>
      <c r="E12" s="64">
        <v>45885</v>
      </c>
    </row>
    <row r="13" spans="1:8" x14ac:dyDescent="0.25">
      <c r="A13" s="9" t="s">
        <v>21</v>
      </c>
      <c r="B13" s="18">
        <f>C13/D13</f>
        <v>488.6267902274642</v>
      </c>
      <c r="C13" s="18">
        <v>1740</v>
      </c>
      <c r="D13" s="19">
        <v>3.5609999999999999</v>
      </c>
      <c r="E13" s="64">
        <v>45888</v>
      </c>
      <c r="G13" s="4" t="s">
        <v>274</v>
      </c>
    </row>
    <row r="14" spans="1:8" x14ac:dyDescent="0.25">
      <c r="A14" s="9" t="s">
        <v>22</v>
      </c>
      <c r="B14" s="18">
        <f t="shared" ref="B14:B15" si="0">C14/D14</f>
        <v>35.450935904707883</v>
      </c>
      <c r="C14" s="18">
        <v>125</v>
      </c>
      <c r="D14" s="19">
        <v>3.5259999999999998</v>
      </c>
      <c r="E14" s="64">
        <v>45894</v>
      </c>
    </row>
    <row r="15" spans="1:8" x14ac:dyDescent="0.25">
      <c r="A15" s="9" t="s">
        <v>153</v>
      </c>
      <c r="B15" s="18">
        <f t="shared" si="0"/>
        <v>128.00906258850185</v>
      </c>
      <c r="C15" s="18">
        <v>452</v>
      </c>
      <c r="D15" s="19">
        <v>3.5310000000000001</v>
      </c>
      <c r="E15" s="64">
        <v>45895</v>
      </c>
    </row>
    <row r="16" spans="1:8" ht="7.5" customHeight="1" x14ac:dyDescent="0.25"/>
    <row r="17" spans="1:12" x14ac:dyDescent="0.25">
      <c r="A17" s="3" t="s">
        <v>23</v>
      </c>
      <c r="G17" s="4" t="s">
        <v>187</v>
      </c>
    </row>
    <row r="18" spans="1:12" x14ac:dyDescent="0.25">
      <c r="A18" s="15" t="s">
        <v>9</v>
      </c>
      <c r="B18" s="5" t="s">
        <v>198</v>
      </c>
      <c r="C18" s="5" t="s">
        <v>14</v>
      </c>
      <c r="H18" s="12"/>
      <c r="J18" s="12"/>
      <c r="K18" s="12"/>
      <c r="L18" s="12"/>
    </row>
    <row r="19" spans="1:12" x14ac:dyDescent="0.25">
      <c r="A19" s="9" t="s">
        <v>11</v>
      </c>
      <c r="B19" s="21">
        <f>C5</f>
        <v>40</v>
      </c>
      <c r="C19" s="21">
        <f>C6</f>
        <v>420</v>
      </c>
      <c r="G19" s="8" t="s">
        <v>1</v>
      </c>
      <c r="H19" s="11" t="s">
        <v>83</v>
      </c>
      <c r="I19" s="8" t="s">
        <v>124</v>
      </c>
      <c r="J19" s="5" t="s">
        <v>198</v>
      </c>
      <c r="K19" s="5" t="s">
        <v>14</v>
      </c>
      <c r="L19" s="11" t="s">
        <v>0</v>
      </c>
    </row>
    <row r="20" spans="1:12" x14ac:dyDescent="0.25">
      <c r="A20" s="9" t="s">
        <v>10</v>
      </c>
      <c r="B20" s="20" t="str">
        <f>B5</f>
        <v>Pza</v>
      </c>
      <c r="C20" s="21" t="str">
        <f>B6</f>
        <v>Unid</v>
      </c>
      <c r="G20" s="9" t="s">
        <v>26</v>
      </c>
      <c r="H20" s="18">
        <f>C10</f>
        <v>5332.5</v>
      </c>
      <c r="I20" s="9" t="s">
        <v>275</v>
      </c>
      <c r="J20" s="17">
        <f>B22</f>
        <v>178210.94399999999</v>
      </c>
      <c r="K20" s="17">
        <f>C22</f>
        <v>127104.76800000001</v>
      </c>
      <c r="L20" s="18">
        <f t="shared" ref="L20:L25" si="1">SUM(J20:K20)</f>
        <v>305315.712</v>
      </c>
    </row>
    <row r="21" spans="1:12" x14ac:dyDescent="0.25">
      <c r="A21" s="8" t="s">
        <v>24</v>
      </c>
      <c r="B21" s="27">
        <f>D5*H5</f>
        <v>4455.2735999999995</v>
      </c>
      <c r="C21" s="27">
        <f>D6*H5</f>
        <v>302.63040000000001</v>
      </c>
      <c r="G21" s="9" t="s">
        <v>27</v>
      </c>
      <c r="H21" s="18">
        <f t="shared" ref="H21:H25" si="2">C11</f>
        <v>2489.1999999999998</v>
      </c>
      <c r="I21" s="9" t="s">
        <v>276</v>
      </c>
      <c r="J21" s="16">
        <v>10</v>
      </c>
      <c r="K21" s="16">
        <v>80</v>
      </c>
      <c r="L21" s="18">
        <f t="shared" si="1"/>
        <v>90</v>
      </c>
    </row>
    <row r="22" spans="1:12" x14ac:dyDescent="0.25">
      <c r="A22" s="8" t="s">
        <v>25</v>
      </c>
      <c r="B22" s="27">
        <f>B19*B21</f>
        <v>178210.94399999999</v>
      </c>
      <c r="C22" s="27">
        <f>C19*C21</f>
        <v>127104.76800000001</v>
      </c>
      <c r="G22" s="9" t="s">
        <v>28</v>
      </c>
      <c r="H22" s="18">
        <f t="shared" si="2"/>
        <v>12470.5</v>
      </c>
      <c r="I22" s="9" t="s">
        <v>277</v>
      </c>
      <c r="J22" s="18">
        <v>0.3</v>
      </c>
      <c r="K22" s="18">
        <v>1.1000000000000001</v>
      </c>
      <c r="L22" s="18">
        <f t="shared" si="1"/>
        <v>1.4000000000000001</v>
      </c>
    </row>
    <row r="23" spans="1:12" x14ac:dyDescent="0.25">
      <c r="A23" s="9" t="s">
        <v>26</v>
      </c>
      <c r="B23" s="7">
        <f>J30</f>
        <v>3112.5481641770207</v>
      </c>
      <c r="C23" s="7">
        <f>K30</f>
        <v>2219.9518358229793</v>
      </c>
      <c r="G23" s="9" t="s">
        <v>29</v>
      </c>
      <c r="H23" s="18">
        <f t="shared" si="2"/>
        <v>1740</v>
      </c>
      <c r="I23" s="9" t="s">
        <v>275</v>
      </c>
      <c r="J23" s="18">
        <f>J20</f>
        <v>178210.94399999999</v>
      </c>
      <c r="K23" s="18">
        <f>K20</f>
        <v>127104.76800000001</v>
      </c>
      <c r="L23" s="18">
        <f t="shared" si="1"/>
        <v>305315.712</v>
      </c>
    </row>
    <row r="24" spans="1:12" x14ac:dyDescent="0.25">
      <c r="A24" s="9" t="s">
        <v>27</v>
      </c>
      <c r="B24" s="7">
        <f t="shared" ref="B24:C24" si="3">J31</f>
        <v>276.57777777777773</v>
      </c>
      <c r="C24" s="7">
        <f t="shared" si="3"/>
        <v>2212.6222222222218</v>
      </c>
      <c r="G24" s="9" t="s">
        <v>30</v>
      </c>
      <c r="H24" s="18">
        <f t="shared" si="2"/>
        <v>125</v>
      </c>
      <c r="I24" s="9" t="s">
        <v>275</v>
      </c>
      <c r="J24" s="18">
        <f>J23</f>
        <v>178210.94399999999</v>
      </c>
      <c r="K24" s="18">
        <f>K23</f>
        <v>127104.76800000001</v>
      </c>
      <c r="L24" s="18">
        <f t="shared" si="1"/>
        <v>305315.712</v>
      </c>
    </row>
    <row r="25" spans="1:12" x14ac:dyDescent="0.25">
      <c r="A25" s="9" t="s">
        <v>28</v>
      </c>
      <c r="B25" s="7">
        <f t="shared" ref="B25:C25" si="4">J32</f>
        <v>2672.25</v>
      </c>
      <c r="C25" s="7">
        <f t="shared" si="4"/>
        <v>9798.25</v>
      </c>
      <c r="G25" s="9" t="s">
        <v>174</v>
      </c>
      <c r="H25" s="18">
        <f t="shared" si="2"/>
        <v>452</v>
      </c>
      <c r="I25" s="9" t="s">
        <v>277</v>
      </c>
      <c r="J25" s="18">
        <f>J22</f>
        <v>0.3</v>
      </c>
      <c r="K25" s="18">
        <f>K22</f>
        <v>1.1000000000000001</v>
      </c>
      <c r="L25" s="18">
        <f t="shared" si="1"/>
        <v>1.4000000000000001</v>
      </c>
    </row>
    <row r="26" spans="1:12" x14ac:dyDescent="0.25">
      <c r="A26" s="9" t="s">
        <v>29</v>
      </c>
      <c r="B26" s="7">
        <f t="shared" ref="B26:C26" si="5">J33</f>
        <v>1015.6275303643724</v>
      </c>
      <c r="C26" s="7">
        <f t="shared" si="5"/>
        <v>724.37246963562768</v>
      </c>
      <c r="G26" s="9" t="s">
        <v>0</v>
      </c>
      <c r="H26" s="70">
        <f>SUM(H20:H25)</f>
        <v>22609.200000000001</v>
      </c>
      <c r="I26" s="9"/>
      <c r="J26" s="9"/>
      <c r="K26" s="9"/>
      <c r="L26" s="9"/>
    </row>
    <row r="27" spans="1:12" x14ac:dyDescent="0.25">
      <c r="A27" s="9" t="s">
        <v>30</v>
      </c>
      <c r="B27" s="7">
        <f t="shared" ref="B27:C27" si="6">J34</f>
        <v>72.961747871003766</v>
      </c>
      <c r="C27" s="7">
        <f t="shared" si="6"/>
        <v>52.038252128996234</v>
      </c>
    </row>
    <row r="28" spans="1:12" x14ac:dyDescent="0.25">
      <c r="A28" s="9" t="s">
        <v>174</v>
      </c>
      <c r="B28" s="7">
        <f t="shared" ref="B28:C28" si="7">J35</f>
        <v>96.857142857142847</v>
      </c>
      <c r="C28" s="7">
        <f t="shared" si="7"/>
        <v>355.14285714285717</v>
      </c>
      <c r="G28" s="4" t="s">
        <v>278</v>
      </c>
    </row>
    <row r="29" spans="1:12" x14ac:dyDescent="0.25">
      <c r="A29" s="8" t="s">
        <v>31</v>
      </c>
      <c r="B29" s="27">
        <f>B22+SUM(B23:B28)</f>
        <v>185457.7663630473</v>
      </c>
      <c r="C29" s="27">
        <f>C22+SUM(C23:C28)</f>
        <v>142467.14563695269</v>
      </c>
      <c r="G29" s="8" t="s">
        <v>1</v>
      </c>
      <c r="H29" s="11" t="s">
        <v>83</v>
      </c>
      <c r="I29" s="8" t="s">
        <v>124</v>
      </c>
      <c r="J29" s="5" t="s">
        <v>198</v>
      </c>
      <c r="K29" s="5" t="s">
        <v>14</v>
      </c>
      <c r="L29" s="11" t="s">
        <v>0</v>
      </c>
    </row>
    <row r="30" spans="1:12" x14ac:dyDescent="0.25">
      <c r="A30" s="84" t="s">
        <v>32</v>
      </c>
      <c r="B30" s="85">
        <f>B29/B19</f>
        <v>4636.4441590761826</v>
      </c>
      <c r="C30" s="85">
        <f>C29/C19</f>
        <v>339.20748961179208</v>
      </c>
      <c r="G30" s="9" t="s">
        <v>26</v>
      </c>
      <c r="H30" s="18">
        <f>H20</f>
        <v>5332.5</v>
      </c>
      <c r="I30" s="9" t="str">
        <f>I20</f>
        <v>Fob total S/</v>
      </c>
      <c r="J30" s="18">
        <f>$H20/$L20*J20</f>
        <v>3112.5481641770207</v>
      </c>
      <c r="K30" s="18">
        <f>$H20/$L20*K20</f>
        <v>2219.9518358229793</v>
      </c>
      <c r="L30" s="18">
        <f t="shared" ref="L30:L35" si="8">SUM(J30:K30)</f>
        <v>5332.5</v>
      </c>
    </row>
    <row r="31" spans="1:12" x14ac:dyDescent="0.25">
      <c r="B31" s="69"/>
      <c r="C31" s="69"/>
      <c r="G31" s="9" t="s">
        <v>27</v>
      </c>
      <c r="H31" s="18">
        <f t="shared" ref="H31:I31" si="9">H21</f>
        <v>2489.1999999999998</v>
      </c>
      <c r="I31" s="9" t="str">
        <f t="shared" si="9"/>
        <v># paquetes</v>
      </c>
      <c r="J31" s="18">
        <f t="shared" ref="J31:K31" si="10">$H21/$L21*J21</f>
        <v>276.57777777777773</v>
      </c>
      <c r="K31" s="18">
        <f t="shared" si="10"/>
        <v>2212.6222222222218</v>
      </c>
      <c r="L31" s="18">
        <f t="shared" si="8"/>
        <v>2489.1999999999994</v>
      </c>
    </row>
    <row r="32" spans="1:12" x14ac:dyDescent="0.25">
      <c r="B32" s="69"/>
      <c r="C32" s="69"/>
      <c r="G32" s="9" t="s">
        <v>28</v>
      </c>
      <c r="H32" s="18">
        <f t="shared" ref="H32:I32" si="11">H22</f>
        <v>12470.5</v>
      </c>
      <c r="I32" s="9" t="str">
        <f t="shared" si="11"/>
        <v>M3</v>
      </c>
      <c r="J32" s="18">
        <f t="shared" ref="J32:K32" si="12">$H22/$L22*J22</f>
        <v>2672.25</v>
      </c>
      <c r="K32" s="18">
        <f t="shared" si="12"/>
        <v>9798.25</v>
      </c>
      <c r="L32" s="18">
        <f t="shared" si="8"/>
        <v>12470.5</v>
      </c>
    </row>
    <row r="33" spans="2:12" x14ac:dyDescent="0.25">
      <c r="B33" s="13"/>
      <c r="C33" s="13"/>
      <c r="G33" s="9" t="s">
        <v>29</v>
      </c>
      <c r="H33" s="18">
        <f t="shared" ref="H33:I33" si="13">H23</f>
        <v>1740</v>
      </c>
      <c r="I33" s="9" t="str">
        <f t="shared" si="13"/>
        <v>Fob total S/</v>
      </c>
      <c r="J33" s="18">
        <f t="shared" ref="J33:K33" si="14">$H23/$L23*J23</f>
        <v>1015.6275303643724</v>
      </c>
      <c r="K33" s="18">
        <f t="shared" si="14"/>
        <v>724.37246963562768</v>
      </c>
      <c r="L33" s="18">
        <f t="shared" si="8"/>
        <v>1740</v>
      </c>
    </row>
    <row r="34" spans="2:12" x14ac:dyDescent="0.25">
      <c r="B34" s="13"/>
      <c r="C34" s="13"/>
      <c r="G34" s="9" t="s">
        <v>30</v>
      </c>
      <c r="H34" s="18">
        <f t="shared" ref="H34:I34" si="15">H24</f>
        <v>125</v>
      </c>
      <c r="I34" s="9" t="str">
        <f t="shared" si="15"/>
        <v>Fob total S/</v>
      </c>
      <c r="J34" s="18">
        <f t="shared" ref="J34:K34" si="16">$H24/$L24*J24</f>
        <v>72.961747871003766</v>
      </c>
      <c r="K34" s="18">
        <f t="shared" si="16"/>
        <v>52.038252128996234</v>
      </c>
      <c r="L34" s="18">
        <f t="shared" si="8"/>
        <v>125</v>
      </c>
    </row>
    <row r="35" spans="2:12" x14ac:dyDescent="0.25">
      <c r="G35" s="9" t="s">
        <v>174</v>
      </c>
      <c r="H35" s="18">
        <f t="shared" ref="H35:I35" si="17">H25</f>
        <v>452</v>
      </c>
      <c r="I35" s="9" t="str">
        <f t="shared" si="17"/>
        <v>M3</v>
      </c>
      <c r="J35" s="18">
        <f t="shared" ref="J35:K35" si="18">$H25/$L25*J25</f>
        <v>96.857142857142847</v>
      </c>
      <c r="K35" s="18">
        <f t="shared" si="18"/>
        <v>355.14285714285717</v>
      </c>
      <c r="L35" s="18">
        <f t="shared" si="8"/>
        <v>452</v>
      </c>
    </row>
    <row r="36" spans="2:12" x14ac:dyDescent="0.25">
      <c r="G36" s="8" t="s">
        <v>0</v>
      </c>
      <c r="H36" s="10">
        <f>SUM(H30:H35)</f>
        <v>22609.200000000001</v>
      </c>
      <c r="I36" s="9"/>
      <c r="J36" s="11">
        <f t="shared" ref="J36:L36" si="19">SUM(J30:J35)</f>
        <v>7246.8223630473176</v>
      </c>
      <c r="K36" s="11">
        <f t="shared" si="19"/>
        <v>15362.37763695268</v>
      </c>
      <c r="L36" s="10">
        <f t="shared" si="19"/>
        <v>22609.199999999997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BB1C0-154C-45DF-8304-2E6071EB8885}">
  <dimension ref="A1:H34"/>
  <sheetViews>
    <sheetView zoomScaleNormal="100" workbookViewId="0">
      <selection activeCell="A22" sqref="A22"/>
    </sheetView>
  </sheetViews>
  <sheetFormatPr baseColWidth="10" defaultRowHeight="13.8" x14ac:dyDescent="0.25"/>
  <cols>
    <col min="1" max="1" width="24.109375" style="4" customWidth="1"/>
    <col min="2" max="2" width="16.44140625" style="4" customWidth="1"/>
    <col min="3" max="3" width="13.6640625" style="4" customWidth="1"/>
    <col min="4" max="4" width="13.88671875" style="4" hidden="1" customWidth="1"/>
    <col min="5" max="5" width="15" style="4" customWidth="1"/>
    <col min="6" max="6" width="16.33203125" style="4" customWidth="1"/>
    <col min="7" max="7" width="13.88671875" style="4" customWidth="1"/>
    <col min="8" max="8" width="9.6640625" style="4" bestFit="1" customWidth="1"/>
    <col min="9" max="9" width="13" style="4" bestFit="1" customWidth="1"/>
    <col min="10" max="10" width="14.33203125" style="4" bestFit="1" customWidth="1"/>
    <col min="11" max="11" width="13.88671875" style="4" customWidth="1"/>
    <col min="12" max="256" width="11.44140625" style="4"/>
    <col min="257" max="257" width="24.109375" style="4" customWidth="1"/>
    <col min="258" max="258" width="16.44140625" style="4" customWidth="1"/>
    <col min="259" max="259" width="13.6640625" style="4" customWidth="1"/>
    <col min="260" max="260" width="0" style="4" hidden="1" customWidth="1"/>
    <col min="261" max="261" width="15" style="4" customWidth="1"/>
    <col min="262" max="262" width="16.33203125" style="4" customWidth="1"/>
    <col min="263" max="263" width="13.88671875" style="4" customWidth="1"/>
    <col min="264" max="264" width="9.6640625" style="4" bestFit="1" customWidth="1"/>
    <col min="265" max="265" width="13" style="4" bestFit="1" customWidth="1"/>
    <col min="266" max="266" width="14.33203125" style="4" bestFit="1" customWidth="1"/>
    <col min="267" max="267" width="13.88671875" style="4" customWidth="1"/>
    <col min="268" max="512" width="11.44140625" style="4"/>
    <col min="513" max="513" width="24.109375" style="4" customWidth="1"/>
    <col min="514" max="514" width="16.44140625" style="4" customWidth="1"/>
    <col min="515" max="515" width="13.6640625" style="4" customWidth="1"/>
    <col min="516" max="516" width="0" style="4" hidden="1" customWidth="1"/>
    <col min="517" max="517" width="15" style="4" customWidth="1"/>
    <col min="518" max="518" width="16.33203125" style="4" customWidth="1"/>
    <col min="519" max="519" width="13.88671875" style="4" customWidth="1"/>
    <col min="520" max="520" width="9.6640625" style="4" bestFit="1" customWidth="1"/>
    <col min="521" max="521" width="13" style="4" bestFit="1" customWidth="1"/>
    <col min="522" max="522" width="14.33203125" style="4" bestFit="1" customWidth="1"/>
    <col min="523" max="523" width="13.88671875" style="4" customWidth="1"/>
    <col min="524" max="768" width="11.44140625" style="4"/>
    <col min="769" max="769" width="24.109375" style="4" customWidth="1"/>
    <col min="770" max="770" width="16.44140625" style="4" customWidth="1"/>
    <col min="771" max="771" width="13.6640625" style="4" customWidth="1"/>
    <col min="772" max="772" width="0" style="4" hidden="1" customWidth="1"/>
    <col min="773" max="773" width="15" style="4" customWidth="1"/>
    <col min="774" max="774" width="16.33203125" style="4" customWidth="1"/>
    <col min="775" max="775" width="13.88671875" style="4" customWidth="1"/>
    <col min="776" max="776" width="9.6640625" style="4" bestFit="1" customWidth="1"/>
    <col min="777" max="777" width="13" style="4" bestFit="1" customWidth="1"/>
    <col min="778" max="778" width="14.33203125" style="4" bestFit="1" customWidth="1"/>
    <col min="779" max="779" width="13.88671875" style="4" customWidth="1"/>
    <col min="780" max="1024" width="11.44140625" style="4"/>
    <col min="1025" max="1025" width="24.109375" style="4" customWidth="1"/>
    <col min="1026" max="1026" width="16.44140625" style="4" customWidth="1"/>
    <col min="1027" max="1027" width="13.6640625" style="4" customWidth="1"/>
    <col min="1028" max="1028" width="0" style="4" hidden="1" customWidth="1"/>
    <col min="1029" max="1029" width="15" style="4" customWidth="1"/>
    <col min="1030" max="1030" width="16.33203125" style="4" customWidth="1"/>
    <col min="1031" max="1031" width="13.88671875" style="4" customWidth="1"/>
    <col min="1032" max="1032" width="9.6640625" style="4" bestFit="1" customWidth="1"/>
    <col min="1033" max="1033" width="13" style="4" bestFit="1" customWidth="1"/>
    <col min="1034" max="1034" width="14.33203125" style="4" bestFit="1" customWidth="1"/>
    <col min="1035" max="1035" width="13.88671875" style="4" customWidth="1"/>
    <col min="1036" max="1280" width="11.44140625" style="4"/>
    <col min="1281" max="1281" width="24.109375" style="4" customWidth="1"/>
    <col min="1282" max="1282" width="16.44140625" style="4" customWidth="1"/>
    <col min="1283" max="1283" width="13.6640625" style="4" customWidth="1"/>
    <col min="1284" max="1284" width="0" style="4" hidden="1" customWidth="1"/>
    <col min="1285" max="1285" width="15" style="4" customWidth="1"/>
    <col min="1286" max="1286" width="16.33203125" style="4" customWidth="1"/>
    <col min="1287" max="1287" width="13.88671875" style="4" customWidth="1"/>
    <col min="1288" max="1288" width="9.6640625" style="4" bestFit="1" customWidth="1"/>
    <col min="1289" max="1289" width="13" style="4" bestFit="1" customWidth="1"/>
    <col min="1290" max="1290" width="14.33203125" style="4" bestFit="1" customWidth="1"/>
    <col min="1291" max="1291" width="13.88671875" style="4" customWidth="1"/>
    <col min="1292" max="1536" width="11.44140625" style="4"/>
    <col min="1537" max="1537" width="24.109375" style="4" customWidth="1"/>
    <col min="1538" max="1538" width="16.44140625" style="4" customWidth="1"/>
    <col min="1539" max="1539" width="13.6640625" style="4" customWidth="1"/>
    <col min="1540" max="1540" width="0" style="4" hidden="1" customWidth="1"/>
    <col min="1541" max="1541" width="15" style="4" customWidth="1"/>
    <col min="1542" max="1542" width="16.33203125" style="4" customWidth="1"/>
    <col min="1543" max="1543" width="13.88671875" style="4" customWidth="1"/>
    <col min="1544" max="1544" width="9.6640625" style="4" bestFit="1" customWidth="1"/>
    <col min="1545" max="1545" width="13" style="4" bestFit="1" customWidth="1"/>
    <col min="1546" max="1546" width="14.33203125" style="4" bestFit="1" customWidth="1"/>
    <col min="1547" max="1547" width="13.88671875" style="4" customWidth="1"/>
    <col min="1548" max="1792" width="11.44140625" style="4"/>
    <col min="1793" max="1793" width="24.109375" style="4" customWidth="1"/>
    <col min="1794" max="1794" width="16.44140625" style="4" customWidth="1"/>
    <col min="1795" max="1795" width="13.6640625" style="4" customWidth="1"/>
    <col min="1796" max="1796" width="0" style="4" hidden="1" customWidth="1"/>
    <col min="1797" max="1797" width="15" style="4" customWidth="1"/>
    <col min="1798" max="1798" width="16.33203125" style="4" customWidth="1"/>
    <col min="1799" max="1799" width="13.88671875" style="4" customWidth="1"/>
    <col min="1800" max="1800" width="9.6640625" style="4" bestFit="1" customWidth="1"/>
    <col min="1801" max="1801" width="13" style="4" bestFit="1" customWidth="1"/>
    <col min="1802" max="1802" width="14.33203125" style="4" bestFit="1" customWidth="1"/>
    <col min="1803" max="1803" width="13.88671875" style="4" customWidth="1"/>
    <col min="1804" max="2048" width="11.44140625" style="4"/>
    <col min="2049" max="2049" width="24.109375" style="4" customWidth="1"/>
    <col min="2050" max="2050" width="16.44140625" style="4" customWidth="1"/>
    <col min="2051" max="2051" width="13.6640625" style="4" customWidth="1"/>
    <col min="2052" max="2052" width="0" style="4" hidden="1" customWidth="1"/>
    <col min="2053" max="2053" width="15" style="4" customWidth="1"/>
    <col min="2054" max="2054" width="16.33203125" style="4" customWidth="1"/>
    <col min="2055" max="2055" width="13.88671875" style="4" customWidth="1"/>
    <col min="2056" max="2056" width="9.6640625" style="4" bestFit="1" customWidth="1"/>
    <col min="2057" max="2057" width="13" style="4" bestFit="1" customWidth="1"/>
    <col min="2058" max="2058" width="14.33203125" style="4" bestFit="1" customWidth="1"/>
    <col min="2059" max="2059" width="13.88671875" style="4" customWidth="1"/>
    <col min="2060" max="2304" width="11.44140625" style="4"/>
    <col min="2305" max="2305" width="24.109375" style="4" customWidth="1"/>
    <col min="2306" max="2306" width="16.44140625" style="4" customWidth="1"/>
    <col min="2307" max="2307" width="13.6640625" style="4" customWidth="1"/>
    <col min="2308" max="2308" width="0" style="4" hidden="1" customWidth="1"/>
    <col min="2309" max="2309" width="15" style="4" customWidth="1"/>
    <col min="2310" max="2310" width="16.33203125" style="4" customWidth="1"/>
    <col min="2311" max="2311" width="13.88671875" style="4" customWidth="1"/>
    <col min="2312" max="2312" width="9.6640625" style="4" bestFit="1" customWidth="1"/>
    <col min="2313" max="2313" width="13" style="4" bestFit="1" customWidth="1"/>
    <col min="2314" max="2314" width="14.33203125" style="4" bestFit="1" customWidth="1"/>
    <col min="2315" max="2315" width="13.88671875" style="4" customWidth="1"/>
    <col min="2316" max="2560" width="11.44140625" style="4"/>
    <col min="2561" max="2561" width="24.109375" style="4" customWidth="1"/>
    <col min="2562" max="2562" width="16.44140625" style="4" customWidth="1"/>
    <col min="2563" max="2563" width="13.6640625" style="4" customWidth="1"/>
    <col min="2564" max="2564" width="0" style="4" hidden="1" customWidth="1"/>
    <col min="2565" max="2565" width="15" style="4" customWidth="1"/>
    <col min="2566" max="2566" width="16.33203125" style="4" customWidth="1"/>
    <col min="2567" max="2567" width="13.88671875" style="4" customWidth="1"/>
    <col min="2568" max="2568" width="9.6640625" style="4" bestFit="1" customWidth="1"/>
    <col min="2569" max="2569" width="13" style="4" bestFit="1" customWidth="1"/>
    <col min="2570" max="2570" width="14.33203125" style="4" bestFit="1" customWidth="1"/>
    <col min="2571" max="2571" width="13.88671875" style="4" customWidth="1"/>
    <col min="2572" max="2816" width="11.44140625" style="4"/>
    <col min="2817" max="2817" width="24.109375" style="4" customWidth="1"/>
    <col min="2818" max="2818" width="16.44140625" style="4" customWidth="1"/>
    <col min="2819" max="2819" width="13.6640625" style="4" customWidth="1"/>
    <col min="2820" max="2820" width="0" style="4" hidden="1" customWidth="1"/>
    <col min="2821" max="2821" width="15" style="4" customWidth="1"/>
    <col min="2822" max="2822" width="16.33203125" style="4" customWidth="1"/>
    <col min="2823" max="2823" width="13.88671875" style="4" customWidth="1"/>
    <col min="2824" max="2824" width="9.6640625" style="4" bestFit="1" customWidth="1"/>
    <col min="2825" max="2825" width="13" style="4" bestFit="1" customWidth="1"/>
    <col min="2826" max="2826" width="14.33203125" style="4" bestFit="1" customWidth="1"/>
    <col min="2827" max="2827" width="13.88671875" style="4" customWidth="1"/>
    <col min="2828" max="3072" width="11.44140625" style="4"/>
    <col min="3073" max="3073" width="24.109375" style="4" customWidth="1"/>
    <col min="3074" max="3074" width="16.44140625" style="4" customWidth="1"/>
    <col min="3075" max="3075" width="13.6640625" style="4" customWidth="1"/>
    <col min="3076" max="3076" width="0" style="4" hidden="1" customWidth="1"/>
    <col min="3077" max="3077" width="15" style="4" customWidth="1"/>
    <col min="3078" max="3078" width="16.33203125" style="4" customWidth="1"/>
    <col min="3079" max="3079" width="13.88671875" style="4" customWidth="1"/>
    <col min="3080" max="3080" width="9.6640625" style="4" bestFit="1" customWidth="1"/>
    <col min="3081" max="3081" width="13" style="4" bestFit="1" customWidth="1"/>
    <col min="3082" max="3082" width="14.33203125" style="4" bestFit="1" customWidth="1"/>
    <col min="3083" max="3083" width="13.88671875" style="4" customWidth="1"/>
    <col min="3084" max="3328" width="11.44140625" style="4"/>
    <col min="3329" max="3329" width="24.109375" style="4" customWidth="1"/>
    <col min="3330" max="3330" width="16.44140625" style="4" customWidth="1"/>
    <col min="3331" max="3331" width="13.6640625" style="4" customWidth="1"/>
    <col min="3332" max="3332" width="0" style="4" hidden="1" customWidth="1"/>
    <col min="3333" max="3333" width="15" style="4" customWidth="1"/>
    <col min="3334" max="3334" width="16.33203125" style="4" customWidth="1"/>
    <col min="3335" max="3335" width="13.88671875" style="4" customWidth="1"/>
    <col min="3336" max="3336" width="9.6640625" style="4" bestFit="1" customWidth="1"/>
    <col min="3337" max="3337" width="13" style="4" bestFit="1" customWidth="1"/>
    <col min="3338" max="3338" width="14.33203125" style="4" bestFit="1" customWidth="1"/>
    <col min="3339" max="3339" width="13.88671875" style="4" customWidth="1"/>
    <col min="3340" max="3584" width="11.44140625" style="4"/>
    <col min="3585" max="3585" width="24.109375" style="4" customWidth="1"/>
    <col min="3586" max="3586" width="16.44140625" style="4" customWidth="1"/>
    <col min="3587" max="3587" width="13.6640625" style="4" customWidth="1"/>
    <col min="3588" max="3588" width="0" style="4" hidden="1" customWidth="1"/>
    <col min="3589" max="3589" width="15" style="4" customWidth="1"/>
    <col min="3590" max="3590" width="16.33203125" style="4" customWidth="1"/>
    <col min="3591" max="3591" width="13.88671875" style="4" customWidth="1"/>
    <col min="3592" max="3592" width="9.6640625" style="4" bestFit="1" customWidth="1"/>
    <col min="3593" max="3593" width="13" style="4" bestFit="1" customWidth="1"/>
    <col min="3594" max="3594" width="14.33203125" style="4" bestFit="1" customWidth="1"/>
    <col min="3595" max="3595" width="13.88671875" style="4" customWidth="1"/>
    <col min="3596" max="3840" width="11.44140625" style="4"/>
    <col min="3841" max="3841" width="24.109375" style="4" customWidth="1"/>
    <col min="3842" max="3842" width="16.44140625" style="4" customWidth="1"/>
    <col min="3843" max="3843" width="13.6640625" style="4" customWidth="1"/>
    <col min="3844" max="3844" width="0" style="4" hidden="1" customWidth="1"/>
    <col min="3845" max="3845" width="15" style="4" customWidth="1"/>
    <col min="3846" max="3846" width="16.33203125" style="4" customWidth="1"/>
    <col min="3847" max="3847" width="13.88671875" style="4" customWidth="1"/>
    <col min="3848" max="3848" width="9.6640625" style="4" bestFit="1" customWidth="1"/>
    <col min="3849" max="3849" width="13" style="4" bestFit="1" customWidth="1"/>
    <col min="3850" max="3850" width="14.33203125" style="4" bestFit="1" customWidth="1"/>
    <col min="3851" max="3851" width="13.88671875" style="4" customWidth="1"/>
    <col min="3852" max="4096" width="11.44140625" style="4"/>
    <col min="4097" max="4097" width="24.109375" style="4" customWidth="1"/>
    <col min="4098" max="4098" width="16.44140625" style="4" customWidth="1"/>
    <col min="4099" max="4099" width="13.6640625" style="4" customWidth="1"/>
    <col min="4100" max="4100" width="0" style="4" hidden="1" customWidth="1"/>
    <col min="4101" max="4101" width="15" style="4" customWidth="1"/>
    <col min="4102" max="4102" width="16.33203125" style="4" customWidth="1"/>
    <col min="4103" max="4103" width="13.88671875" style="4" customWidth="1"/>
    <col min="4104" max="4104" width="9.6640625" style="4" bestFit="1" customWidth="1"/>
    <col min="4105" max="4105" width="13" style="4" bestFit="1" customWidth="1"/>
    <col min="4106" max="4106" width="14.33203125" style="4" bestFit="1" customWidth="1"/>
    <col min="4107" max="4107" width="13.88671875" style="4" customWidth="1"/>
    <col min="4108" max="4352" width="11.44140625" style="4"/>
    <col min="4353" max="4353" width="24.109375" style="4" customWidth="1"/>
    <col min="4354" max="4354" width="16.44140625" style="4" customWidth="1"/>
    <col min="4355" max="4355" width="13.6640625" style="4" customWidth="1"/>
    <col min="4356" max="4356" width="0" style="4" hidden="1" customWidth="1"/>
    <col min="4357" max="4357" width="15" style="4" customWidth="1"/>
    <col min="4358" max="4358" width="16.33203125" style="4" customWidth="1"/>
    <col min="4359" max="4359" width="13.88671875" style="4" customWidth="1"/>
    <col min="4360" max="4360" width="9.6640625" style="4" bestFit="1" customWidth="1"/>
    <col min="4361" max="4361" width="13" style="4" bestFit="1" customWidth="1"/>
    <col min="4362" max="4362" width="14.33203125" style="4" bestFit="1" customWidth="1"/>
    <col min="4363" max="4363" width="13.88671875" style="4" customWidth="1"/>
    <col min="4364" max="4608" width="11.44140625" style="4"/>
    <col min="4609" max="4609" width="24.109375" style="4" customWidth="1"/>
    <col min="4610" max="4610" width="16.44140625" style="4" customWidth="1"/>
    <col min="4611" max="4611" width="13.6640625" style="4" customWidth="1"/>
    <col min="4612" max="4612" width="0" style="4" hidden="1" customWidth="1"/>
    <col min="4613" max="4613" width="15" style="4" customWidth="1"/>
    <col min="4614" max="4614" width="16.33203125" style="4" customWidth="1"/>
    <col min="4615" max="4615" width="13.88671875" style="4" customWidth="1"/>
    <col min="4616" max="4616" width="9.6640625" style="4" bestFit="1" customWidth="1"/>
    <col min="4617" max="4617" width="13" style="4" bestFit="1" customWidth="1"/>
    <col min="4618" max="4618" width="14.33203125" style="4" bestFit="1" customWidth="1"/>
    <col min="4619" max="4619" width="13.88671875" style="4" customWidth="1"/>
    <col min="4620" max="4864" width="11.44140625" style="4"/>
    <col min="4865" max="4865" width="24.109375" style="4" customWidth="1"/>
    <col min="4866" max="4866" width="16.44140625" style="4" customWidth="1"/>
    <col min="4867" max="4867" width="13.6640625" style="4" customWidth="1"/>
    <col min="4868" max="4868" width="0" style="4" hidden="1" customWidth="1"/>
    <col min="4869" max="4869" width="15" style="4" customWidth="1"/>
    <col min="4870" max="4870" width="16.33203125" style="4" customWidth="1"/>
    <col min="4871" max="4871" width="13.88671875" style="4" customWidth="1"/>
    <col min="4872" max="4872" width="9.6640625" style="4" bestFit="1" customWidth="1"/>
    <col min="4873" max="4873" width="13" style="4" bestFit="1" customWidth="1"/>
    <col min="4874" max="4874" width="14.33203125" style="4" bestFit="1" customWidth="1"/>
    <col min="4875" max="4875" width="13.88671875" style="4" customWidth="1"/>
    <col min="4876" max="5120" width="11.44140625" style="4"/>
    <col min="5121" max="5121" width="24.109375" style="4" customWidth="1"/>
    <col min="5122" max="5122" width="16.44140625" style="4" customWidth="1"/>
    <col min="5123" max="5123" width="13.6640625" style="4" customWidth="1"/>
    <col min="5124" max="5124" width="0" style="4" hidden="1" customWidth="1"/>
    <col min="5125" max="5125" width="15" style="4" customWidth="1"/>
    <col min="5126" max="5126" width="16.33203125" style="4" customWidth="1"/>
    <col min="5127" max="5127" width="13.88671875" style="4" customWidth="1"/>
    <col min="5128" max="5128" width="9.6640625" style="4" bestFit="1" customWidth="1"/>
    <col min="5129" max="5129" width="13" style="4" bestFit="1" customWidth="1"/>
    <col min="5130" max="5130" width="14.33203125" style="4" bestFit="1" customWidth="1"/>
    <col min="5131" max="5131" width="13.88671875" style="4" customWidth="1"/>
    <col min="5132" max="5376" width="11.44140625" style="4"/>
    <col min="5377" max="5377" width="24.109375" style="4" customWidth="1"/>
    <col min="5378" max="5378" width="16.44140625" style="4" customWidth="1"/>
    <col min="5379" max="5379" width="13.6640625" style="4" customWidth="1"/>
    <col min="5380" max="5380" width="0" style="4" hidden="1" customWidth="1"/>
    <col min="5381" max="5381" width="15" style="4" customWidth="1"/>
    <col min="5382" max="5382" width="16.33203125" style="4" customWidth="1"/>
    <col min="5383" max="5383" width="13.88671875" style="4" customWidth="1"/>
    <col min="5384" max="5384" width="9.6640625" style="4" bestFit="1" customWidth="1"/>
    <col min="5385" max="5385" width="13" style="4" bestFit="1" customWidth="1"/>
    <col min="5386" max="5386" width="14.33203125" style="4" bestFit="1" customWidth="1"/>
    <col min="5387" max="5387" width="13.88671875" style="4" customWidth="1"/>
    <col min="5388" max="5632" width="11.44140625" style="4"/>
    <col min="5633" max="5633" width="24.109375" style="4" customWidth="1"/>
    <col min="5634" max="5634" width="16.44140625" style="4" customWidth="1"/>
    <col min="5635" max="5635" width="13.6640625" style="4" customWidth="1"/>
    <col min="5636" max="5636" width="0" style="4" hidden="1" customWidth="1"/>
    <col min="5637" max="5637" width="15" style="4" customWidth="1"/>
    <col min="5638" max="5638" width="16.33203125" style="4" customWidth="1"/>
    <col min="5639" max="5639" width="13.88671875" style="4" customWidth="1"/>
    <col min="5640" max="5640" width="9.6640625" style="4" bestFit="1" customWidth="1"/>
    <col min="5641" max="5641" width="13" style="4" bestFit="1" customWidth="1"/>
    <col min="5642" max="5642" width="14.33203125" style="4" bestFit="1" customWidth="1"/>
    <col min="5643" max="5643" width="13.88671875" style="4" customWidth="1"/>
    <col min="5644" max="5888" width="11.44140625" style="4"/>
    <col min="5889" max="5889" width="24.109375" style="4" customWidth="1"/>
    <col min="5890" max="5890" width="16.44140625" style="4" customWidth="1"/>
    <col min="5891" max="5891" width="13.6640625" style="4" customWidth="1"/>
    <col min="5892" max="5892" width="0" style="4" hidden="1" customWidth="1"/>
    <col min="5893" max="5893" width="15" style="4" customWidth="1"/>
    <col min="5894" max="5894" width="16.33203125" style="4" customWidth="1"/>
    <col min="5895" max="5895" width="13.88671875" style="4" customWidth="1"/>
    <col min="5896" max="5896" width="9.6640625" style="4" bestFit="1" customWidth="1"/>
    <col min="5897" max="5897" width="13" style="4" bestFit="1" customWidth="1"/>
    <col min="5898" max="5898" width="14.33203125" style="4" bestFit="1" customWidth="1"/>
    <col min="5899" max="5899" width="13.88671875" style="4" customWidth="1"/>
    <col min="5900" max="6144" width="11.44140625" style="4"/>
    <col min="6145" max="6145" width="24.109375" style="4" customWidth="1"/>
    <col min="6146" max="6146" width="16.44140625" style="4" customWidth="1"/>
    <col min="6147" max="6147" width="13.6640625" style="4" customWidth="1"/>
    <col min="6148" max="6148" width="0" style="4" hidden="1" customWidth="1"/>
    <col min="6149" max="6149" width="15" style="4" customWidth="1"/>
    <col min="6150" max="6150" width="16.33203125" style="4" customWidth="1"/>
    <col min="6151" max="6151" width="13.88671875" style="4" customWidth="1"/>
    <col min="6152" max="6152" width="9.6640625" style="4" bestFit="1" customWidth="1"/>
    <col min="6153" max="6153" width="13" style="4" bestFit="1" customWidth="1"/>
    <col min="6154" max="6154" width="14.33203125" style="4" bestFit="1" customWidth="1"/>
    <col min="6155" max="6155" width="13.88671875" style="4" customWidth="1"/>
    <col min="6156" max="6400" width="11.44140625" style="4"/>
    <col min="6401" max="6401" width="24.109375" style="4" customWidth="1"/>
    <col min="6402" max="6402" width="16.44140625" style="4" customWidth="1"/>
    <col min="6403" max="6403" width="13.6640625" style="4" customWidth="1"/>
    <col min="6404" max="6404" width="0" style="4" hidden="1" customWidth="1"/>
    <col min="6405" max="6405" width="15" style="4" customWidth="1"/>
    <col min="6406" max="6406" width="16.33203125" style="4" customWidth="1"/>
    <col min="6407" max="6407" width="13.88671875" style="4" customWidth="1"/>
    <col min="6408" max="6408" width="9.6640625" style="4" bestFit="1" customWidth="1"/>
    <col min="6409" max="6409" width="13" style="4" bestFit="1" customWidth="1"/>
    <col min="6410" max="6410" width="14.33203125" style="4" bestFit="1" customWidth="1"/>
    <col min="6411" max="6411" width="13.88671875" style="4" customWidth="1"/>
    <col min="6412" max="6656" width="11.44140625" style="4"/>
    <col min="6657" max="6657" width="24.109375" style="4" customWidth="1"/>
    <col min="6658" max="6658" width="16.44140625" style="4" customWidth="1"/>
    <col min="6659" max="6659" width="13.6640625" style="4" customWidth="1"/>
    <col min="6660" max="6660" width="0" style="4" hidden="1" customWidth="1"/>
    <col min="6661" max="6661" width="15" style="4" customWidth="1"/>
    <col min="6662" max="6662" width="16.33203125" style="4" customWidth="1"/>
    <col min="6663" max="6663" width="13.88671875" style="4" customWidth="1"/>
    <col min="6664" max="6664" width="9.6640625" style="4" bestFit="1" customWidth="1"/>
    <col min="6665" max="6665" width="13" style="4" bestFit="1" customWidth="1"/>
    <col min="6666" max="6666" width="14.33203125" style="4" bestFit="1" customWidth="1"/>
    <col min="6667" max="6667" width="13.88671875" style="4" customWidth="1"/>
    <col min="6668" max="6912" width="11.44140625" style="4"/>
    <col min="6913" max="6913" width="24.109375" style="4" customWidth="1"/>
    <col min="6914" max="6914" width="16.44140625" style="4" customWidth="1"/>
    <col min="6915" max="6915" width="13.6640625" style="4" customWidth="1"/>
    <col min="6916" max="6916" width="0" style="4" hidden="1" customWidth="1"/>
    <col min="6917" max="6917" width="15" style="4" customWidth="1"/>
    <col min="6918" max="6918" width="16.33203125" style="4" customWidth="1"/>
    <col min="6919" max="6919" width="13.88671875" style="4" customWidth="1"/>
    <col min="6920" max="6920" width="9.6640625" style="4" bestFit="1" customWidth="1"/>
    <col min="6921" max="6921" width="13" style="4" bestFit="1" customWidth="1"/>
    <col min="6922" max="6922" width="14.33203125" style="4" bestFit="1" customWidth="1"/>
    <col min="6923" max="6923" width="13.88671875" style="4" customWidth="1"/>
    <col min="6924" max="7168" width="11.44140625" style="4"/>
    <col min="7169" max="7169" width="24.109375" style="4" customWidth="1"/>
    <col min="7170" max="7170" width="16.44140625" style="4" customWidth="1"/>
    <col min="7171" max="7171" width="13.6640625" style="4" customWidth="1"/>
    <col min="7172" max="7172" width="0" style="4" hidden="1" customWidth="1"/>
    <col min="7173" max="7173" width="15" style="4" customWidth="1"/>
    <col min="7174" max="7174" width="16.33203125" style="4" customWidth="1"/>
    <col min="7175" max="7175" width="13.88671875" style="4" customWidth="1"/>
    <col min="7176" max="7176" width="9.6640625" style="4" bestFit="1" customWidth="1"/>
    <col min="7177" max="7177" width="13" style="4" bestFit="1" customWidth="1"/>
    <col min="7178" max="7178" width="14.33203125" style="4" bestFit="1" customWidth="1"/>
    <col min="7179" max="7179" width="13.88671875" style="4" customWidth="1"/>
    <col min="7180" max="7424" width="11.44140625" style="4"/>
    <col min="7425" max="7425" width="24.109375" style="4" customWidth="1"/>
    <col min="7426" max="7426" width="16.44140625" style="4" customWidth="1"/>
    <col min="7427" max="7427" width="13.6640625" style="4" customWidth="1"/>
    <col min="7428" max="7428" width="0" style="4" hidden="1" customWidth="1"/>
    <col min="7429" max="7429" width="15" style="4" customWidth="1"/>
    <col min="7430" max="7430" width="16.33203125" style="4" customWidth="1"/>
    <col min="7431" max="7431" width="13.88671875" style="4" customWidth="1"/>
    <col min="7432" max="7432" width="9.6640625" style="4" bestFit="1" customWidth="1"/>
    <col min="7433" max="7433" width="13" style="4" bestFit="1" customWidth="1"/>
    <col min="7434" max="7434" width="14.33203125" style="4" bestFit="1" customWidth="1"/>
    <col min="7435" max="7435" width="13.88671875" style="4" customWidth="1"/>
    <col min="7436" max="7680" width="11.44140625" style="4"/>
    <col min="7681" max="7681" width="24.109375" style="4" customWidth="1"/>
    <col min="7682" max="7682" width="16.44140625" style="4" customWidth="1"/>
    <col min="7683" max="7683" width="13.6640625" style="4" customWidth="1"/>
    <col min="7684" max="7684" width="0" style="4" hidden="1" customWidth="1"/>
    <col min="7685" max="7685" width="15" style="4" customWidth="1"/>
    <col min="7686" max="7686" width="16.33203125" style="4" customWidth="1"/>
    <col min="7687" max="7687" width="13.88671875" style="4" customWidth="1"/>
    <col min="7688" max="7688" width="9.6640625" style="4" bestFit="1" customWidth="1"/>
    <col min="7689" max="7689" width="13" style="4" bestFit="1" customWidth="1"/>
    <col min="7690" max="7690" width="14.33203125" style="4" bestFit="1" customWidth="1"/>
    <col min="7691" max="7691" width="13.88671875" style="4" customWidth="1"/>
    <col min="7692" max="7936" width="11.44140625" style="4"/>
    <col min="7937" max="7937" width="24.109375" style="4" customWidth="1"/>
    <col min="7938" max="7938" width="16.44140625" style="4" customWidth="1"/>
    <col min="7939" max="7939" width="13.6640625" style="4" customWidth="1"/>
    <col min="7940" max="7940" width="0" style="4" hidden="1" customWidth="1"/>
    <col min="7941" max="7941" width="15" style="4" customWidth="1"/>
    <col min="7942" max="7942" width="16.33203125" style="4" customWidth="1"/>
    <col min="7943" max="7943" width="13.88671875" style="4" customWidth="1"/>
    <col min="7944" max="7944" width="9.6640625" style="4" bestFit="1" customWidth="1"/>
    <col min="7945" max="7945" width="13" style="4" bestFit="1" customWidth="1"/>
    <col min="7946" max="7946" width="14.33203125" style="4" bestFit="1" customWidth="1"/>
    <col min="7947" max="7947" width="13.88671875" style="4" customWidth="1"/>
    <col min="7948" max="8192" width="11.44140625" style="4"/>
    <col min="8193" max="8193" width="24.109375" style="4" customWidth="1"/>
    <col min="8194" max="8194" width="16.44140625" style="4" customWidth="1"/>
    <col min="8195" max="8195" width="13.6640625" style="4" customWidth="1"/>
    <col min="8196" max="8196" width="0" style="4" hidden="1" customWidth="1"/>
    <col min="8197" max="8197" width="15" style="4" customWidth="1"/>
    <col min="8198" max="8198" width="16.33203125" style="4" customWidth="1"/>
    <col min="8199" max="8199" width="13.88671875" style="4" customWidth="1"/>
    <col min="8200" max="8200" width="9.6640625" style="4" bestFit="1" customWidth="1"/>
    <col min="8201" max="8201" width="13" style="4" bestFit="1" customWidth="1"/>
    <col min="8202" max="8202" width="14.33203125" style="4" bestFit="1" customWidth="1"/>
    <col min="8203" max="8203" width="13.88671875" style="4" customWidth="1"/>
    <col min="8204" max="8448" width="11.44140625" style="4"/>
    <col min="8449" max="8449" width="24.109375" style="4" customWidth="1"/>
    <col min="8450" max="8450" width="16.44140625" style="4" customWidth="1"/>
    <col min="8451" max="8451" width="13.6640625" style="4" customWidth="1"/>
    <col min="8452" max="8452" width="0" style="4" hidden="1" customWidth="1"/>
    <col min="8453" max="8453" width="15" style="4" customWidth="1"/>
    <col min="8454" max="8454" width="16.33203125" style="4" customWidth="1"/>
    <col min="8455" max="8455" width="13.88671875" style="4" customWidth="1"/>
    <col min="8456" max="8456" width="9.6640625" style="4" bestFit="1" customWidth="1"/>
    <col min="8457" max="8457" width="13" style="4" bestFit="1" customWidth="1"/>
    <col min="8458" max="8458" width="14.33203125" style="4" bestFit="1" customWidth="1"/>
    <col min="8459" max="8459" width="13.88671875" style="4" customWidth="1"/>
    <col min="8460" max="8704" width="11.44140625" style="4"/>
    <col min="8705" max="8705" width="24.109375" style="4" customWidth="1"/>
    <col min="8706" max="8706" width="16.44140625" style="4" customWidth="1"/>
    <col min="8707" max="8707" width="13.6640625" style="4" customWidth="1"/>
    <col min="8708" max="8708" width="0" style="4" hidden="1" customWidth="1"/>
    <col min="8709" max="8709" width="15" style="4" customWidth="1"/>
    <col min="8710" max="8710" width="16.33203125" style="4" customWidth="1"/>
    <col min="8711" max="8711" width="13.88671875" style="4" customWidth="1"/>
    <col min="8712" max="8712" width="9.6640625" style="4" bestFit="1" customWidth="1"/>
    <col min="8713" max="8713" width="13" style="4" bestFit="1" customWidth="1"/>
    <col min="8714" max="8714" width="14.33203125" style="4" bestFit="1" customWidth="1"/>
    <col min="8715" max="8715" width="13.88671875" style="4" customWidth="1"/>
    <col min="8716" max="8960" width="11.44140625" style="4"/>
    <col min="8961" max="8961" width="24.109375" style="4" customWidth="1"/>
    <col min="8962" max="8962" width="16.44140625" style="4" customWidth="1"/>
    <col min="8963" max="8963" width="13.6640625" style="4" customWidth="1"/>
    <col min="8964" max="8964" width="0" style="4" hidden="1" customWidth="1"/>
    <col min="8965" max="8965" width="15" style="4" customWidth="1"/>
    <col min="8966" max="8966" width="16.33203125" style="4" customWidth="1"/>
    <col min="8967" max="8967" width="13.88671875" style="4" customWidth="1"/>
    <col min="8968" max="8968" width="9.6640625" style="4" bestFit="1" customWidth="1"/>
    <col min="8969" max="8969" width="13" style="4" bestFit="1" customWidth="1"/>
    <col min="8970" max="8970" width="14.33203125" style="4" bestFit="1" customWidth="1"/>
    <col min="8971" max="8971" width="13.88671875" style="4" customWidth="1"/>
    <col min="8972" max="9216" width="11.44140625" style="4"/>
    <col min="9217" max="9217" width="24.109375" style="4" customWidth="1"/>
    <col min="9218" max="9218" width="16.44140625" style="4" customWidth="1"/>
    <col min="9219" max="9219" width="13.6640625" style="4" customWidth="1"/>
    <col min="9220" max="9220" width="0" style="4" hidden="1" customWidth="1"/>
    <col min="9221" max="9221" width="15" style="4" customWidth="1"/>
    <col min="9222" max="9222" width="16.33203125" style="4" customWidth="1"/>
    <col min="9223" max="9223" width="13.88671875" style="4" customWidth="1"/>
    <col min="9224" max="9224" width="9.6640625" style="4" bestFit="1" customWidth="1"/>
    <col min="9225" max="9225" width="13" style="4" bestFit="1" customWidth="1"/>
    <col min="9226" max="9226" width="14.33203125" style="4" bestFit="1" customWidth="1"/>
    <col min="9227" max="9227" width="13.88671875" style="4" customWidth="1"/>
    <col min="9228" max="9472" width="11.44140625" style="4"/>
    <col min="9473" max="9473" width="24.109375" style="4" customWidth="1"/>
    <col min="9474" max="9474" width="16.44140625" style="4" customWidth="1"/>
    <col min="9475" max="9475" width="13.6640625" style="4" customWidth="1"/>
    <col min="9476" max="9476" width="0" style="4" hidden="1" customWidth="1"/>
    <col min="9477" max="9477" width="15" style="4" customWidth="1"/>
    <col min="9478" max="9478" width="16.33203125" style="4" customWidth="1"/>
    <col min="9479" max="9479" width="13.88671875" style="4" customWidth="1"/>
    <col min="9480" max="9480" width="9.6640625" style="4" bestFit="1" customWidth="1"/>
    <col min="9481" max="9481" width="13" style="4" bestFit="1" customWidth="1"/>
    <col min="9482" max="9482" width="14.33203125" style="4" bestFit="1" customWidth="1"/>
    <col min="9483" max="9483" width="13.88671875" style="4" customWidth="1"/>
    <col min="9484" max="9728" width="11.44140625" style="4"/>
    <col min="9729" max="9729" width="24.109375" style="4" customWidth="1"/>
    <col min="9730" max="9730" width="16.44140625" style="4" customWidth="1"/>
    <col min="9731" max="9731" width="13.6640625" style="4" customWidth="1"/>
    <col min="9732" max="9732" width="0" style="4" hidden="1" customWidth="1"/>
    <col min="9733" max="9733" width="15" style="4" customWidth="1"/>
    <col min="9734" max="9734" width="16.33203125" style="4" customWidth="1"/>
    <col min="9735" max="9735" width="13.88671875" style="4" customWidth="1"/>
    <col min="9736" max="9736" width="9.6640625" style="4" bestFit="1" customWidth="1"/>
    <col min="9737" max="9737" width="13" style="4" bestFit="1" customWidth="1"/>
    <col min="9738" max="9738" width="14.33203125" style="4" bestFit="1" customWidth="1"/>
    <col min="9739" max="9739" width="13.88671875" style="4" customWidth="1"/>
    <col min="9740" max="9984" width="11.44140625" style="4"/>
    <col min="9985" max="9985" width="24.109375" style="4" customWidth="1"/>
    <col min="9986" max="9986" width="16.44140625" style="4" customWidth="1"/>
    <col min="9987" max="9987" width="13.6640625" style="4" customWidth="1"/>
    <col min="9988" max="9988" width="0" style="4" hidden="1" customWidth="1"/>
    <col min="9989" max="9989" width="15" style="4" customWidth="1"/>
    <col min="9990" max="9990" width="16.33203125" style="4" customWidth="1"/>
    <col min="9991" max="9991" width="13.88671875" style="4" customWidth="1"/>
    <col min="9992" max="9992" width="9.6640625" style="4" bestFit="1" customWidth="1"/>
    <col min="9993" max="9993" width="13" style="4" bestFit="1" customWidth="1"/>
    <col min="9994" max="9994" width="14.33203125" style="4" bestFit="1" customWidth="1"/>
    <col min="9995" max="9995" width="13.88671875" style="4" customWidth="1"/>
    <col min="9996" max="10240" width="11.44140625" style="4"/>
    <col min="10241" max="10241" width="24.109375" style="4" customWidth="1"/>
    <col min="10242" max="10242" width="16.44140625" style="4" customWidth="1"/>
    <col min="10243" max="10243" width="13.6640625" style="4" customWidth="1"/>
    <col min="10244" max="10244" width="0" style="4" hidden="1" customWidth="1"/>
    <col min="10245" max="10245" width="15" style="4" customWidth="1"/>
    <col min="10246" max="10246" width="16.33203125" style="4" customWidth="1"/>
    <col min="10247" max="10247" width="13.88671875" style="4" customWidth="1"/>
    <col min="10248" max="10248" width="9.6640625" style="4" bestFit="1" customWidth="1"/>
    <col min="10249" max="10249" width="13" style="4" bestFit="1" customWidth="1"/>
    <col min="10250" max="10250" width="14.33203125" style="4" bestFit="1" customWidth="1"/>
    <col min="10251" max="10251" width="13.88671875" style="4" customWidth="1"/>
    <col min="10252" max="10496" width="11.44140625" style="4"/>
    <col min="10497" max="10497" width="24.109375" style="4" customWidth="1"/>
    <col min="10498" max="10498" width="16.44140625" style="4" customWidth="1"/>
    <col min="10499" max="10499" width="13.6640625" style="4" customWidth="1"/>
    <col min="10500" max="10500" width="0" style="4" hidden="1" customWidth="1"/>
    <col min="10501" max="10501" width="15" style="4" customWidth="1"/>
    <col min="10502" max="10502" width="16.33203125" style="4" customWidth="1"/>
    <col min="10503" max="10503" width="13.88671875" style="4" customWidth="1"/>
    <col min="10504" max="10504" width="9.6640625" style="4" bestFit="1" customWidth="1"/>
    <col min="10505" max="10505" width="13" style="4" bestFit="1" customWidth="1"/>
    <col min="10506" max="10506" width="14.33203125" style="4" bestFit="1" customWidth="1"/>
    <col min="10507" max="10507" width="13.88671875" style="4" customWidth="1"/>
    <col min="10508" max="10752" width="11.44140625" style="4"/>
    <col min="10753" max="10753" width="24.109375" style="4" customWidth="1"/>
    <col min="10754" max="10754" width="16.44140625" style="4" customWidth="1"/>
    <col min="10755" max="10755" width="13.6640625" style="4" customWidth="1"/>
    <col min="10756" max="10756" width="0" style="4" hidden="1" customWidth="1"/>
    <col min="10757" max="10757" width="15" style="4" customWidth="1"/>
    <col min="10758" max="10758" width="16.33203125" style="4" customWidth="1"/>
    <col min="10759" max="10759" width="13.88671875" style="4" customWidth="1"/>
    <col min="10760" max="10760" width="9.6640625" style="4" bestFit="1" customWidth="1"/>
    <col min="10761" max="10761" width="13" style="4" bestFit="1" customWidth="1"/>
    <col min="10762" max="10762" width="14.33203125" style="4" bestFit="1" customWidth="1"/>
    <col min="10763" max="10763" width="13.88671875" style="4" customWidth="1"/>
    <col min="10764" max="11008" width="11.44140625" style="4"/>
    <col min="11009" max="11009" width="24.109375" style="4" customWidth="1"/>
    <col min="11010" max="11010" width="16.44140625" style="4" customWidth="1"/>
    <col min="11011" max="11011" width="13.6640625" style="4" customWidth="1"/>
    <col min="11012" max="11012" width="0" style="4" hidden="1" customWidth="1"/>
    <col min="11013" max="11013" width="15" style="4" customWidth="1"/>
    <col min="11014" max="11014" width="16.33203125" style="4" customWidth="1"/>
    <col min="11015" max="11015" width="13.88671875" style="4" customWidth="1"/>
    <col min="11016" max="11016" width="9.6640625" style="4" bestFit="1" customWidth="1"/>
    <col min="11017" max="11017" width="13" style="4" bestFit="1" customWidth="1"/>
    <col min="11018" max="11018" width="14.33203125" style="4" bestFit="1" customWidth="1"/>
    <col min="11019" max="11019" width="13.88671875" style="4" customWidth="1"/>
    <col min="11020" max="11264" width="11.44140625" style="4"/>
    <col min="11265" max="11265" width="24.109375" style="4" customWidth="1"/>
    <col min="11266" max="11266" width="16.44140625" style="4" customWidth="1"/>
    <col min="11267" max="11267" width="13.6640625" style="4" customWidth="1"/>
    <col min="11268" max="11268" width="0" style="4" hidden="1" customWidth="1"/>
    <col min="11269" max="11269" width="15" style="4" customWidth="1"/>
    <col min="11270" max="11270" width="16.33203125" style="4" customWidth="1"/>
    <col min="11271" max="11271" width="13.88671875" style="4" customWidth="1"/>
    <col min="11272" max="11272" width="9.6640625" style="4" bestFit="1" customWidth="1"/>
    <col min="11273" max="11273" width="13" style="4" bestFit="1" customWidth="1"/>
    <col min="11274" max="11274" width="14.33203125" style="4" bestFit="1" customWidth="1"/>
    <col min="11275" max="11275" width="13.88671875" style="4" customWidth="1"/>
    <col min="11276" max="11520" width="11.44140625" style="4"/>
    <col min="11521" max="11521" width="24.109375" style="4" customWidth="1"/>
    <col min="11522" max="11522" width="16.44140625" style="4" customWidth="1"/>
    <col min="11523" max="11523" width="13.6640625" style="4" customWidth="1"/>
    <col min="11524" max="11524" width="0" style="4" hidden="1" customWidth="1"/>
    <col min="11525" max="11525" width="15" style="4" customWidth="1"/>
    <col min="11526" max="11526" width="16.33203125" style="4" customWidth="1"/>
    <col min="11527" max="11527" width="13.88671875" style="4" customWidth="1"/>
    <col min="11528" max="11528" width="9.6640625" style="4" bestFit="1" customWidth="1"/>
    <col min="11529" max="11529" width="13" style="4" bestFit="1" customWidth="1"/>
    <col min="11530" max="11530" width="14.33203125" style="4" bestFit="1" customWidth="1"/>
    <col min="11531" max="11531" width="13.88671875" style="4" customWidth="1"/>
    <col min="11532" max="11776" width="11.44140625" style="4"/>
    <col min="11777" max="11777" width="24.109375" style="4" customWidth="1"/>
    <col min="11778" max="11778" width="16.44140625" style="4" customWidth="1"/>
    <col min="11779" max="11779" width="13.6640625" style="4" customWidth="1"/>
    <col min="11780" max="11780" width="0" style="4" hidden="1" customWidth="1"/>
    <col min="11781" max="11781" width="15" style="4" customWidth="1"/>
    <col min="11782" max="11782" width="16.33203125" style="4" customWidth="1"/>
    <col min="11783" max="11783" width="13.88671875" style="4" customWidth="1"/>
    <col min="11784" max="11784" width="9.6640625" style="4" bestFit="1" customWidth="1"/>
    <col min="11785" max="11785" width="13" style="4" bestFit="1" customWidth="1"/>
    <col min="11786" max="11786" width="14.33203125" style="4" bestFit="1" customWidth="1"/>
    <col min="11787" max="11787" width="13.88671875" style="4" customWidth="1"/>
    <col min="11788" max="12032" width="11.44140625" style="4"/>
    <col min="12033" max="12033" width="24.109375" style="4" customWidth="1"/>
    <col min="12034" max="12034" width="16.44140625" style="4" customWidth="1"/>
    <col min="12035" max="12035" width="13.6640625" style="4" customWidth="1"/>
    <col min="12036" max="12036" width="0" style="4" hidden="1" customWidth="1"/>
    <col min="12037" max="12037" width="15" style="4" customWidth="1"/>
    <col min="12038" max="12038" width="16.33203125" style="4" customWidth="1"/>
    <col min="12039" max="12039" width="13.88671875" style="4" customWidth="1"/>
    <col min="12040" max="12040" width="9.6640625" style="4" bestFit="1" customWidth="1"/>
    <col min="12041" max="12041" width="13" style="4" bestFit="1" customWidth="1"/>
    <col min="12042" max="12042" width="14.33203125" style="4" bestFit="1" customWidth="1"/>
    <col min="12043" max="12043" width="13.88671875" style="4" customWidth="1"/>
    <col min="12044" max="12288" width="11.44140625" style="4"/>
    <col min="12289" max="12289" width="24.109375" style="4" customWidth="1"/>
    <col min="12290" max="12290" width="16.44140625" style="4" customWidth="1"/>
    <col min="12291" max="12291" width="13.6640625" style="4" customWidth="1"/>
    <col min="12292" max="12292" width="0" style="4" hidden="1" customWidth="1"/>
    <col min="12293" max="12293" width="15" style="4" customWidth="1"/>
    <col min="12294" max="12294" width="16.33203125" style="4" customWidth="1"/>
    <col min="12295" max="12295" width="13.88671875" style="4" customWidth="1"/>
    <col min="12296" max="12296" width="9.6640625" style="4" bestFit="1" customWidth="1"/>
    <col min="12297" max="12297" width="13" style="4" bestFit="1" customWidth="1"/>
    <col min="12298" max="12298" width="14.33203125" style="4" bestFit="1" customWidth="1"/>
    <col min="12299" max="12299" width="13.88671875" style="4" customWidth="1"/>
    <col min="12300" max="12544" width="11.44140625" style="4"/>
    <col min="12545" max="12545" width="24.109375" style="4" customWidth="1"/>
    <col min="12546" max="12546" width="16.44140625" style="4" customWidth="1"/>
    <col min="12547" max="12547" width="13.6640625" style="4" customWidth="1"/>
    <col min="12548" max="12548" width="0" style="4" hidden="1" customWidth="1"/>
    <col min="12549" max="12549" width="15" style="4" customWidth="1"/>
    <col min="12550" max="12550" width="16.33203125" style="4" customWidth="1"/>
    <col min="12551" max="12551" width="13.88671875" style="4" customWidth="1"/>
    <col min="12552" max="12552" width="9.6640625" style="4" bestFit="1" customWidth="1"/>
    <col min="12553" max="12553" width="13" style="4" bestFit="1" customWidth="1"/>
    <col min="12554" max="12554" width="14.33203125" style="4" bestFit="1" customWidth="1"/>
    <col min="12555" max="12555" width="13.88671875" style="4" customWidth="1"/>
    <col min="12556" max="12800" width="11.44140625" style="4"/>
    <col min="12801" max="12801" width="24.109375" style="4" customWidth="1"/>
    <col min="12802" max="12802" width="16.44140625" style="4" customWidth="1"/>
    <col min="12803" max="12803" width="13.6640625" style="4" customWidth="1"/>
    <col min="12804" max="12804" width="0" style="4" hidden="1" customWidth="1"/>
    <col min="12805" max="12805" width="15" style="4" customWidth="1"/>
    <col min="12806" max="12806" width="16.33203125" style="4" customWidth="1"/>
    <col min="12807" max="12807" width="13.88671875" style="4" customWidth="1"/>
    <col min="12808" max="12808" width="9.6640625" style="4" bestFit="1" customWidth="1"/>
    <col min="12809" max="12809" width="13" style="4" bestFit="1" customWidth="1"/>
    <col min="12810" max="12810" width="14.33203125" style="4" bestFit="1" customWidth="1"/>
    <col min="12811" max="12811" width="13.88671875" style="4" customWidth="1"/>
    <col min="12812" max="13056" width="11.44140625" style="4"/>
    <col min="13057" max="13057" width="24.109375" style="4" customWidth="1"/>
    <col min="13058" max="13058" width="16.44140625" style="4" customWidth="1"/>
    <col min="13059" max="13059" width="13.6640625" style="4" customWidth="1"/>
    <col min="13060" max="13060" width="0" style="4" hidden="1" customWidth="1"/>
    <col min="13061" max="13061" width="15" style="4" customWidth="1"/>
    <col min="13062" max="13062" width="16.33203125" style="4" customWidth="1"/>
    <col min="13063" max="13063" width="13.88671875" style="4" customWidth="1"/>
    <col min="13064" max="13064" width="9.6640625" style="4" bestFit="1" customWidth="1"/>
    <col min="13065" max="13065" width="13" style="4" bestFit="1" customWidth="1"/>
    <col min="13066" max="13066" width="14.33203125" style="4" bestFit="1" customWidth="1"/>
    <col min="13067" max="13067" width="13.88671875" style="4" customWidth="1"/>
    <col min="13068" max="13312" width="11.44140625" style="4"/>
    <col min="13313" max="13313" width="24.109375" style="4" customWidth="1"/>
    <col min="13314" max="13314" width="16.44140625" style="4" customWidth="1"/>
    <col min="13315" max="13315" width="13.6640625" style="4" customWidth="1"/>
    <col min="13316" max="13316" width="0" style="4" hidden="1" customWidth="1"/>
    <col min="13317" max="13317" width="15" style="4" customWidth="1"/>
    <col min="13318" max="13318" width="16.33203125" style="4" customWidth="1"/>
    <col min="13319" max="13319" width="13.88671875" style="4" customWidth="1"/>
    <col min="13320" max="13320" width="9.6640625" style="4" bestFit="1" customWidth="1"/>
    <col min="13321" max="13321" width="13" style="4" bestFit="1" customWidth="1"/>
    <col min="13322" max="13322" width="14.33203125" style="4" bestFit="1" customWidth="1"/>
    <col min="13323" max="13323" width="13.88671875" style="4" customWidth="1"/>
    <col min="13324" max="13568" width="11.44140625" style="4"/>
    <col min="13569" max="13569" width="24.109375" style="4" customWidth="1"/>
    <col min="13570" max="13570" width="16.44140625" style="4" customWidth="1"/>
    <col min="13571" max="13571" width="13.6640625" style="4" customWidth="1"/>
    <col min="13572" max="13572" width="0" style="4" hidden="1" customWidth="1"/>
    <col min="13573" max="13573" width="15" style="4" customWidth="1"/>
    <col min="13574" max="13574" width="16.33203125" style="4" customWidth="1"/>
    <col min="13575" max="13575" width="13.88671875" style="4" customWidth="1"/>
    <col min="13576" max="13576" width="9.6640625" style="4" bestFit="1" customWidth="1"/>
    <col min="13577" max="13577" width="13" style="4" bestFit="1" customWidth="1"/>
    <col min="13578" max="13578" width="14.33203125" style="4" bestFit="1" customWidth="1"/>
    <col min="13579" max="13579" width="13.88671875" style="4" customWidth="1"/>
    <col min="13580" max="13824" width="11.44140625" style="4"/>
    <col min="13825" max="13825" width="24.109375" style="4" customWidth="1"/>
    <col min="13826" max="13826" width="16.44140625" style="4" customWidth="1"/>
    <col min="13827" max="13827" width="13.6640625" style="4" customWidth="1"/>
    <col min="13828" max="13828" width="0" style="4" hidden="1" customWidth="1"/>
    <col min="13829" max="13829" width="15" style="4" customWidth="1"/>
    <col min="13830" max="13830" width="16.33203125" style="4" customWidth="1"/>
    <col min="13831" max="13831" width="13.88671875" style="4" customWidth="1"/>
    <col min="13832" max="13832" width="9.6640625" style="4" bestFit="1" customWidth="1"/>
    <col min="13833" max="13833" width="13" style="4" bestFit="1" customWidth="1"/>
    <col min="13834" max="13834" width="14.33203125" style="4" bestFit="1" customWidth="1"/>
    <col min="13835" max="13835" width="13.88671875" style="4" customWidth="1"/>
    <col min="13836" max="14080" width="11.44140625" style="4"/>
    <col min="14081" max="14081" width="24.109375" style="4" customWidth="1"/>
    <col min="14082" max="14082" width="16.44140625" style="4" customWidth="1"/>
    <col min="14083" max="14083" width="13.6640625" style="4" customWidth="1"/>
    <col min="14084" max="14084" width="0" style="4" hidden="1" customWidth="1"/>
    <col min="14085" max="14085" width="15" style="4" customWidth="1"/>
    <col min="14086" max="14086" width="16.33203125" style="4" customWidth="1"/>
    <col min="14087" max="14087" width="13.88671875" style="4" customWidth="1"/>
    <col min="14088" max="14088" width="9.6640625" style="4" bestFit="1" customWidth="1"/>
    <col min="14089" max="14089" width="13" style="4" bestFit="1" customWidth="1"/>
    <col min="14090" max="14090" width="14.33203125" style="4" bestFit="1" customWidth="1"/>
    <col min="14091" max="14091" width="13.88671875" style="4" customWidth="1"/>
    <col min="14092" max="14336" width="11.44140625" style="4"/>
    <col min="14337" max="14337" width="24.109375" style="4" customWidth="1"/>
    <col min="14338" max="14338" width="16.44140625" style="4" customWidth="1"/>
    <col min="14339" max="14339" width="13.6640625" style="4" customWidth="1"/>
    <col min="14340" max="14340" width="0" style="4" hidden="1" customWidth="1"/>
    <col min="14341" max="14341" width="15" style="4" customWidth="1"/>
    <col min="14342" max="14342" width="16.33203125" style="4" customWidth="1"/>
    <col min="14343" max="14343" width="13.88671875" style="4" customWidth="1"/>
    <col min="14344" max="14344" width="9.6640625" style="4" bestFit="1" customWidth="1"/>
    <col min="14345" max="14345" width="13" style="4" bestFit="1" customWidth="1"/>
    <col min="14346" max="14346" width="14.33203125" style="4" bestFit="1" customWidth="1"/>
    <col min="14347" max="14347" width="13.88671875" style="4" customWidth="1"/>
    <col min="14348" max="14592" width="11.44140625" style="4"/>
    <col min="14593" max="14593" width="24.109375" style="4" customWidth="1"/>
    <col min="14594" max="14594" width="16.44140625" style="4" customWidth="1"/>
    <col min="14595" max="14595" width="13.6640625" style="4" customWidth="1"/>
    <col min="14596" max="14596" width="0" style="4" hidden="1" customWidth="1"/>
    <col min="14597" max="14597" width="15" style="4" customWidth="1"/>
    <col min="14598" max="14598" width="16.33203125" style="4" customWidth="1"/>
    <col min="14599" max="14599" width="13.88671875" style="4" customWidth="1"/>
    <col min="14600" max="14600" width="9.6640625" style="4" bestFit="1" customWidth="1"/>
    <col min="14601" max="14601" width="13" style="4" bestFit="1" customWidth="1"/>
    <col min="14602" max="14602" width="14.33203125" style="4" bestFit="1" customWidth="1"/>
    <col min="14603" max="14603" width="13.88671875" style="4" customWidth="1"/>
    <col min="14604" max="14848" width="11.44140625" style="4"/>
    <col min="14849" max="14849" width="24.109375" style="4" customWidth="1"/>
    <col min="14850" max="14850" width="16.44140625" style="4" customWidth="1"/>
    <col min="14851" max="14851" width="13.6640625" style="4" customWidth="1"/>
    <col min="14852" max="14852" width="0" style="4" hidden="1" customWidth="1"/>
    <col min="14853" max="14853" width="15" style="4" customWidth="1"/>
    <col min="14854" max="14854" width="16.33203125" style="4" customWidth="1"/>
    <col min="14855" max="14855" width="13.88671875" style="4" customWidth="1"/>
    <col min="14856" max="14856" width="9.6640625" style="4" bestFit="1" customWidth="1"/>
    <col min="14857" max="14857" width="13" style="4" bestFit="1" customWidth="1"/>
    <col min="14858" max="14858" width="14.33203125" style="4" bestFit="1" customWidth="1"/>
    <col min="14859" max="14859" width="13.88671875" style="4" customWidth="1"/>
    <col min="14860" max="15104" width="11.44140625" style="4"/>
    <col min="15105" max="15105" width="24.109375" style="4" customWidth="1"/>
    <col min="15106" max="15106" width="16.44140625" style="4" customWidth="1"/>
    <col min="15107" max="15107" width="13.6640625" style="4" customWidth="1"/>
    <col min="15108" max="15108" width="0" style="4" hidden="1" customWidth="1"/>
    <col min="15109" max="15109" width="15" style="4" customWidth="1"/>
    <col min="15110" max="15110" width="16.33203125" style="4" customWidth="1"/>
    <col min="15111" max="15111" width="13.88671875" style="4" customWidth="1"/>
    <col min="15112" max="15112" width="9.6640625" style="4" bestFit="1" customWidth="1"/>
    <col min="15113" max="15113" width="13" style="4" bestFit="1" customWidth="1"/>
    <col min="15114" max="15114" width="14.33203125" style="4" bestFit="1" customWidth="1"/>
    <col min="15115" max="15115" width="13.88671875" style="4" customWidth="1"/>
    <col min="15116" max="15360" width="11.44140625" style="4"/>
    <col min="15361" max="15361" width="24.109375" style="4" customWidth="1"/>
    <col min="15362" max="15362" width="16.44140625" style="4" customWidth="1"/>
    <col min="15363" max="15363" width="13.6640625" style="4" customWidth="1"/>
    <col min="15364" max="15364" width="0" style="4" hidden="1" customWidth="1"/>
    <col min="15365" max="15365" width="15" style="4" customWidth="1"/>
    <col min="15366" max="15366" width="16.33203125" style="4" customWidth="1"/>
    <col min="15367" max="15367" width="13.88671875" style="4" customWidth="1"/>
    <col min="15368" max="15368" width="9.6640625" style="4" bestFit="1" customWidth="1"/>
    <col min="15369" max="15369" width="13" style="4" bestFit="1" customWidth="1"/>
    <col min="15370" max="15370" width="14.33203125" style="4" bestFit="1" customWidth="1"/>
    <col min="15371" max="15371" width="13.88671875" style="4" customWidth="1"/>
    <col min="15372" max="15616" width="11.44140625" style="4"/>
    <col min="15617" max="15617" width="24.109375" style="4" customWidth="1"/>
    <col min="15618" max="15618" width="16.44140625" style="4" customWidth="1"/>
    <col min="15619" max="15619" width="13.6640625" style="4" customWidth="1"/>
    <col min="15620" max="15620" width="0" style="4" hidden="1" customWidth="1"/>
    <col min="15621" max="15621" width="15" style="4" customWidth="1"/>
    <col min="15622" max="15622" width="16.33203125" style="4" customWidth="1"/>
    <col min="15623" max="15623" width="13.88671875" style="4" customWidth="1"/>
    <col min="15624" max="15624" width="9.6640625" style="4" bestFit="1" customWidth="1"/>
    <col min="15625" max="15625" width="13" style="4" bestFit="1" customWidth="1"/>
    <col min="15626" max="15626" width="14.33203125" style="4" bestFit="1" customWidth="1"/>
    <col min="15627" max="15627" width="13.88671875" style="4" customWidth="1"/>
    <col min="15628" max="15872" width="11.44140625" style="4"/>
    <col min="15873" max="15873" width="24.109375" style="4" customWidth="1"/>
    <col min="15874" max="15874" width="16.44140625" style="4" customWidth="1"/>
    <col min="15875" max="15875" width="13.6640625" style="4" customWidth="1"/>
    <col min="15876" max="15876" width="0" style="4" hidden="1" customWidth="1"/>
    <col min="15877" max="15877" width="15" style="4" customWidth="1"/>
    <col min="15878" max="15878" width="16.33203125" style="4" customWidth="1"/>
    <col min="15879" max="15879" width="13.88671875" style="4" customWidth="1"/>
    <col min="15880" max="15880" width="9.6640625" style="4" bestFit="1" customWidth="1"/>
    <col min="15881" max="15881" width="13" style="4" bestFit="1" customWidth="1"/>
    <col min="15882" max="15882" width="14.33203125" style="4" bestFit="1" customWidth="1"/>
    <col min="15883" max="15883" width="13.88671875" style="4" customWidth="1"/>
    <col min="15884" max="16128" width="11.44140625" style="4"/>
    <col min="16129" max="16129" width="24.109375" style="4" customWidth="1"/>
    <col min="16130" max="16130" width="16.44140625" style="4" customWidth="1"/>
    <col min="16131" max="16131" width="13.6640625" style="4" customWidth="1"/>
    <col min="16132" max="16132" width="0" style="4" hidden="1" customWidth="1"/>
    <col min="16133" max="16133" width="15" style="4" customWidth="1"/>
    <col min="16134" max="16134" width="16.33203125" style="4" customWidth="1"/>
    <col min="16135" max="16135" width="13.88671875" style="4" customWidth="1"/>
    <col min="16136" max="16136" width="9.6640625" style="4" bestFit="1" customWidth="1"/>
    <col min="16137" max="16137" width="13" style="4" bestFit="1" customWidth="1"/>
    <col min="16138" max="16138" width="14.33203125" style="4" bestFit="1" customWidth="1"/>
    <col min="16139" max="16139" width="13.88671875" style="4" customWidth="1"/>
    <col min="16140" max="16384" width="11.44140625" style="4"/>
  </cols>
  <sheetData>
    <row r="1" spans="1:8" x14ac:dyDescent="0.25">
      <c r="A1" s="3" t="s">
        <v>7</v>
      </c>
    </row>
    <row r="2" spans="1:8" x14ac:dyDescent="0.25">
      <c r="A2" s="3" t="s">
        <v>201</v>
      </c>
    </row>
    <row r="3" spans="1:8" x14ac:dyDescent="0.25">
      <c r="A3" s="3" t="s">
        <v>8</v>
      </c>
    </row>
    <row r="4" spans="1:8" x14ac:dyDescent="0.25">
      <c r="A4" s="15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G4" s="6" t="s">
        <v>52</v>
      </c>
      <c r="H4" s="5" t="s">
        <v>2</v>
      </c>
    </row>
    <row r="5" spans="1:8" ht="50.4" x14ac:dyDescent="0.25">
      <c r="A5" s="24" t="s">
        <v>33</v>
      </c>
      <c r="B5" s="25" t="s">
        <v>15</v>
      </c>
      <c r="C5" s="26">
        <v>150</v>
      </c>
      <c r="D5" s="7">
        <v>35.799999999999997</v>
      </c>
      <c r="E5" s="7">
        <f>C5*D5</f>
        <v>5370</v>
      </c>
      <c r="G5" s="65">
        <v>45853</v>
      </c>
    </row>
    <row r="6" spans="1:8" ht="25.2" x14ac:dyDescent="0.25">
      <c r="A6" s="24" t="s">
        <v>34</v>
      </c>
      <c r="B6" s="25" t="s">
        <v>15</v>
      </c>
      <c r="C6" s="25">
        <v>200</v>
      </c>
      <c r="D6" s="7">
        <v>45.9</v>
      </c>
      <c r="E6" s="7">
        <f>C6*D6</f>
        <v>9180</v>
      </c>
    </row>
    <row r="7" spans="1:8" ht="37.799999999999997" x14ac:dyDescent="0.25">
      <c r="A7" s="24" t="s">
        <v>35</v>
      </c>
      <c r="B7" s="25" t="s">
        <v>15</v>
      </c>
      <c r="C7" s="25">
        <v>300</v>
      </c>
      <c r="D7" s="7">
        <v>15.8</v>
      </c>
      <c r="E7" s="7">
        <f>C7*D7</f>
        <v>4740</v>
      </c>
    </row>
    <row r="8" spans="1:8" ht="63" x14ac:dyDescent="0.25">
      <c r="A8" s="24" t="s">
        <v>36</v>
      </c>
      <c r="B8" s="25" t="s">
        <v>15</v>
      </c>
      <c r="C8" s="25">
        <v>400</v>
      </c>
      <c r="D8" s="7">
        <v>216.9</v>
      </c>
      <c r="E8" s="7">
        <f>C8*D8</f>
        <v>86760</v>
      </c>
    </row>
    <row r="9" spans="1:8" x14ac:dyDescent="0.25">
      <c r="D9" s="13"/>
      <c r="E9" s="27">
        <f>SUM(E5:E8)</f>
        <v>106050</v>
      </c>
    </row>
    <row r="10" spans="1:8" ht="6" customHeight="1" x14ac:dyDescent="0.25"/>
    <row r="11" spans="1:8" x14ac:dyDescent="0.25">
      <c r="A11" s="15" t="s">
        <v>16</v>
      </c>
      <c r="B11" s="5" t="s">
        <v>17</v>
      </c>
      <c r="C11" s="5" t="s">
        <v>18</v>
      </c>
      <c r="D11" s="15" t="s">
        <v>19</v>
      </c>
      <c r="E11" s="5" t="s">
        <v>2</v>
      </c>
      <c r="F11" s="5" t="s">
        <v>52</v>
      </c>
    </row>
    <row r="12" spans="1:8" x14ac:dyDescent="0.25">
      <c r="A12" s="9" t="s">
        <v>4</v>
      </c>
      <c r="B12" s="17">
        <v>1500</v>
      </c>
      <c r="C12" s="18"/>
      <c r="D12" s="9"/>
      <c r="E12" s="16"/>
      <c r="F12" s="64">
        <v>45860</v>
      </c>
    </row>
    <row r="13" spans="1:8" x14ac:dyDescent="0.25">
      <c r="A13" s="9" t="s">
        <v>20</v>
      </c>
      <c r="B13" s="16">
        <v>700</v>
      </c>
      <c r="C13" s="18"/>
      <c r="D13" s="9"/>
      <c r="E13" s="16"/>
      <c r="F13" s="64">
        <v>45861</v>
      </c>
    </row>
    <row r="14" spans="1:8" x14ac:dyDescent="0.25">
      <c r="A14" s="9" t="s">
        <v>3</v>
      </c>
      <c r="B14" s="17">
        <v>3500</v>
      </c>
      <c r="C14" s="18"/>
      <c r="D14" s="9"/>
      <c r="E14" s="16"/>
      <c r="F14" s="64">
        <v>45871</v>
      </c>
    </row>
    <row r="15" spans="1:8" x14ac:dyDescent="0.25">
      <c r="A15" s="9" t="s">
        <v>5</v>
      </c>
      <c r="B15" s="17"/>
      <c r="C15" s="18">
        <v>120</v>
      </c>
      <c r="D15" s="9"/>
      <c r="E15" s="16"/>
      <c r="F15" s="64">
        <v>45881</v>
      </c>
    </row>
    <row r="16" spans="1:8" x14ac:dyDescent="0.25">
      <c r="A16" s="9" t="s">
        <v>37</v>
      </c>
      <c r="B16" s="17"/>
      <c r="C16" s="18">
        <v>1740</v>
      </c>
      <c r="D16" s="9"/>
      <c r="E16" s="16"/>
      <c r="F16" s="64">
        <v>45884</v>
      </c>
    </row>
    <row r="17" spans="1:6" x14ac:dyDescent="0.25">
      <c r="A17" s="9" t="s">
        <v>38</v>
      </c>
      <c r="B17" s="17"/>
      <c r="C17" s="18">
        <v>85</v>
      </c>
      <c r="D17" s="9"/>
      <c r="E17" s="16"/>
      <c r="F17" s="64">
        <v>45889</v>
      </c>
    </row>
    <row r="18" spans="1:6" x14ac:dyDescent="0.25">
      <c r="A18" s="9" t="s">
        <v>153</v>
      </c>
      <c r="B18" s="17"/>
      <c r="C18" s="18">
        <v>85</v>
      </c>
      <c r="D18" s="9"/>
      <c r="E18" s="16"/>
      <c r="F18" s="64">
        <v>45894</v>
      </c>
    </row>
    <row r="19" spans="1:6" x14ac:dyDescent="0.25">
      <c r="A19" s="3"/>
      <c r="B19" s="28"/>
      <c r="C19" s="14"/>
    </row>
    <row r="20" spans="1:6" ht="7.5" customHeight="1" x14ac:dyDescent="0.25"/>
    <row r="21" spans="1:6" x14ac:dyDescent="0.25">
      <c r="A21" s="3" t="s">
        <v>202</v>
      </c>
    </row>
    <row r="22" spans="1:6" ht="51" x14ac:dyDescent="0.25">
      <c r="A22" s="29" t="s">
        <v>9</v>
      </c>
      <c r="B22" s="30" t="str">
        <f>A5</f>
        <v>PLANCHA (ASTM A36) DE 1 4" ESPESOR X 6 PIES ANCHO X  20 PIES LARGO</v>
      </c>
      <c r="C22" s="30" t="str">
        <f>A6</f>
        <v>PLATINA DE 4 X 20 PIES X 1 8"THK</v>
      </c>
      <c r="D22" s="31" t="s">
        <v>39</v>
      </c>
      <c r="E22" s="30" t="str">
        <f>A7</f>
        <v>ESPARRAGO ASTM A193.B7. 3 4".10 X 5 1 2"</v>
      </c>
      <c r="F22" s="30" t="str">
        <f>A8</f>
        <v>EMPAQUETADURA EN PLANCHA.  1 8 IN TH X 60  X 60 . CON INSERCION DE MALLA INCONEL</v>
      </c>
    </row>
    <row r="23" spans="1:6" x14ac:dyDescent="0.25">
      <c r="A23" s="9" t="s">
        <v>11</v>
      </c>
      <c r="B23" s="20"/>
      <c r="C23" s="21"/>
      <c r="D23" s="18"/>
      <c r="E23" s="9"/>
      <c r="F23" s="9"/>
    </row>
    <row r="24" spans="1:6" x14ac:dyDescent="0.25">
      <c r="A24" s="9" t="s">
        <v>10</v>
      </c>
      <c r="B24" s="20"/>
      <c r="C24" s="21"/>
      <c r="D24" s="18"/>
      <c r="E24" s="9"/>
      <c r="F24" s="9"/>
    </row>
    <row r="25" spans="1:6" x14ac:dyDescent="0.25">
      <c r="A25" s="9" t="s">
        <v>24</v>
      </c>
      <c r="B25" s="20"/>
      <c r="C25" s="21"/>
      <c r="D25" s="18"/>
      <c r="E25" s="9"/>
      <c r="F25" s="9"/>
    </row>
    <row r="26" spans="1:6" x14ac:dyDescent="0.25">
      <c r="A26" s="8" t="s">
        <v>25</v>
      </c>
      <c r="B26" s="22"/>
      <c r="C26" s="23"/>
      <c r="D26" s="18"/>
      <c r="E26" s="9"/>
      <c r="F26" s="9"/>
    </row>
    <row r="27" spans="1:6" x14ac:dyDescent="0.25">
      <c r="A27" s="9" t="s">
        <v>26</v>
      </c>
      <c r="B27" s="20"/>
      <c r="C27" s="21"/>
      <c r="D27" s="10"/>
      <c r="E27" s="9"/>
      <c r="F27" s="9"/>
    </row>
    <row r="28" spans="1:6" x14ac:dyDescent="0.25">
      <c r="A28" s="9" t="s">
        <v>27</v>
      </c>
      <c r="B28" s="20"/>
      <c r="C28" s="21"/>
      <c r="D28" s="9"/>
      <c r="E28" s="9"/>
      <c r="F28" s="9"/>
    </row>
    <row r="29" spans="1:6" x14ac:dyDescent="0.25">
      <c r="A29" s="9" t="s">
        <v>28</v>
      </c>
      <c r="B29" s="20"/>
      <c r="C29" s="21"/>
      <c r="D29" s="9"/>
      <c r="E29" s="9"/>
      <c r="F29" s="9"/>
    </row>
    <row r="30" spans="1:6" x14ac:dyDescent="0.25">
      <c r="A30" s="9" t="s">
        <v>40</v>
      </c>
      <c r="B30" s="20"/>
      <c r="C30" s="21"/>
      <c r="D30" s="9"/>
      <c r="E30" s="9"/>
      <c r="F30" s="9"/>
    </row>
    <row r="31" spans="1:6" x14ac:dyDescent="0.25">
      <c r="A31" s="9" t="s">
        <v>29</v>
      </c>
      <c r="B31" s="20"/>
      <c r="C31" s="21"/>
      <c r="D31" s="9"/>
      <c r="E31" s="9"/>
      <c r="F31" s="9"/>
    </row>
    <row r="32" spans="1:6" x14ac:dyDescent="0.25">
      <c r="A32" s="9" t="s">
        <v>30</v>
      </c>
      <c r="B32" s="20"/>
      <c r="C32" s="21"/>
      <c r="D32" s="9"/>
      <c r="E32" s="9"/>
      <c r="F32" s="9"/>
    </row>
    <row r="33" spans="1:6" x14ac:dyDescent="0.25">
      <c r="A33" s="8" t="s">
        <v>31</v>
      </c>
      <c r="B33" s="22"/>
      <c r="C33" s="23"/>
      <c r="D33" s="9"/>
      <c r="E33" s="9"/>
      <c r="F33" s="9"/>
    </row>
    <row r="34" spans="1:6" x14ac:dyDescent="0.25">
      <c r="A34" s="8" t="s">
        <v>32</v>
      </c>
      <c r="B34" s="22"/>
      <c r="C34" s="23"/>
      <c r="D34" s="9"/>
      <c r="E34" s="9"/>
      <c r="F34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F4330-A736-4EE5-9C10-0C287CC085BC}">
  <dimension ref="A1:R60"/>
  <sheetViews>
    <sheetView zoomScale="110" zoomScaleNormal="110" workbookViewId="0">
      <pane xSplit="3" ySplit="8" topLeftCell="G47" activePane="bottomRight" state="frozen"/>
      <selection pane="topRight" activeCell="D1" sqref="D1"/>
      <selection pane="bottomLeft" activeCell="A9" sqref="A9"/>
      <selection pane="bottomRight" activeCell="C61" sqref="C61"/>
    </sheetView>
  </sheetViews>
  <sheetFormatPr baseColWidth="10" defaultRowHeight="13.8" x14ac:dyDescent="0.25"/>
  <cols>
    <col min="1" max="1" width="13.44140625" style="4" customWidth="1"/>
    <col min="2" max="2" width="12.44140625" style="4" bestFit="1" customWidth="1"/>
    <col min="3" max="3" width="69" style="4" customWidth="1"/>
    <col min="4" max="12" width="11.44140625" style="4"/>
    <col min="13" max="13" width="7.88671875" style="4" bestFit="1" customWidth="1"/>
    <col min="14" max="14" width="10.5546875" style="4" bestFit="1" customWidth="1"/>
    <col min="15" max="15" width="11.44140625" style="4"/>
    <col min="16" max="16" width="5.21875" style="4" bestFit="1" customWidth="1"/>
    <col min="17" max="17" width="7.88671875" style="4" bestFit="1" customWidth="1"/>
    <col min="18" max="18" width="8.44140625" style="4" bestFit="1" customWidth="1"/>
    <col min="19" max="235" width="11.44140625" style="4"/>
    <col min="236" max="236" width="13.44140625" style="4" customWidth="1"/>
    <col min="237" max="237" width="11.44140625" style="4"/>
    <col min="238" max="238" width="60.88671875" style="4" bestFit="1" customWidth="1"/>
    <col min="239" max="491" width="11.44140625" style="4"/>
    <col min="492" max="492" width="13.44140625" style="4" customWidth="1"/>
    <col min="493" max="493" width="11.44140625" style="4"/>
    <col min="494" max="494" width="60.88671875" style="4" bestFit="1" customWidth="1"/>
    <col min="495" max="747" width="11.44140625" style="4"/>
    <col min="748" max="748" width="13.44140625" style="4" customWidth="1"/>
    <col min="749" max="749" width="11.44140625" style="4"/>
    <col min="750" max="750" width="60.88671875" style="4" bestFit="1" customWidth="1"/>
    <col min="751" max="1003" width="11.44140625" style="4"/>
    <col min="1004" max="1004" width="13.44140625" style="4" customWidth="1"/>
    <col min="1005" max="1005" width="11.44140625" style="4"/>
    <col min="1006" max="1006" width="60.88671875" style="4" bestFit="1" customWidth="1"/>
    <col min="1007" max="1259" width="11.44140625" style="4"/>
    <col min="1260" max="1260" width="13.44140625" style="4" customWidth="1"/>
    <col min="1261" max="1261" width="11.44140625" style="4"/>
    <col min="1262" max="1262" width="60.88671875" style="4" bestFit="1" customWidth="1"/>
    <col min="1263" max="1515" width="11.44140625" style="4"/>
    <col min="1516" max="1516" width="13.44140625" style="4" customWidth="1"/>
    <col min="1517" max="1517" width="11.44140625" style="4"/>
    <col min="1518" max="1518" width="60.88671875" style="4" bestFit="1" customWidth="1"/>
    <col min="1519" max="1771" width="11.44140625" style="4"/>
    <col min="1772" max="1772" width="13.44140625" style="4" customWidth="1"/>
    <col min="1773" max="1773" width="11.44140625" style="4"/>
    <col min="1774" max="1774" width="60.88671875" style="4" bestFit="1" customWidth="1"/>
    <col min="1775" max="2027" width="11.44140625" style="4"/>
    <col min="2028" max="2028" width="13.44140625" style="4" customWidth="1"/>
    <col min="2029" max="2029" width="11.44140625" style="4"/>
    <col min="2030" max="2030" width="60.88671875" style="4" bestFit="1" customWidth="1"/>
    <col min="2031" max="2283" width="11.44140625" style="4"/>
    <col min="2284" max="2284" width="13.44140625" style="4" customWidth="1"/>
    <col min="2285" max="2285" width="11.44140625" style="4"/>
    <col min="2286" max="2286" width="60.88671875" style="4" bestFit="1" customWidth="1"/>
    <col min="2287" max="2539" width="11.44140625" style="4"/>
    <col min="2540" max="2540" width="13.44140625" style="4" customWidth="1"/>
    <col min="2541" max="2541" width="11.44140625" style="4"/>
    <col min="2542" max="2542" width="60.88671875" style="4" bestFit="1" customWidth="1"/>
    <col min="2543" max="2795" width="11.44140625" style="4"/>
    <col min="2796" max="2796" width="13.44140625" style="4" customWidth="1"/>
    <col min="2797" max="2797" width="11.44140625" style="4"/>
    <col min="2798" max="2798" width="60.88671875" style="4" bestFit="1" customWidth="1"/>
    <col min="2799" max="3051" width="11.44140625" style="4"/>
    <col min="3052" max="3052" width="13.44140625" style="4" customWidth="1"/>
    <col min="3053" max="3053" width="11.44140625" style="4"/>
    <col min="3054" max="3054" width="60.88671875" style="4" bestFit="1" customWidth="1"/>
    <col min="3055" max="3307" width="11.44140625" style="4"/>
    <col min="3308" max="3308" width="13.44140625" style="4" customWidth="1"/>
    <col min="3309" max="3309" width="11.44140625" style="4"/>
    <col min="3310" max="3310" width="60.88671875" style="4" bestFit="1" customWidth="1"/>
    <col min="3311" max="3563" width="11.44140625" style="4"/>
    <col min="3564" max="3564" width="13.44140625" style="4" customWidth="1"/>
    <col min="3565" max="3565" width="11.44140625" style="4"/>
    <col min="3566" max="3566" width="60.88671875" style="4" bestFit="1" customWidth="1"/>
    <col min="3567" max="3819" width="11.44140625" style="4"/>
    <col min="3820" max="3820" width="13.44140625" style="4" customWidth="1"/>
    <col min="3821" max="3821" width="11.44140625" style="4"/>
    <col min="3822" max="3822" width="60.88671875" style="4" bestFit="1" customWidth="1"/>
    <col min="3823" max="4075" width="11.44140625" style="4"/>
    <col min="4076" max="4076" width="13.44140625" style="4" customWidth="1"/>
    <col min="4077" max="4077" width="11.44140625" style="4"/>
    <col min="4078" max="4078" width="60.88671875" style="4" bestFit="1" customWidth="1"/>
    <col min="4079" max="4331" width="11.44140625" style="4"/>
    <col min="4332" max="4332" width="13.44140625" style="4" customWidth="1"/>
    <col min="4333" max="4333" width="11.44140625" style="4"/>
    <col min="4334" max="4334" width="60.88671875" style="4" bestFit="1" customWidth="1"/>
    <col min="4335" max="4587" width="11.44140625" style="4"/>
    <col min="4588" max="4588" width="13.44140625" style="4" customWidth="1"/>
    <col min="4589" max="4589" width="11.44140625" style="4"/>
    <col min="4590" max="4590" width="60.88671875" style="4" bestFit="1" customWidth="1"/>
    <col min="4591" max="4843" width="11.44140625" style="4"/>
    <col min="4844" max="4844" width="13.44140625" style="4" customWidth="1"/>
    <col min="4845" max="4845" width="11.44140625" style="4"/>
    <col min="4846" max="4846" width="60.88671875" style="4" bestFit="1" customWidth="1"/>
    <col min="4847" max="5099" width="11.44140625" style="4"/>
    <col min="5100" max="5100" width="13.44140625" style="4" customWidth="1"/>
    <col min="5101" max="5101" width="11.44140625" style="4"/>
    <col min="5102" max="5102" width="60.88671875" style="4" bestFit="1" customWidth="1"/>
    <col min="5103" max="5355" width="11.44140625" style="4"/>
    <col min="5356" max="5356" width="13.44140625" style="4" customWidth="1"/>
    <col min="5357" max="5357" width="11.44140625" style="4"/>
    <col min="5358" max="5358" width="60.88671875" style="4" bestFit="1" customWidth="1"/>
    <col min="5359" max="5611" width="11.44140625" style="4"/>
    <col min="5612" max="5612" width="13.44140625" style="4" customWidth="1"/>
    <col min="5613" max="5613" width="11.44140625" style="4"/>
    <col min="5614" max="5614" width="60.88671875" style="4" bestFit="1" customWidth="1"/>
    <col min="5615" max="5867" width="11.44140625" style="4"/>
    <col min="5868" max="5868" width="13.44140625" style="4" customWidth="1"/>
    <col min="5869" max="5869" width="11.44140625" style="4"/>
    <col min="5870" max="5870" width="60.88671875" style="4" bestFit="1" customWidth="1"/>
    <col min="5871" max="6123" width="11.44140625" style="4"/>
    <col min="6124" max="6124" width="13.44140625" style="4" customWidth="1"/>
    <col min="6125" max="6125" width="11.44140625" style="4"/>
    <col min="6126" max="6126" width="60.88671875" style="4" bestFit="1" customWidth="1"/>
    <col min="6127" max="6379" width="11.44140625" style="4"/>
    <col min="6380" max="6380" width="13.44140625" style="4" customWidth="1"/>
    <col min="6381" max="6381" width="11.44140625" style="4"/>
    <col min="6382" max="6382" width="60.88671875" style="4" bestFit="1" customWidth="1"/>
    <col min="6383" max="6635" width="11.44140625" style="4"/>
    <col min="6636" max="6636" width="13.44140625" style="4" customWidth="1"/>
    <col min="6637" max="6637" width="11.44140625" style="4"/>
    <col min="6638" max="6638" width="60.88671875" style="4" bestFit="1" customWidth="1"/>
    <col min="6639" max="6891" width="11.44140625" style="4"/>
    <col min="6892" max="6892" width="13.44140625" style="4" customWidth="1"/>
    <col min="6893" max="6893" width="11.44140625" style="4"/>
    <col min="6894" max="6894" width="60.88671875" style="4" bestFit="1" customWidth="1"/>
    <col min="6895" max="7147" width="11.44140625" style="4"/>
    <col min="7148" max="7148" width="13.44140625" style="4" customWidth="1"/>
    <col min="7149" max="7149" width="11.44140625" style="4"/>
    <col min="7150" max="7150" width="60.88671875" style="4" bestFit="1" customWidth="1"/>
    <col min="7151" max="7403" width="11.44140625" style="4"/>
    <col min="7404" max="7404" width="13.44140625" style="4" customWidth="1"/>
    <col min="7405" max="7405" width="11.44140625" style="4"/>
    <col min="7406" max="7406" width="60.88671875" style="4" bestFit="1" customWidth="1"/>
    <col min="7407" max="7659" width="11.44140625" style="4"/>
    <col min="7660" max="7660" width="13.44140625" style="4" customWidth="1"/>
    <col min="7661" max="7661" width="11.44140625" style="4"/>
    <col min="7662" max="7662" width="60.88671875" style="4" bestFit="1" customWidth="1"/>
    <col min="7663" max="7915" width="11.44140625" style="4"/>
    <col min="7916" max="7916" width="13.44140625" style="4" customWidth="1"/>
    <col min="7917" max="7917" width="11.44140625" style="4"/>
    <col min="7918" max="7918" width="60.88671875" style="4" bestFit="1" customWidth="1"/>
    <col min="7919" max="8171" width="11.44140625" style="4"/>
    <col min="8172" max="8172" width="13.44140625" style="4" customWidth="1"/>
    <col min="8173" max="8173" width="11.44140625" style="4"/>
    <col min="8174" max="8174" width="60.88671875" style="4" bestFit="1" customWidth="1"/>
    <col min="8175" max="8427" width="11.44140625" style="4"/>
    <col min="8428" max="8428" width="13.44140625" style="4" customWidth="1"/>
    <col min="8429" max="8429" width="11.44140625" style="4"/>
    <col min="8430" max="8430" width="60.88671875" style="4" bestFit="1" customWidth="1"/>
    <col min="8431" max="8683" width="11.44140625" style="4"/>
    <col min="8684" max="8684" width="13.44140625" style="4" customWidth="1"/>
    <col min="8685" max="8685" width="11.44140625" style="4"/>
    <col min="8686" max="8686" width="60.88671875" style="4" bestFit="1" customWidth="1"/>
    <col min="8687" max="8939" width="11.44140625" style="4"/>
    <col min="8940" max="8940" width="13.44140625" style="4" customWidth="1"/>
    <col min="8941" max="8941" width="11.44140625" style="4"/>
    <col min="8942" max="8942" width="60.88671875" style="4" bestFit="1" customWidth="1"/>
    <col min="8943" max="9195" width="11.44140625" style="4"/>
    <col min="9196" max="9196" width="13.44140625" style="4" customWidth="1"/>
    <col min="9197" max="9197" width="11.44140625" style="4"/>
    <col min="9198" max="9198" width="60.88671875" style="4" bestFit="1" customWidth="1"/>
    <col min="9199" max="9451" width="11.44140625" style="4"/>
    <col min="9452" max="9452" width="13.44140625" style="4" customWidth="1"/>
    <col min="9453" max="9453" width="11.44140625" style="4"/>
    <col min="9454" max="9454" width="60.88671875" style="4" bestFit="1" customWidth="1"/>
    <col min="9455" max="9707" width="11.44140625" style="4"/>
    <col min="9708" max="9708" width="13.44140625" style="4" customWidth="1"/>
    <col min="9709" max="9709" width="11.44140625" style="4"/>
    <col min="9710" max="9710" width="60.88671875" style="4" bestFit="1" customWidth="1"/>
    <col min="9711" max="9963" width="11.44140625" style="4"/>
    <col min="9964" max="9964" width="13.44140625" style="4" customWidth="1"/>
    <col min="9965" max="9965" width="11.44140625" style="4"/>
    <col min="9966" max="9966" width="60.88671875" style="4" bestFit="1" customWidth="1"/>
    <col min="9967" max="10219" width="11.44140625" style="4"/>
    <col min="10220" max="10220" width="13.44140625" style="4" customWidth="1"/>
    <col min="10221" max="10221" width="11.44140625" style="4"/>
    <col min="10222" max="10222" width="60.88671875" style="4" bestFit="1" customWidth="1"/>
    <col min="10223" max="10475" width="11.44140625" style="4"/>
    <col min="10476" max="10476" width="13.44140625" style="4" customWidth="1"/>
    <col min="10477" max="10477" width="11.44140625" style="4"/>
    <col min="10478" max="10478" width="60.88671875" style="4" bestFit="1" customWidth="1"/>
    <col min="10479" max="10731" width="11.44140625" style="4"/>
    <col min="10732" max="10732" width="13.44140625" style="4" customWidth="1"/>
    <col min="10733" max="10733" width="11.44140625" style="4"/>
    <col min="10734" max="10734" width="60.88671875" style="4" bestFit="1" customWidth="1"/>
    <col min="10735" max="10987" width="11.44140625" style="4"/>
    <col min="10988" max="10988" width="13.44140625" style="4" customWidth="1"/>
    <col min="10989" max="10989" width="11.44140625" style="4"/>
    <col min="10990" max="10990" width="60.88671875" style="4" bestFit="1" customWidth="1"/>
    <col min="10991" max="11243" width="11.44140625" style="4"/>
    <col min="11244" max="11244" width="13.44140625" style="4" customWidth="1"/>
    <col min="11245" max="11245" width="11.44140625" style="4"/>
    <col min="11246" max="11246" width="60.88671875" style="4" bestFit="1" customWidth="1"/>
    <col min="11247" max="11499" width="11.44140625" style="4"/>
    <col min="11500" max="11500" width="13.44140625" style="4" customWidth="1"/>
    <col min="11501" max="11501" width="11.44140625" style="4"/>
    <col min="11502" max="11502" width="60.88671875" style="4" bestFit="1" customWidth="1"/>
    <col min="11503" max="11755" width="11.44140625" style="4"/>
    <col min="11756" max="11756" width="13.44140625" style="4" customWidth="1"/>
    <col min="11757" max="11757" width="11.44140625" style="4"/>
    <col min="11758" max="11758" width="60.88671875" style="4" bestFit="1" customWidth="1"/>
    <col min="11759" max="12011" width="11.44140625" style="4"/>
    <col min="12012" max="12012" width="13.44140625" style="4" customWidth="1"/>
    <col min="12013" max="12013" width="11.44140625" style="4"/>
    <col min="12014" max="12014" width="60.88671875" style="4" bestFit="1" customWidth="1"/>
    <col min="12015" max="12267" width="11.44140625" style="4"/>
    <col min="12268" max="12268" width="13.44140625" style="4" customWidth="1"/>
    <col min="12269" max="12269" width="11.44140625" style="4"/>
    <col min="12270" max="12270" width="60.88671875" style="4" bestFit="1" customWidth="1"/>
    <col min="12271" max="12523" width="11.44140625" style="4"/>
    <col min="12524" max="12524" width="13.44140625" style="4" customWidth="1"/>
    <col min="12525" max="12525" width="11.44140625" style="4"/>
    <col min="12526" max="12526" width="60.88671875" style="4" bestFit="1" customWidth="1"/>
    <col min="12527" max="12779" width="11.44140625" style="4"/>
    <col min="12780" max="12780" width="13.44140625" style="4" customWidth="1"/>
    <col min="12781" max="12781" width="11.44140625" style="4"/>
    <col min="12782" max="12782" width="60.88671875" style="4" bestFit="1" customWidth="1"/>
    <col min="12783" max="13035" width="11.44140625" style="4"/>
    <col min="13036" max="13036" width="13.44140625" style="4" customWidth="1"/>
    <col min="13037" max="13037" width="11.44140625" style="4"/>
    <col min="13038" max="13038" width="60.88671875" style="4" bestFit="1" customWidth="1"/>
    <col min="13039" max="13291" width="11.44140625" style="4"/>
    <col min="13292" max="13292" width="13.44140625" style="4" customWidth="1"/>
    <col min="13293" max="13293" width="11.44140625" style="4"/>
    <col min="13294" max="13294" width="60.88671875" style="4" bestFit="1" customWidth="1"/>
    <col min="13295" max="13547" width="11.44140625" style="4"/>
    <col min="13548" max="13548" width="13.44140625" style="4" customWidth="1"/>
    <col min="13549" max="13549" width="11.44140625" style="4"/>
    <col min="13550" max="13550" width="60.88671875" style="4" bestFit="1" customWidth="1"/>
    <col min="13551" max="13803" width="11.44140625" style="4"/>
    <col min="13804" max="13804" width="13.44140625" style="4" customWidth="1"/>
    <col min="13805" max="13805" width="11.44140625" style="4"/>
    <col min="13806" max="13806" width="60.88671875" style="4" bestFit="1" customWidth="1"/>
    <col min="13807" max="14059" width="11.44140625" style="4"/>
    <col min="14060" max="14060" width="13.44140625" style="4" customWidth="1"/>
    <col min="14061" max="14061" width="11.44140625" style="4"/>
    <col min="14062" max="14062" width="60.88671875" style="4" bestFit="1" customWidth="1"/>
    <col min="14063" max="14315" width="11.44140625" style="4"/>
    <col min="14316" max="14316" width="13.44140625" style="4" customWidth="1"/>
    <col min="14317" max="14317" width="11.44140625" style="4"/>
    <col min="14318" max="14318" width="60.88671875" style="4" bestFit="1" customWidth="1"/>
    <col min="14319" max="14571" width="11.44140625" style="4"/>
    <col min="14572" max="14572" width="13.44140625" style="4" customWidth="1"/>
    <col min="14573" max="14573" width="11.44140625" style="4"/>
    <col min="14574" max="14574" width="60.88671875" style="4" bestFit="1" customWidth="1"/>
    <col min="14575" max="14827" width="11.44140625" style="4"/>
    <col min="14828" max="14828" width="13.44140625" style="4" customWidth="1"/>
    <col min="14829" max="14829" width="11.44140625" style="4"/>
    <col min="14830" max="14830" width="60.88671875" style="4" bestFit="1" customWidth="1"/>
    <col min="14831" max="15083" width="11.44140625" style="4"/>
    <col min="15084" max="15084" width="13.44140625" style="4" customWidth="1"/>
    <col min="15085" max="15085" width="11.44140625" style="4"/>
    <col min="15086" max="15086" width="60.88671875" style="4" bestFit="1" customWidth="1"/>
    <col min="15087" max="15339" width="11.44140625" style="4"/>
    <col min="15340" max="15340" width="13.44140625" style="4" customWidth="1"/>
    <col min="15341" max="15341" width="11.44140625" style="4"/>
    <col min="15342" max="15342" width="60.88671875" style="4" bestFit="1" customWidth="1"/>
    <col min="15343" max="15595" width="11.44140625" style="4"/>
    <col min="15596" max="15596" width="13.44140625" style="4" customWidth="1"/>
    <col min="15597" max="15597" width="11.44140625" style="4"/>
    <col min="15598" max="15598" width="60.88671875" style="4" bestFit="1" customWidth="1"/>
    <col min="15599" max="15851" width="11.44140625" style="4"/>
    <col min="15852" max="15852" width="13.44140625" style="4" customWidth="1"/>
    <col min="15853" max="15853" width="11.44140625" style="4"/>
    <col min="15854" max="15854" width="60.88671875" style="4" bestFit="1" customWidth="1"/>
    <col min="15855" max="16107" width="11.44140625" style="4"/>
    <col min="16108" max="16108" width="13.44140625" style="4" customWidth="1"/>
    <col min="16109" max="16109" width="11.44140625" style="4"/>
    <col min="16110" max="16110" width="60.88671875" style="4" bestFit="1" customWidth="1"/>
    <col min="16111" max="16362" width="11.44140625" style="4"/>
    <col min="16363" max="16384" width="11.44140625" style="4" customWidth="1"/>
  </cols>
  <sheetData>
    <row r="1" spans="1:15" x14ac:dyDescent="0.25">
      <c r="A1" s="3" t="s">
        <v>145</v>
      </c>
    </row>
    <row r="2" spans="1:15" x14ac:dyDescent="0.25">
      <c r="A2" s="3" t="s">
        <v>211</v>
      </c>
      <c r="D2" s="3" t="s">
        <v>328</v>
      </c>
    </row>
    <row r="3" spans="1:15" x14ac:dyDescent="0.25">
      <c r="A3" s="4" t="s">
        <v>108</v>
      </c>
      <c r="B3" s="4" t="s">
        <v>42</v>
      </c>
    </row>
    <row r="4" spans="1:15" x14ac:dyDescent="0.25">
      <c r="A4" s="4" t="s">
        <v>43</v>
      </c>
      <c r="B4" s="4" t="s">
        <v>212</v>
      </c>
    </row>
    <row r="5" spans="1:15" x14ac:dyDescent="0.25">
      <c r="A5" s="4" t="s">
        <v>44</v>
      </c>
      <c r="B5" s="62">
        <v>45870</v>
      </c>
    </row>
    <row r="6" spans="1:15" x14ac:dyDescent="0.25">
      <c r="A6" s="4" t="s">
        <v>45</v>
      </c>
      <c r="B6" s="4" t="s">
        <v>46</v>
      </c>
      <c r="C6" s="4" t="s">
        <v>47</v>
      </c>
    </row>
    <row r="7" spans="1:15" x14ac:dyDescent="0.25">
      <c r="A7" s="4" t="s">
        <v>217</v>
      </c>
      <c r="D7" s="120" t="s">
        <v>48</v>
      </c>
      <c r="E7" s="120"/>
      <c r="F7" s="120"/>
      <c r="G7" s="120" t="s">
        <v>49</v>
      </c>
      <c r="H7" s="120"/>
      <c r="I7" s="120"/>
      <c r="J7" s="120" t="s">
        <v>50</v>
      </c>
      <c r="K7" s="120"/>
      <c r="L7" s="120"/>
    </row>
    <row r="8" spans="1:15" x14ac:dyDescent="0.25">
      <c r="A8" s="15" t="s">
        <v>51</v>
      </c>
      <c r="B8" s="5" t="s">
        <v>52</v>
      </c>
      <c r="C8" s="15" t="s">
        <v>53</v>
      </c>
      <c r="D8" s="5" t="s">
        <v>11</v>
      </c>
      <c r="E8" s="5" t="s">
        <v>54</v>
      </c>
      <c r="F8" s="5" t="s">
        <v>55</v>
      </c>
      <c r="G8" s="5" t="s">
        <v>11</v>
      </c>
      <c r="H8" s="5" t="s">
        <v>54</v>
      </c>
      <c r="I8" s="5" t="s">
        <v>55</v>
      </c>
      <c r="J8" s="5" t="s">
        <v>11</v>
      </c>
      <c r="K8" s="5" t="s">
        <v>54</v>
      </c>
      <c r="L8" s="5" t="s">
        <v>55</v>
      </c>
    </row>
    <row r="9" spans="1:15" x14ac:dyDescent="0.25">
      <c r="A9" s="9" t="s">
        <v>56</v>
      </c>
      <c r="B9" s="32">
        <v>45870</v>
      </c>
      <c r="C9" s="9" t="s">
        <v>152</v>
      </c>
      <c r="D9" s="71"/>
      <c r="E9" s="70"/>
      <c r="F9" s="70"/>
      <c r="G9" s="71"/>
      <c r="H9" s="70"/>
      <c r="I9" s="70"/>
      <c r="J9" s="71">
        <v>45</v>
      </c>
      <c r="K9" s="70">
        <f t="shared" ref="K9:K21" si="0">L9/J9</f>
        <v>222.09888888888889</v>
      </c>
      <c r="L9" s="70">
        <v>9994.4500000000007</v>
      </c>
    </row>
    <row r="10" spans="1:15" x14ac:dyDescent="0.25">
      <c r="A10" s="9" t="s">
        <v>6</v>
      </c>
      <c r="B10" s="32">
        <v>45871</v>
      </c>
      <c r="C10" s="9" t="s">
        <v>203</v>
      </c>
      <c r="D10" s="71">
        <v>65</v>
      </c>
      <c r="E10" s="70">
        <f>75.8*3.588/1.18</f>
        <v>230.48338983050849</v>
      </c>
      <c r="F10" s="70">
        <f>D10*E10</f>
        <v>14981.420338983051</v>
      </c>
      <c r="G10" s="71"/>
      <c r="H10" s="70"/>
      <c r="I10" s="70"/>
      <c r="J10" s="71">
        <f>J9+D10</f>
        <v>110</v>
      </c>
      <c r="K10" s="70">
        <f t="shared" si="0"/>
        <v>227.05336671802775</v>
      </c>
      <c r="L10" s="70">
        <f>L9+F10</f>
        <v>24975.870338983052</v>
      </c>
      <c r="O10" s="4" t="s">
        <v>323</v>
      </c>
    </row>
    <row r="11" spans="1:15" x14ac:dyDescent="0.25">
      <c r="A11" s="9" t="s">
        <v>57</v>
      </c>
      <c r="B11" s="32">
        <v>45875</v>
      </c>
      <c r="C11" s="9" t="s">
        <v>204</v>
      </c>
      <c r="D11" s="71"/>
      <c r="E11" s="70"/>
      <c r="F11" s="70"/>
      <c r="G11" s="71">
        <v>15</v>
      </c>
      <c r="H11" s="70">
        <f>K10</f>
        <v>227.05336671802775</v>
      </c>
      <c r="I11" s="70">
        <f>G11*H11</f>
        <v>3405.800500770416</v>
      </c>
      <c r="J11" s="71">
        <f>J10-G11</f>
        <v>95</v>
      </c>
      <c r="K11" s="70">
        <f t="shared" si="0"/>
        <v>227.05336671802775</v>
      </c>
      <c r="L11" s="70">
        <f>L10-I11</f>
        <v>21570.069838212636</v>
      </c>
      <c r="O11" s="4" t="s">
        <v>324</v>
      </c>
    </row>
    <row r="12" spans="1:15" x14ac:dyDescent="0.25">
      <c r="A12" s="9" t="s">
        <v>57</v>
      </c>
      <c r="B12" s="32">
        <v>45876</v>
      </c>
      <c r="C12" s="9" t="s">
        <v>205</v>
      </c>
      <c r="D12" s="71"/>
      <c r="E12" s="70"/>
      <c r="F12" s="70"/>
      <c r="G12" s="71">
        <v>26</v>
      </c>
      <c r="H12" s="70">
        <f>K11</f>
        <v>227.05336671802775</v>
      </c>
      <c r="I12" s="70">
        <f>G12*H12</f>
        <v>5903.3875346687219</v>
      </c>
      <c r="J12" s="71">
        <f>J11-G12</f>
        <v>69</v>
      </c>
      <c r="K12" s="70">
        <f t="shared" si="0"/>
        <v>227.05336671802775</v>
      </c>
      <c r="L12" s="70">
        <f>L11-I12</f>
        <v>15666.682303543914</v>
      </c>
    </row>
    <row r="13" spans="1:15" x14ac:dyDescent="0.25">
      <c r="A13" s="9" t="s">
        <v>6</v>
      </c>
      <c r="B13" s="32">
        <v>45878</v>
      </c>
      <c r="C13" s="9" t="s">
        <v>206</v>
      </c>
      <c r="D13" s="71">
        <v>180</v>
      </c>
      <c r="E13" s="70">
        <f>298.8/1.18</f>
        <v>253.22033898305088</v>
      </c>
      <c r="F13" s="70">
        <f>D13*E13</f>
        <v>45579.661016949161</v>
      </c>
      <c r="G13" s="71"/>
      <c r="H13" s="70"/>
      <c r="I13" s="70"/>
      <c r="J13" s="71">
        <f>J12+D13</f>
        <v>249</v>
      </c>
      <c r="K13" s="70">
        <f t="shared" si="0"/>
        <v>245.96925028310471</v>
      </c>
      <c r="L13" s="70">
        <f>L12+F13</f>
        <v>61246.343320493077</v>
      </c>
    </row>
    <row r="14" spans="1:15" x14ac:dyDescent="0.25">
      <c r="A14" s="9" t="s">
        <v>58</v>
      </c>
      <c r="B14" s="32">
        <v>45879</v>
      </c>
      <c r="C14" s="9" t="s">
        <v>207</v>
      </c>
      <c r="D14" s="71">
        <f>-20</f>
        <v>-20</v>
      </c>
      <c r="E14" s="70">
        <f>E13</f>
        <v>253.22033898305088</v>
      </c>
      <c r="F14" s="70">
        <f>D14*E14</f>
        <v>-5064.4067796610179</v>
      </c>
      <c r="G14" s="71"/>
      <c r="H14" s="70"/>
      <c r="I14" s="70"/>
      <c r="J14" s="71">
        <f>J13+D14</f>
        <v>229</v>
      </c>
      <c r="K14" s="70">
        <f t="shared" si="0"/>
        <v>245.33596742721423</v>
      </c>
      <c r="L14" s="70">
        <f>L13+F14</f>
        <v>56181.936540832059</v>
      </c>
    </row>
    <row r="15" spans="1:15" x14ac:dyDescent="0.25">
      <c r="A15" s="9" t="s">
        <v>57</v>
      </c>
      <c r="B15" s="32">
        <v>45884</v>
      </c>
      <c r="C15" s="9" t="s">
        <v>208</v>
      </c>
      <c r="D15" s="71"/>
      <c r="E15" s="70"/>
      <c r="F15" s="70"/>
      <c r="G15" s="71">
        <v>36</v>
      </c>
      <c r="H15" s="70">
        <f>K14</f>
        <v>245.33596742721423</v>
      </c>
      <c r="I15" s="70">
        <f>G15*H15</f>
        <v>8832.094827379713</v>
      </c>
      <c r="J15" s="71">
        <f>J14-G15</f>
        <v>193</v>
      </c>
      <c r="K15" s="70">
        <f t="shared" si="0"/>
        <v>245.33596742721423</v>
      </c>
      <c r="L15" s="70">
        <f>L14-I15</f>
        <v>47349.841713452348</v>
      </c>
    </row>
    <row r="16" spans="1:15" x14ac:dyDescent="0.25">
      <c r="A16" s="9" t="s">
        <v>57</v>
      </c>
      <c r="B16" s="32">
        <v>45887</v>
      </c>
      <c r="C16" s="9" t="s">
        <v>209</v>
      </c>
      <c r="D16" s="71"/>
      <c r="E16" s="70"/>
      <c r="F16" s="70"/>
      <c r="G16" s="71">
        <v>28</v>
      </c>
      <c r="H16" s="70">
        <f>K15</f>
        <v>245.33596742721423</v>
      </c>
      <c r="I16" s="70">
        <f>G16*H16</f>
        <v>6869.4070879619985</v>
      </c>
      <c r="J16" s="71">
        <f>J15-G16</f>
        <v>165</v>
      </c>
      <c r="K16" s="70">
        <f t="shared" si="0"/>
        <v>245.33596742721426</v>
      </c>
      <c r="L16" s="70">
        <f>L15-I16</f>
        <v>40480.43462549035</v>
      </c>
    </row>
    <row r="17" spans="1:14" x14ac:dyDescent="0.25">
      <c r="A17" s="9" t="s">
        <v>57</v>
      </c>
      <c r="B17" s="32">
        <v>45889</v>
      </c>
      <c r="C17" s="9" t="s">
        <v>210</v>
      </c>
      <c r="D17" s="71"/>
      <c r="E17" s="70"/>
      <c r="F17" s="70"/>
      <c r="G17" s="71">
        <v>34</v>
      </c>
      <c r="H17" s="70">
        <f>K16</f>
        <v>245.33596742721426</v>
      </c>
      <c r="I17" s="70">
        <f>G17*H17</f>
        <v>8341.4228925252846</v>
      </c>
      <c r="J17" s="71">
        <f>J16-G17</f>
        <v>131</v>
      </c>
      <c r="K17" s="70">
        <f t="shared" si="0"/>
        <v>245.33596742721426</v>
      </c>
      <c r="L17" s="70">
        <f>L16-I17</f>
        <v>32139.011732965067</v>
      </c>
    </row>
    <row r="18" spans="1:14" x14ac:dyDescent="0.25">
      <c r="A18" s="9" t="s">
        <v>58</v>
      </c>
      <c r="B18" s="32">
        <v>45889</v>
      </c>
      <c r="C18" s="9" t="s">
        <v>213</v>
      </c>
      <c r="D18" s="71"/>
      <c r="E18" s="70"/>
      <c r="F18" s="70"/>
      <c r="G18" s="71">
        <f>-20</f>
        <v>-20</v>
      </c>
      <c r="H18" s="70">
        <f>K17</f>
        <v>245.33596742721426</v>
      </c>
      <c r="I18" s="70">
        <f>G18*H18</f>
        <v>-4906.7193485442849</v>
      </c>
      <c r="J18" s="71">
        <f>J17-G18</f>
        <v>151</v>
      </c>
      <c r="K18" s="70">
        <f t="shared" si="0"/>
        <v>245.33596742721426</v>
      </c>
      <c r="L18" s="70">
        <f>L17-I18</f>
        <v>37045.731081509351</v>
      </c>
    </row>
    <row r="19" spans="1:14" x14ac:dyDescent="0.25">
      <c r="A19" s="9" t="s">
        <v>57</v>
      </c>
      <c r="B19" s="32">
        <v>45891</v>
      </c>
      <c r="C19" s="9" t="s">
        <v>214</v>
      </c>
      <c r="D19" s="71"/>
      <c r="E19" s="70"/>
      <c r="F19" s="70"/>
      <c r="G19" s="71">
        <v>30</v>
      </c>
      <c r="H19" s="70">
        <f>K18</f>
        <v>245.33596742721426</v>
      </c>
      <c r="I19" s="70">
        <f>G19*H19</f>
        <v>7360.0790228164278</v>
      </c>
      <c r="J19" s="71">
        <f>J18-G19</f>
        <v>121</v>
      </c>
      <c r="K19" s="70">
        <f t="shared" si="0"/>
        <v>245.33596742721426</v>
      </c>
      <c r="L19" s="70">
        <f>L18-I19</f>
        <v>29685.652058692925</v>
      </c>
    </row>
    <row r="20" spans="1:14" x14ac:dyDescent="0.25">
      <c r="A20" s="9" t="s">
        <v>6</v>
      </c>
      <c r="B20" s="32">
        <v>45894</v>
      </c>
      <c r="C20" s="9" t="s">
        <v>215</v>
      </c>
      <c r="D20" s="71">
        <v>120</v>
      </c>
      <c r="E20" s="70">
        <f>80.42*3.556/1.18</f>
        <v>242.35044067796613</v>
      </c>
      <c r="F20" s="70">
        <f>D20*E20</f>
        <v>29082.052881355936</v>
      </c>
      <c r="G20" s="71"/>
      <c r="H20" s="70"/>
      <c r="I20" s="70"/>
      <c r="J20" s="71">
        <f>J19+D20</f>
        <v>241</v>
      </c>
      <c r="K20" s="70">
        <f t="shared" si="0"/>
        <v>243.84939809148906</v>
      </c>
      <c r="L20" s="70">
        <f>L19+F20</f>
        <v>58767.704940048861</v>
      </c>
    </row>
    <row r="21" spans="1:14" x14ac:dyDescent="0.25">
      <c r="A21" s="9" t="s">
        <v>57</v>
      </c>
      <c r="B21" s="32">
        <v>45897</v>
      </c>
      <c r="C21" s="9" t="s">
        <v>216</v>
      </c>
      <c r="D21" s="71"/>
      <c r="E21" s="70"/>
      <c r="F21" s="70"/>
      <c r="G21" s="71">
        <v>50</v>
      </c>
      <c r="H21" s="70">
        <f>K20</f>
        <v>243.84939809148906</v>
      </c>
      <c r="I21" s="70">
        <f>G21*H21</f>
        <v>12192.469904574453</v>
      </c>
      <c r="J21" s="105">
        <f>J20-G21</f>
        <v>191</v>
      </c>
      <c r="K21" s="106">
        <f t="shared" si="0"/>
        <v>243.84939809148906</v>
      </c>
      <c r="L21" s="107">
        <f>L20-I21</f>
        <v>46575.235035474412</v>
      </c>
    </row>
    <row r="22" spans="1:14" x14ac:dyDescent="0.25">
      <c r="B22" s="12"/>
      <c r="D22" s="103">
        <f>SUM(D9:D21)</f>
        <v>345</v>
      </c>
      <c r="E22" s="12"/>
      <c r="F22" s="69">
        <f>SUM(F9:F21)</f>
        <v>84578.72745762713</v>
      </c>
      <c r="G22" s="72">
        <f>SUM(G9:G21)</f>
        <v>199</v>
      </c>
      <c r="I22" s="13">
        <f>SUM(I9:I21)</f>
        <v>47997.94242215273</v>
      </c>
    </row>
    <row r="23" spans="1:14" x14ac:dyDescent="0.25">
      <c r="B23" s="12"/>
      <c r="D23" s="12"/>
      <c r="E23" s="12"/>
      <c r="F23" s="12"/>
    </row>
    <row r="24" spans="1:14" x14ac:dyDescent="0.25">
      <c r="B24" s="12"/>
      <c r="D24" s="12"/>
      <c r="E24" s="12"/>
      <c r="F24" s="12"/>
      <c r="G24" s="4" t="s">
        <v>329</v>
      </c>
      <c r="L24" s="3" t="s">
        <v>332</v>
      </c>
    </row>
    <row r="25" spans="1:14" x14ac:dyDescent="0.25">
      <c r="B25" s="12"/>
      <c r="D25" s="12"/>
      <c r="E25" s="12"/>
      <c r="F25" s="12"/>
      <c r="G25" s="4" t="s">
        <v>325</v>
      </c>
      <c r="H25" s="103" t="s">
        <v>11</v>
      </c>
      <c r="I25" s="69" t="s">
        <v>314</v>
      </c>
      <c r="M25" s="4" t="s">
        <v>317</v>
      </c>
      <c r="N25" s="4" t="s">
        <v>314</v>
      </c>
    </row>
    <row r="26" spans="1:14" x14ac:dyDescent="0.25">
      <c r="B26" s="12"/>
      <c r="G26" s="4" t="s">
        <v>326</v>
      </c>
      <c r="H26" s="103">
        <f>G11+G15+G19</f>
        <v>81</v>
      </c>
      <c r="I26" s="69">
        <f>I11+I15+I19</f>
        <v>19597.974350966557</v>
      </c>
      <c r="L26" s="4" t="s">
        <v>56</v>
      </c>
      <c r="M26" s="72">
        <f>J9</f>
        <v>45</v>
      </c>
      <c r="N26" s="13">
        <f>L9</f>
        <v>9994.4500000000007</v>
      </c>
    </row>
    <row r="27" spans="1:14" x14ac:dyDescent="0.25">
      <c r="B27" s="12"/>
      <c r="G27" s="4" t="s">
        <v>327</v>
      </c>
      <c r="H27" s="103">
        <f>G12</f>
        <v>26</v>
      </c>
      <c r="I27" s="69">
        <f>I12</f>
        <v>5903.3875346687219</v>
      </c>
      <c r="L27" s="4" t="s">
        <v>6</v>
      </c>
      <c r="M27" s="72">
        <f>D22</f>
        <v>345</v>
      </c>
      <c r="N27" s="13">
        <f>F22</f>
        <v>84578.72745762713</v>
      </c>
    </row>
    <row r="28" spans="1:14" x14ac:dyDescent="0.25">
      <c r="B28" s="12"/>
      <c r="G28" s="4" t="s">
        <v>330</v>
      </c>
      <c r="H28" s="103">
        <f>G16+G21</f>
        <v>78</v>
      </c>
      <c r="I28" s="69">
        <f>I16+I21</f>
        <v>19061.87699253645</v>
      </c>
      <c r="L28" s="4" t="s">
        <v>333</v>
      </c>
      <c r="M28" s="108">
        <f>G22</f>
        <v>199</v>
      </c>
      <c r="N28" s="109">
        <f>I22</f>
        <v>47997.94242215273</v>
      </c>
    </row>
    <row r="29" spans="1:14" x14ac:dyDescent="0.25">
      <c r="G29" s="4" t="s">
        <v>331</v>
      </c>
      <c r="H29" s="103">
        <f>G17+G18</f>
        <v>14</v>
      </c>
      <c r="I29" s="69">
        <f>I17+I18</f>
        <v>3434.7035439809997</v>
      </c>
      <c r="L29" s="4" t="s">
        <v>318</v>
      </c>
      <c r="M29" s="108">
        <f>M26+M27-M28</f>
        <v>191</v>
      </c>
      <c r="N29" s="109">
        <f>N26+N27-N28</f>
        <v>46575.235035474398</v>
      </c>
    </row>
    <row r="30" spans="1:14" x14ac:dyDescent="0.25">
      <c r="G30" s="4" t="s">
        <v>129</v>
      </c>
      <c r="H30" s="110">
        <f>SUM(H26:H29)</f>
        <v>199</v>
      </c>
      <c r="I30" s="111">
        <f>SUM(I26:I29)</f>
        <v>47997.94242215273</v>
      </c>
      <c r="J30" s="4" t="s">
        <v>136</v>
      </c>
    </row>
    <row r="31" spans="1:14" x14ac:dyDescent="0.25">
      <c r="H31" s="12"/>
      <c r="I31" s="12"/>
      <c r="L31" s="4" t="s">
        <v>334</v>
      </c>
    </row>
    <row r="34" spans="3:18" x14ac:dyDescent="0.25">
      <c r="C34" s="4" t="s">
        <v>306</v>
      </c>
      <c r="I34" s="4" t="s">
        <v>312</v>
      </c>
    </row>
    <row r="35" spans="3:18" x14ac:dyDescent="0.25">
      <c r="C35" s="4" t="s">
        <v>307</v>
      </c>
    </row>
    <row r="36" spans="3:18" x14ac:dyDescent="0.25">
      <c r="C36" s="4" t="s">
        <v>308</v>
      </c>
      <c r="I36" s="93" t="s">
        <v>56</v>
      </c>
      <c r="J36" s="101" t="s">
        <v>11</v>
      </c>
      <c r="K36" s="101" t="s">
        <v>313</v>
      </c>
      <c r="L36" s="101" t="s">
        <v>314</v>
      </c>
      <c r="M36" s="94"/>
      <c r="N36" s="95"/>
    </row>
    <row r="37" spans="3:18" x14ac:dyDescent="0.25">
      <c r="C37" s="4" t="s">
        <v>309</v>
      </c>
      <c r="I37" s="96" t="s">
        <v>315</v>
      </c>
      <c r="J37" s="12">
        <v>100</v>
      </c>
      <c r="K37" s="12">
        <v>5</v>
      </c>
      <c r="L37" s="12">
        <f>J37*K37</f>
        <v>500</v>
      </c>
      <c r="N37" s="97"/>
    </row>
    <row r="38" spans="3:18" x14ac:dyDescent="0.25">
      <c r="C38" s="4" t="s">
        <v>310</v>
      </c>
      <c r="G38" s="4" t="s">
        <v>6</v>
      </c>
      <c r="I38" s="96"/>
      <c r="J38" s="12"/>
      <c r="K38" s="12"/>
      <c r="L38" s="12"/>
      <c r="N38" s="97"/>
      <c r="O38" s="4" t="s">
        <v>316</v>
      </c>
    </row>
    <row r="39" spans="3:18" x14ac:dyDescent="0.25">
      <c r="C39" s="4" t="s">
        <v>311</v>
      </c>
      <c r="F39" s="12" t="s">
        <v>11</v>
      </c>
      <c r="G39" s="12" t="s">
        <v>109</v>
      </c>
      <c r="H39" s="12" t="s">
        <v>314</v>
      </c>
      <c r="I39" s="96"/>
      <c r="J39" s="12"/>
      <c r="K39" s="12"/>
      <c r="L39" s="12"/>
      <c r="N39" s="97"/>
      <c r="P39" s="12" t="s">
        <v>317</v>
      </c>
      <c r="Q39" s="12" t="s">
        <v>313</v>
      </c>
      <c r="R39" s="12" t="s">
        <v>314</v>
      </c>
    </row>
    <row r="40" spans="3:18" x14ac:dyDescent="0.25">
      <c r="E40" s="4" t="s">
        <v>315</v>
      </c>
      <c r="F40" s="102">
        <v>1000</v>
      </c>
      <c r="G40" s="12">
        <v>6</v>
      </c>
      <c r="H40" s="103">
        <f>F40*G40</f>
        <v>6000</v>
      </c>
      <c r="I40" s="96"/>
      <c r="N40" s="97"/>
      <c r="O40" s="4" t="s">
        <v>315</v>
      </c>
      <c r="P40" s="12">
        <v>500</v>
      </c>
      <c r="Q40" s="12"/>
      <c r="R40" s="12"/>
    </row>
    <row r="41" spans="3:18" x14ac:dyDescent="0.25">
      <c r="I41" s="96"/>
      <c r="N41" s="97"/>
    </row>
    <row r="42" spans="3:18" x14ac:dyDescent="0.25">
      <c r="I42" s="96"/>
      <c r="N42" s="97"/>
    </row>
    <row r="43" spans="3:18" x14ac:dyDescent="0.25">
      <c r="I43" s="96"/>
      <c r="K43" s="4" t="s">
        <v>318</v>
      </c>
      <c r="L43" s="12" t="s">
        <v>11</v>
      </c>
      <c r="M43" s="12" t="s">
        <v>313</v>
      </c>
      <c r="N43" s="104" t="s">
        <v>314</v>
      </c>
    </row>
    <row r="44" spans="3:18" x14ac:dyDescent="0.25">
      <c r="I44" s="96"/>
      <c r="K44" s="4" t="s">
        <v>315</v>
      </c>
      <c r="L44" s="102">
        <f>J37+F40-P40</f>
        <v>600</v>
      </c>
      <c r="M44" s="12"/>
      <c r="N44" s="104"/>
    </row>
    <row r="45" spans="3:18" x14ac:dyDescent="0.25">
      <c r="I45" s="98"/>
      <c r="J45" s="99"/>
      <c r="K45" s="99"/>
      <c r="L45" s="99"/>
      <c r="M45" s="99"/>
      <c r="N45" s="100"/>
    </row>
    <row r="48" spans="3:18" x14ac:dyDescent="0.25">
      <c r="I48" s="4" t="s">
        <v>319</v>
      </c>
    </row>
    <row r="49" spans="3:9" x14ac:dyDescent="0.25">
      <c r="I49" s="4" t="s">
        <v>320</v>
      </c>
    </row>
    <row r="50" spans="3:9" x14ac:dyDescent="0.25">
      <c r="I50" s="4" t="s">
        <v>322</v>
      </c>
    </row>
    <row r="51" spans="3:9" x14ac:dyDescent="0.25">
      <c r="I51" s="4" t="s">
        <v>321</v>
      </c>
    </row>
    <row r="59" spans="3:9" x14ac:dyDescent="0.25">
      <c r="C59" s="4" t="s">
        <v>335</v>
      </c>
    </row>
    <row r="60" spans="3:9" x14ac:dyDescent="0.25">
      <c r="C60" s="4" t="s">
        <v>336</v>
      </c>
    </row>
  </sheetData>
  <mergeCells count="3">
    <mergeCell ref="D7:F7"/>
    <mergeCell ref="G7:I7"/>
    <mergeCell ref="J7:L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FCF2-25CB-40A1-9416-DA5CA66F3391}">
  <dimension ref="A1:L29"/>
  <sheetViews>
    <sheetView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C7" sqref="C7"/>
    </sheetView>
  </sheetViews>
  <sheetFormatPr baseColWidth="10" defaultRowHeight="13.8" x14ac:dyDescent="0.25"/>
  <cols>
    <col min="1" max="1" width="13.44140625" style="4" customWidth="1"/>
    <col min="2" max="2" width="12.44140625" style="4" bestFit="1" customWidth="1"/>
    <col min="3" max="3" width="70.5546875" style="4" customWidth="1"/>
    <col min="4" max="235" width="11.5546875" style="4"/>
    <col min="236" max="236" width="13.44140625" style="4" customWidth="1"/>
    <col min="237" max="237" width="11.5546875" style="4"/>
    <col min="238" max="238" width="60.88671875" style="4" bestFit="1" customWidth="1"/>
    <col min="239" max="491" width="11.5546875" style="4"/>
    <col min="492" max="492" width="13.44140625" style="4" customWidth="1"/>
    <col min="493" max="493" width="11.5546875" style="4"/>
    <col min="494" max="494" width="60.88671875" style="4" bestFit="1" customWidth="1"/>
    <col min="495" max="747" width="11.5546875" style="4"/>
    <col min="748" max="748" width="13.44140625" style="4" customWidth="1"/>
    <col min="749" max="749" width="11.5546875" style="4"/>
    <col min="750" max="750" width="60.88671875" style="4" bestFit="1" customWidth="1"/>
    <col min="751" max="1003" width="11.5546875" style="4"/>
    <col min="1004" max="1004" width="13.44140625" style="4" customWidth="1"/>
    <col min="1005" max="1005" width="11.5546875" style="4"/>
    <col min="1006" max="1006" width="60.88671875" style="4" bestFit="1" customWidth="1"/>
    <col min="1007" max="1259" width="11.5546875" style="4"/>
    <col min="1260" max="1260" width="13.44140625" style="4" customWidth="1"/>
    <col min="1261" max="1261" width="11.5546875" style="4"/>
    <col min="1262" max="1262" width="60.88671875" style="4" bestFit="1" customWidth="1"/>
    <col min="1263" max="1515" width="11.5546875" style="4"/>
    <col min="1516" max="1516" width="13.44140625" style="4" customWidth="1"/>
    <col min="1517" max="1517" width="11.5546875" style="4"/>
    <col min="1518" max="1518" width="60.88671875" style="4" bestFit="1" customWidth="1"/>
    <col min="1519" max="1771" width="11.5546875" style="4"/>
    <col min="1772" max="1772" width="13.44140625" style="4" customWidth="1"/>
    <col min="1773" max="1773" width="11.5546875" style="4"/>
    <col min="1774" max="1774" width="60.88671875" style="4" bestFit="1" customWidth="1"/>
    <col min="1775" max="2027" width="11.5546875" style="4"/>
    <col min="2028" max="2028" width="13.44140625" style="4" customWidth="1"/>
    <col min="2029" max="2029" width="11.5546875" style="4"/>
    <col min="2030" max="2030" width="60.88671875" style="4" bestFit="1" customWidth="1"/>
    <col min="2031" max="2283" width="11.5546875" style="4"/>
    <col min="2284" max="2284" width="13.44140625" style="4" customWidth="1"/>
    <col min="2285" max="2285" width="11.5546875" style="4"/>
    <col min="2286" max="2286" width="60.88671875" style="4" bestFit="1" customWidth="1"/>
    <col min="2287" max="2539" width="11.5546875" style="4"/>
    <col min="2540" max="2540" width="13.44140625" style="4" customWidth="1"/>
    <col min="2541" max="2541" width="11.5546875" style="4"/>
    <col min="2542" max="2542" width="60.88671875" style="4" bestFit="1" customWidth="1"/>
    <col min="2543" max="2795" width="11.5546875" style="4"/>
    <col min="2796" max="2796" width="13.44140625" style="4" customWidth="1"/>
    <col min="2797" max="2797" width="11.5546875" style="4"/>
    <col min="2798" max="2798" width="60.88671875" style="4" bestFit="1" customWidth="1"/>
    <col min="2799" max="3051" width="11.5546875" style="4"/>
    <col min="3052" max="3052" width="13.44140625" style="4" customWidth="1"/>
    <col min="3053" max="3053" width="11.5546875" style="4"/>
    <col min="3054" max="3054" width="60.88671875" style="4" bestFit="1" customWidth="1"/>
    <col min="3055" max="3307" width="11.5546875" style="4"/>
    <col min="3308" max="3308" width="13.44140625" style="4" customWidth="1"/>
    <col min="3309" max="3309" width="11.5546875" style="4"/>
    <col min="3310" max="3310" width="60.88671875" style="4" bestFit="1" customWidth="1"/>
    <col min="3311" max="3563" width="11.5546875" style="4"/>
    <col min="3564" max="3564" width="13.44140625" style="4" customWidth="1"/>
    <col min="3565" max="3565" width="11.5546875" style="4"/>
    <col min="3566" max="3566" width="60.88671875" style="4" bestFit="1" customWidth="1"/>
    <col min="3567" max="3819" width="11.5546875" style="4"/>
    <col min="3820" max="3820" width="13.44140625" style="4" customWidth="1"/>
    <col min="3821" max="3821" width="11.5546875" style="4"/>
    <col min="3822" max="3822" width="60.88671875" style="4" bestFit="1" customWidth="1"/>
    <col min="3823" max="4075" width="11.5546875" style="4"/>
    <col min="4076" max="4076" width="13.44140625" style="4" customWidth="1"/>
    <col min="4077" max="4077" width="11.5546875" style="4"/>
    <col min="4078" max="4078" width="60.88671875" style="4" bestFit="1" customWidth="1"/>
    <col min="4079" max="4331" width="11.5546875" style="4"/>
    <col min="4332" max="4332" width="13.44140625" style="4" customWidth="1"/>
    <col min="4333" max="4333" width="11.5546875" style="4"/>
    <col min="4334" max="4334" width="60.88671875" style="4" bestFit="1" customWidth="1"/>
    <col min="4335" max="4587" width="11.5546875" style="4"/>
    <col min="4588" max="4588" width="13.44140625" style="4" customWidth="1"/>
    <col min="4589" max="4589" width="11.5546875" style="4"/>
    <col min="4590" max="4590" width="60.88671875" style="4" bestFit="1" customWidth="1"/>
    <col min="4591" max="4843" width="11.5546875" style="4"/>
    <col min="4844" max="4844" width="13.44140625" style="4" customWidth="1"/>
    <col min="4845" max="4845" width="11.5546875" style="4"/>
    <col min="4846" max="4846" width="60.88671875" style="4" bestFit="1" customWidth="1"/>
    <col min="4847" max="5099" width="11.5546875" style="4"/>
    <col min="5100" max="5100" width="13.44140625" style="4" customWidth="1"/>
    <col min="5101" max="5101" width="11.5546875" style="4"/>
    <col min="5102" max="5102" width="60.88671875" style="4" bestFit="1" customWidth="1"/>
    <col min="5103" max="5355" width="11.5546875" style="4"/>
    <col min="5356" max="5356" width="13.44140625" style="4" customWidth="1"/>
    <col min="5357" max="5357" width="11.5546875" style="4"/>
    <col min="5358" max="5358" width="60.88671875" style="4" bestFit="1" customWidth="1"/>
    <col min="5359" max="5611" width="11.5546875" style="4"/>
    <col min="5612" max="5612" width="13.44140625" style="4" customWidth="1"/>
    <col min="5613" max="5613" width="11.5546875" style="4"/>
    <col min="5614" max="5614" width="60.88671875" style="4" bestFit="1" customWidth="1"/>
    <col min="5615" max="5867" width="11.5546875" style="4"/>
    <col min="5868" max="5868" width="13.44140625" style="4" customWidth="1"/>
    <col min="5869" max="5869" width="11.5546875" style="4"/>
    <col min="5870" max="5870" width="60.88671875" style="4" bestFit="1" customWidth="1"/>
    <col min="5871" max="6123" width="11.5546875" style="4"/>
    <col min="6124" max="6124" width="13.44140625" style="4" customWidth="1"/>
    <col min="6125" max="6125" width="11.5546875" style="4"/>
    <col min="6126" max="6126" width="60.88671875" style="4" bestFit="1" customWidth="1"/>
    <col min="6127" max="6379" width="11.5546875" style="4"/>
    <col min="6380" max="6380" width="13.44140625" style="4" customWidth="1"/>
    <col min="6381" max="6381" width="11.5546875" style="4"/>
    <col min="6382" max="6382" width="60.88671875" style="4" bestFit="1" customWidth="1"/>
    <col min="6383" max="6635" width="11.5546875" style="4"/>
    <col min="6636" max="6636" width="13.44140625" style="4" customWidth="1"/>
    <col min="6637" max="6637" width="11.5546875" style="4"/>
    <col min="6638" max="6638" width="60.88671875" style="4" bestFit="1" customWidth="1"/>
    <col min="6639" max="6891" width="11.5546875" style="4"/>
    <col min="6892" max="6892" width="13.44140625" style="4" customWidth="1"/>
    <col min="6893" max="6893" width="11.5546875" style="4"/>
    <col min="6894" max="6894" width="60.88671875" style="4" bestFit="1" customWidth="1"/>
    <col min="6895" max="7147" width="11.5546875" style="4"/>
    <col min="7148" max="7148" width="13.44140625" style="4" customWidth="1"/>
    <col min="7149" max="7149" width="11.5546875" style="4"/>
    <col min="7150" max="7150" width="60.88671875" style="4" bestFit="1" customWidth="1"/>
    <col min="7151" max="7403" width="11.5546875" style="4"/>
    <col min="7404" max="7404" width="13.44140625" style="4" customWidth="1"/>
    <col min="7405" max="7405" width="11.5546875" style="4"/>
    <col min="7406" max="7406" width="60.88671875" style="4" bestFit="1" customWidth="1"/>
    <col min="7407" max="7659" width="11.5546875" style="4"/>
    <col min="7660" max="7660" width="13.44140625" style="4" customWidth="1"/>
    <col min="7661" max="7661" width="11.5546875" style="4"/>
    <col min="7662" max="7662" width="60.88671875" style="4" bestFit="1" customWidth="1"/>
    <col min="7663" max="7915" width="11.5546875" style="4"/>
    <col min="7916" max="7916" width="13.44140625" style="4" customWidth="1"/>
    <col min="7917" max="7917" width="11.5546875" style="4"/>
    <col min="7918" max="7918" width="60.88671875" style="4" bestFit="1" customWidth="1"/>
    <col min="7919" max="8171" width="11.5546875" style="4"/>
    <col min="8172" max="8172" width="13.44140625" style="4" customWidth="1"/>
    <col min="8173" max="8173" width="11.5546875" style="4"/>
    <col min="8174" max="8174" width="60.88671875" style="4" bestFit="1" customWidth="1"/>
    <col min="8175" max="8427" width="11.5546875" style="4"/>
    <col min="8428" max="8428" width="13.44140625" style="4" customWidth="1"/>
    <col min="8429" max="8429" width="11.5546875" style="4"/>
    <col min="8430" max="8430" width="60.88671875" style="4" bestFit="1" customWidth="1"/>
    <col min="8431" max="8683" width="11.5546875" style="4"/>
    <col min="8684" max="8684" width="13.44140625" style="4" customWidth="1"/>
    <col min="8685" max="8685" width="11.5546875" style="4"/>
    <col min="8686" max="8686" width="60.88671875" style="4" bestFit="1" customWidth="1"/>
    <col min="8687" max="8939" width="11.5546875" style="4"/>
    <col min="8940" max="8940" width="13.44140625" style="4" customWidth="1"/>
    <col min="8941" max="8941" width="11.5546875" style="4"/>
    <col min="8942" max="8942" width="60.88671875" style="4" bestFit="1" customWidth="1"/>
    <col min="8943" max="9195" width="11.5546875" style="4"/>
    <col min="9196" max="9196" width="13.44140625" style="4" customWidth="1"/>
    <col min="9197" max="9197" width="11.5546875" style="4"/>
    <col min="9198" max="9198" width="60.88671875" style="4" bestFit="1" customWidth="1"/>
    <col min="9199" max="9451" width="11.5546875" style="4"/>
    <col min="9452" max="9452" width="13.44140625" style="4" customWidth="1"/>
    <col min="9453" max="9453" width="11.5546875" style="4"/>
    <col min="9454" max="9454" width="60.88671875" style="4" bestFit="1" customWidth="1"/>
    <col min="9455" max="9707" width="11.5546875" style="4"/>
    <col min="9708" max="9708" width="13.44140625" style="4" customWidth="1"/>
    <col min="9709" max="9709" width="11.5546875" style="4"/>
    <col min="9710" max="9710" width="60.88671875" style="4" bestFit="1" customWidth="1"/>
    <col min="9711" max="9963" width="11.5546875" style="4"/>
    <col min="9964" max="9964" width="13.44140625" style="4" customWidth="1"/>
    <col min="9965" max="9965" width="11.5546875" style="4"/>
    <col min="9966" max="9966" width="60.88671875" style="4" bestFit="1" customWidth="1"/>
    <col min="9967" max="10219" width="11.5546875" style="4"/>
    <col min="10220" max="10220" width="13.44140625" style="4" customWidth="1"/>
    <col min="10221" max="10221" width="11.5546875" style="4"/>
    <col min="10222" max="10222" width="60.88671875" style="4" bestFit="1" customWidth="1"/>
    <col min="10223" max="10475" width="11.5546875" style="4"/>
    <col min="10476" max="10476" width="13.44140625" style="4" customWidth="1"/>
    <col min="10477" max="10477" width="11.5546875" style="4"/>
    <col min="10478" max="10478" width="60.88671875" style="4" bestFit="1" customWidth="1"/>
    <col min="10479" max="10731" width="11.5546875" style="4"/>
    <col min="10732" max="10732" width="13.44140625" style="4" customWidth="1"/>
    <col min="10733" max="10733" width="11.5546875" style="4"/>
    <col min="10734" max="10734" width="60.88671875" style="4" bestFit="1" customWidth="1"/>
    <col min="10735" max="10987" width="11.5546875" style="4"/>
    <col min="10988" max="10988" width="13.44140625" style="4" customWidth="1"/>
    <col min="10989" max="10989" width="11.5546875" style="4"/>
    <col min="10990" max="10990" width="60.88671875" style="4" bestFit="1" customWidth="1"/>
    <col min="10991" max="11243" width="11.5546875" style="4"/>
    <col min="11244" max="11244" width="13.44140625" style="4" customWidth="1"/>
    <col min="11245" max="11245" width="11.5546875" style="4"/>
    <col min="11246" max="11246" width="60.88671875" style="4" bestFit="1" customWidth="1"/>
    <col min="11247" max="11499" width="11.5546875" style="4"/>
    <col min="11500" max="11500" width="13.44140625" style="4" customWidth="1"/>
    <col min="11501" max="11501" width="11.5546875" style="4"/>
    <col min="11502" max="11502" width="60.88671875" style="4" bestFit="1" customWidth="1"/>
    <col min="11503" max="11755" width="11.5546875" style="4"/>
    <col min="11756" max="11756" width="13.44140625" style="4" customWidth="1"/>
    <col min="11757" max="11757" width="11.5546875" style="4"/>
    <col min="11758" max="11758" width="60.88671875" style="4" bestFit="1" customWidth="1"/>
    <col min="11759" max="12011" width="11.5546875" style="4"/>
    <col min="12012" max="12012" width="13.44140625" style="4" customWidth="1"/>
    <col min="12013" max="12013" width="11.5546875" style="4"/>
    <col min="12014" max="12014" width="60.88671875" style="4" bestFit="1" customWidth="1"/>
    <col min="12015" max="12267" width="11.5546875" style="4"/>
    <col min="12268" max="12268" width="13.44140625" style="4" customWidth="1"/>
    <col min="12269" max="12269" width="11.5546875" style="4"/>
    <col min="12270" max="12270" width="60.88671875" style="4" bestFit="1" customWidth="1"/>
    <col min="12271" max="12523" width="11.5546875" style="4"/>
    <col min="12524" max="12524" width="13.44140625" style="4" customWidth="1"/>
    <col min="12525" max="12525" width="11.5546875" style="4"/>
    <col min="12526" max="12526" width="60.88671875" style="4" bestFit="1" customWidth="1"/>
    <col min="12527" max="12779" width="11.5546875" style="4"/>
    <col min="12780" max="12780" width="13.44140625" style="4" customWidth="1"/>
    <col min="12781" max="12781" width="11.5546875" style="4"/>
    <col min="12782" max="12782" width="60.88671875" style="4" bestFit="1" customWidth="1"/>
    <col min="12783" max="13035" width="11.5546875" style="4"/>
    <col min="13036" max="13036" width="13.44140625" style="4" customWidth="1"/>
    <col min="13037" max="13037" width="11.5546875" style="4"/>
    <col min="13038" max="13038" width="60.88671875" style="4" bestFit="1" customWidth="1"/>
    <col min="13039" max="13291" width="11.5546875" style="4"/>
    <col min="13292" max="13292" width="13.44140625" style="4" customWidth="1"/>
    <col min="13293" max="13293" width="11.5546875" style="4"/>
    <col min="13294" max="13294" width="60.88671875" style="4" bestFit="1" customWidth="1"/>
    <col min="13295" max="13547" width="11.5546875" style="4"/>
    <col min="13548" max="13548" width="13.44140625" style="4" customWidth="1"/>
    <col min="13549" max="13549" width="11.5546875" style="4"/>
    <col min="13550" max="13550" width="60.88671875" style="4" bestFit="1" customWidth="1"/>
    <col min="13551" max="13803" width="11.5546875" style="4"/>
    <col min="13804" max="13804" width="13.44140625" style="4" customWidth="1"/>
    <col min="13805" max="13805" width="11.5546875" style="4"/>
    <col min="13806" max="13806" width="60.88671875" style="4" bestFit="1" customWidth="1"/>
    <col min="13807" max="14059" width="11.5546875" style="4"/>
    <col min="14060" max="14060" width="13.44140625" style="4" customWidth="1"/>
    <col min="14061" max="14061" width="11.5546875" style="4"/>
    <col min="14062" max="14062" width="60.88671875" style="4" bestFit="1" customWidth="1"/>
    <col min="14063" max="14315" width="11.5546875" style="4"/>
    <col min="14316" max="14316" width="13.44140625" style="4" customWidth="1"/>
    <col min="14317" max="14317" width="11.5546875" style="4"/>
    <col min="14318" max="14318" width="60.88671875" style="4" bestFit="1" customWidth="1"/>
    <col min="14319" max="14571" width="11.5546875" style="4"/>
    <col min="14572" max="14572" width="13.44140625" style="4" customWidth="1"/>
    <col min="14573" max="14573" width="11.5546875" style="4"/>
    <col min="14574" max="14574" width="60.88671875" style="4" bestFit="1" customWidth="1"/>
    <col min="14575" max="14827" width="11.5546875" style="4"/>
    <col min="14828" max="14828" width="13.44140625" style="4" customWidth="1"/>
    <col min="14829" max="14829" width="11.5546875" style="4"/>
    <col min="14830" max="14830" width="60.88671875" style="4" bestFit="1" customWidth="1"/>
    <col min="14831" max="15083" width="11.5546875" style="4"/>
    <col min="15084" max="15084" width="13.44140625" style="4" customWidth="1"/>
    <col min="15085" max="15085" width="11.5546875" style="4"/>
    <col min="15086" max="15086" width="60.88671875" style="4" bestFit="1" customWidth="1"/>
    <col min="15087" max="15339" width="11.5546875" style="4"/>
    <col min="15340" max="15340" width="13.44140625" style="4" customWidth="1"/>
    <col min="15341" max="15341" width="11.5546875" style="4"/>
    <col min="15342" max="15342" width="60.88671875" style="4" bestFit="1" customWidth="1"/>
    <col min="15343" max="15595" width="11.5546875" style="4"/>
    <col min="15596" max="15596" width="13.44140625" style="4" customWidth="1"/>
    <col min="15597" max="15597" width="11.5546875" style="4"/>
    <col min="15598" max="15598" width="60.88671875" style="4" bestFit="1" customWidth="1"/>
    <col min="15599" max="15851" width="11.5546875" style="4"/>
    <col min="15852" max="15852" width="13.44140625" style="4" customWidth="1"/>
    <col min="15853" max="15853" width="11.5546875" style="4"/>
    <col min="15854" max="15854" width="60.88671875" style="4" bestFit="1" customWidth="1"/>
    <col min="15855" max="16107" width="11.5546875" style="4"/>
    <col min="16108" max="16108" width="13.44140625" style="4" customWidth="1"/>
    <col min="16109" max="16109" width="11.5546875" style="4"/>
    <col min="16110" max="16110" width="60.88671875" style="4" bestFit="1" customWidth="1"/>
    <col min="16111" max="16362" width="11.5546875" style="4"/>
    <col min="16363" max="16384" width="11.44140625" style="4" customWidth="1"/>
  </cols>
  <sheetData>
    <row r="1" spans="1:12" x14ac:dyDescent="0.25">
      <c r="A1" s="3" t="s">
        <v>41</v>
      </c>
    </row>
    <row r="2" spans="1:12" x14ac:dyDescent="0.25">
      <c r="A2" s="3" t="s">
        <v>211</v>
      </c>
    </row>
    <row r="3" spans="1:12" x14ac:dyDescent="0.25">
      <c r="A3" s="4" t="s">
        <v>108</v>
      </c>
      <c r="B3" s="4" t="s">
        <v>42</v>
      </c>
    </row>
    <row r="4" spans="1:12" x14ac:dyDescent="0.25">
      <c r="A4" s="4" t="s">
        <v>43</v>
      </c>
      <c r="B4" s="4" t="s">
        <v>212</v>
      </c>
    </row>
    <row r="5" spans="1:12" x14ac:dyDescent="0.25">
      <c r="A5" s="4" t="s">
        <v>44</v>
      </c>
      <c r="B5" s="62">
        <v>45870</v>
      </c>
    </row>
    <row r="6" spans="1:12" x14ac:dyDescent="0.25">
      <c r="A6" s="4" t="s">
        <v>45</v>
      </c>
      <c r="B6" s="4" t="s">
        <v>60</v>
      </c>
      <c r="C6" s="4" t="s">
        <v>218</v>
      </c>
    </row>
    <row r="7" spans="1:12" x14ac:dyDescent="0.25">
      <c r="A7" s="4" t="s">
        <v>217</v>
      </c>
      <c r="D7" s="120" t="s">
        <v>48</v>
      </c>
      <c r="E7" s="120"/>
      <c r="F7" s="120"/>
      <c r="G7" s="120" t="s">
        <v>49</v>
      </c>
      <c r="H7" s="120"/>
      <c r="I7" s="120"/>
      <c r="J7" s="120" t="s">
        <v>50</v>
      </c>
      <c r="K7" s="120"/>
      <c r="L7" s="120"/>
    </row>
    <row r="8" spans="1:12" x14ac:dyDescent="0.25">
      <c r="A8" s="15" t="s">
        <v>51</v>
      </c>
      <c r="B8" s="5" t="s">
        <v>52</v>
      </c>
      <c r="C8" s="15" t="s">
        <v>53</v>
      </c>
      <c r="D8" s="5" t="s">
        <v>11</v>
      </c>
      <c r="E8" s="5" t="s">
        <v>54</v>
      </c>
      <c r="F8" s="5" t="s">
        <v>55</v>
      </c>
      <c r="G8" s="5" t="s">
        <v>11</v>
      </c>
      <c r="H8" s="5" t="s">
        <v>54</v>
      </c>
      <c r="I8" s="5" t="s">
        <v>55</v>
      </c>
      <c r="J8" s="5" t="s">
        <v>11</v>
      </c>
      <c r="K8" s="5" t="s">
        <v>54</v>
      </c>
      <c r="L8" s="5" t="s">
        <v>55</v>
      </c>
    </row>
    <row r="9" spans="1:12" x14ac:dyDescent="0.25">
      <c r="A9" s="9" t="s">
        <v>56</v>
      </c>
      <c r="B9" s="32">
        <v>45870</v>
      </c>
      <c r="C9" s="9" t="s">
        <v>152</v>
      </c>
      <c r="D9" s="71"/>
      <c r="E9" s="70"/>
      <c r="F9" s="70"/>
      <c r="G9" s="71"/>
      <c r="H9" s="70"/>
      <c r="I9" s="70"/>
      <c r="J9" s="71"/>
      <c r="K9" s="70"/>
      <c r="L9" s="70"/>
    </row>
    <row r="10" spans="1:12" x14ac:dyDescent="0.25">
      <c r="A10" s="9" t="s">
        <v>6</v>
      </c>
      <c r="B10" s="32">
        <v>45871</v>
      </c>
      <c r="C10" s="9" t="s">
        <v>203</v>
      </c>
      <c r="D10" s="71"/>
      <c r="E10" s="70"/>
      <c r="F10" s="70"/>
      <c r="G10" s="71"/>
      <c r="H10" s="70"/>
      <c r="I10" s="70"/>
      <c r="J10" s="71"/>
      <c r="K10" s="70"/>
      <c r="L10" s="70"/>
    </row>
    <row r="11" spans="1:12" x14ac:dyDescent="0.25">
      <c r="A11" s="9" t="s">
        <v>57</v>
      </c>
      <c r="B11" s="32">
        <v>45875</v>
      </c>
      <c r="C11" s="9" t="s">
        <v>204</v>
      </c>
      <c r="D11" s="71"/>
      <c r="E11" s="70"/>
      <c r="F11" s="70"/>
      <c r="G11" s="71"/>
      <c r="H11" s="70"/>
      <c r="I11" s="70"/>
      <c r="J11" s="71"/>
      <c r="K11" s="70"/>
      <c r="L11" s="70"/>
    </row>
    <row r="12" spans="1:12" x14ac:dyDescent="0.25">
      <c r="A12" s="9" t="s">
        <v>57</v>
      </c>
      <c r="B12" s="32">
        <v>45876</v>
      </c>
      <c r="C12" s="9" t="s">
        <v>205</v>
      </c>
      <c r="D12" s="71"/>
      <c r="E12" s="70"/>
      <c r="F12" s="70"/>
      <c r="G12" s="71"/>
      <c r="H12" s="70"/>
      <c r="I12" s="70"/>
      <c r="J12" s="71"/>
      <c r="K12" s="70"/>
      <c r="L12" s="70"/>
    </row>
    <row r="13" spans="1:12" x14ac:dyDescent="0.25">
      <c r="A13" s="9" t="s">
        <v>6</v>
      </c>
      <c r="B13" s="32">
        <v>45878</v>
      </c>
      <c r="C13" s="9" t="s">
        <v>206</v>
      </c>
      <c r="D13" s="71"/>
      <c r="E13" s="70"/>
      <c r="F13" s="70"/>
      <c r="G13" s="71"/>
      <c r="H13" s="70"/>
      <c r="I13" s="70"/>
      <c r="J13" s="71"/>
      <c r="K13" s="70"/>
      <c r="L13" s="70"/>
    </row>
    <row r="14" spans="1:12" x14ac:dyDescent="0.25">
      <c r="A14" s="9" t="s">
        <v>58</v>
      </c>
      <c r="B14" s="32">
        <v>45879</v>
      </c>
      <c r="C14" s="9" t="s">
        <v>207</v>
      </c>
      <c r="D14" s="71"/>
      <c r="E14" s="70"/>
      <c r="F14" s="70"/>
      <c r="G14" s="71"/>
      <c r="H14" s="70"/>
      <c r="I14" s="70"/>
      <c r="J14" s="71"/>
      <c r="K14" s="70"/>
      <c r="L14" s="70"/>
    </row>
    <row r="15" spans="1:12" x14ac:dyDescent="0.25">
      <c r="A15" s="9" t="s">
        <v>57</v>
      </c>
      <c r="B15" s="32">
        <v>45884</v>
      </c>
      <c r="C15" s="9" t="s">
        <v>208</v>
      </c>
      <c r="D15" s="71"/>
      <c r="E15" s="70"/>
      <c r="F15" s="70"/>
      <c r="G15" s="71"/>
      <c r="H15" s="70"/>
      <c r="I15" s="70"/>
      <c r="J15" s="71"/>
      <c r="K15" s="70"/>
      <c r="L15" s="70"/>
    </row>
    <row r="16" spans="1:12" x14ac:dyDescent="0.25">
      <c r="A16" s="9" t="s">
        <v>57</v>
      </c>
      <c r="B16" s="32">
        <v>45887</v>
      </c>
      <c r="C16" s="9" t="s">
        <v>209</v>
      </c>
      <c r="D16" s="71"/>
      <c r="E16" s="70"/>
      <c r="F16" s="70"/>
      <c r="G16" s="71"/>
      <c r="H16" s="70"/>
      <c r="I16" s="70"/>
      <c r="J16" s="71"/>
      <c r="K16" s="70"/>
      <c r="L16" s="70"/>
    </row>
    <row r="17" spans="1:12" x14ac:dyDescent="0.25">
      <c r="A17" s="9" t="s">
        <v>57</v>
      </c>
      <c r="B17" s="32">
        <v>45889</v>
      </c>
      <c r="C17" s="9" t="s">
        <v>210</v>
      </c>
      <c r="D17" s="71"/>
      <c r="E17" s="70"/>
      <c r="F17" s="70"/>
      <c r="G17" s="71"/>
      <c r="H17" s="70"/>
      <c r="I17" s="70"/>
      <c r="J17" s="71"/>
      <c r="K17" s="70"/>
      <c r="L17" s="70"/>
    </row>
    <row r="18" spans="1:12" x14ac:dyDescent="0.25">
      <c r="A18" s="9" t="s">
        <v>58</v>
      </c>
      <c r="B18" s="32">
        <v>45889</v>
      </c>
      <c r="C18" s="9" t="s">
        <v>213</v>
      </c>
      <c r="D18" s="71"/>
      <c r="E18" s="70"/>
      <c r="F18" s="70"/>
      <c r="G18" s="71"/>
      <c r="H18" s="70"/>
      <c r="I18" s="70"/>
      <c r="J18" s="71"/>
      <c r="K18" s="70"/>
      <c r="L18" s="70"/>
    </row>
    <row r="19" spans="1:12" x14ac:dyDescent="0.25">
      <c r="A19" s="9" t="s">
        <v>57</v>
      </c>
      <c r="B19" s="32">
        <v>45891</v>
      </c>
      <c r="C19" s="9" t="s">
        <v>214</v>
      </c>
      <c r="D19" s="71"/>
      <c r="E19" s="70"/>
      <c r="F19" s="70"/>
      <c r="G19" s="71"/>
      <c r="H19" s="70"/>
      <c r="I19" s="70"/>
      <c r="J19" s="71"/>
      <c r="K19" s="70"/>
      <c r="L19" s="70"/>
    </row>
    <row r="20" spans="1:12" x14ac:dyDescent="0.25">
      <c r="A20" s="9" t="s">
        <v>6</v>
      </c>
      <c r="B20" s="32">
        <v>45894</v>
      </c>
      <c r="C20" s="9" t="s">
        <v>215</v>
      </c>
      <c r="D20" s="71"/>
      <c r="E20" s="70"/>
      <c r="F20" s="70"/>
      <c r="G20" s="71"/>
      <c r="H20" s="70"/>
      <c r="I20" s="70"/>
      <c r="J20" s="71"/>
      <c r="K20" s="70"/>
      <c r="L20" s="70"/>
    </row>
    <row r="21" spans="1:12" x14ac:dyDescent="0.25">
      <c r="A21" s="9" t="s">
        <v>57</v>
      </c>
      <c r="B21" s="32">
        <v>45897</v>
      </c>
      <c r="C21" s="9" t="s">
        <v>216</v>
      </c>
      <c r="D21" s="71"/>
      <c r="E21" s="70"/>
      <c r="F21" s="70"/>
      <c r="G21" s="71"/>
      <c r="H21" s="70"/>
      <c r="I21" s="70"/>
      <c r="J21" s="71"/>
      <c r="K21" s="70"/>
      <c r="L21" s="10"/>
    </row>
    <row r="22" spans="1:12" x14ac:dyDescent="0.25">
      <c r="B22" s="12"/>
      <c r="D22" s="12"/>
      <c r="E22" s="12"/>
      <c r="F22" s="12"/>
    </row>
    <row r="23" spans="1:12" x14ac:dyDescent="0.25">
      <c r="B23" s="12"/>
      <c r="D23" s="12"/>
      <c r="E23" s="12"/>
      <c r="F23" s="12"/>
    </row>
    <row r="24" spans="1:12" x14ac:dyDescent="0.25">
      <c r="B24" s="12"/>
      <c r="D24" s="12"/>
      <c r="E24" s="12"/>
      <c r="F24" s="12"/>
    </row>
    <row r="25" spans="1:12" x14ac:dyDescent="0.25">
      <c r="B25" s="12"/>
      <c r="D25" s="12"/>
      <c r="E25" s="12"/>
      <c r="F25" s="12"/>
      <c r="H25" s="72"/>
      <c r="I25" s="13"/>
    </row>
    <row r="26" spans="1:12" x14ac:dyDescent="0.25">
      <c r="B26" s="12"/>
      <c r="H26" s="72"/>
      <c r="I26" s="13"/>
    </row>
    <row r="27" spans="1:12" x14ac:dyDescent="0.25">
      <c r="B27" s="12"/>
      <c r="H27" s="72"/>
      <c r="I27" s="13"/>
    </row>
    <row r="28" spans="1:12" x14ac:dyDescent="0.25">
      <c r="B28" s="12"/>
      <c r="H28" s="72"/>
      <c r="I28" s="13"/>
    </row>
    <row r="29" spans="1:12" x14ac:dyDescent="0.25">
      <c r="I29" s="13"/>
    </row>
  </sheetData>
  <mergeCells count="3">
    <mergeCell ref="D7:F7"/>
    <mergeCell ref="G7:I7"/>
    <mergeCell ref="J7:L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E0722-4677-4779-9B11-07CE2CA64153}">
  <dimension ref="A1:L29"/>
  <sheetViews>
    <sheetView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C7" sqref="C7"/>
    </sheetView>
  </sheetViews>
  <sheetFormatPr baseColWidth="10" defaultRowHeight="13.8" x14ac:dyDescent="0.25"/>
  <cols>
    <col min="1" max="1" width="13.44140625" style="4" customWidth="1"/>
    <col min="2" max="2" width="12.44140625" style="4" bestFit="1" customWidth="1"/>
    <col min="3" max="3" width="70.5546875" style="4" customWidth="1"/>
    <col min="4" max="235" width="11.5546875" style="4"/>
    <col min="236" max="236" width="13.44140625" style="4" customWidth="1"/>
    <col min="237" max="237" width="11.5546875" style="4"/>
    <col min="238" max="238" width="60.88671875" style="4" bestFit="1" customWidth="1"/>
    <col min="239" max="491" width="11.5546875" style="4"/>
    <col min="492" max="492" width="13.44140625" style="4" customWidth="1"/>
    <col min="493" max="493" width="11.5546875" style="4"/>
    <col min="494" max="494" width="60.88671875" style="4" bestFit="1" customWidth="1"/>
    <col min="495" max="747" width="11.5546875" style="4"/>
    <col min="748" max="748" width="13.44140625" style="4" customWidth="1"/>
    <col min="749" max="749" width="11.5546875" style="4"/>
    <col min="750" max="750" width="60.88671875" style="4" bestFit="1" customWidth="1"/>
    <col min="751" max="1003" width="11.5546875" style="4"/>
    <col min="1004" max="1004" width="13.44140625" style="4" customWidth="1"/>
    <col min="1005" max="1005" width="11.5546875" style="4"/>
    <col min="1006" max="1006" width="60.88671875" style="4" bestFit="1" customWidth="1"/>
    <col min="1007" max="1259" width="11.5546875" style="4"/>
    <col min="1260" max="1260" width="13.44140625" style="4" customWidth="1"/>
    <col min="1261" max="1261" width="11.5546875" style="4"/>
    <col min="1262" max="1262" width="60.88671875" style="4" bestFit="1" customWidth="1"/>
    <col min="1263" max="1515" width="11.5546875" style="4"/>
    <col min="1516" max="1516" width="13.44140625" style="4" customWidth="1"/>
    <col min="1517" max="1517" width="11.5546875" style="4"/>
    <col min="1518" max="1518" width="60.88671875" style="4" bestFit="1" customWidth="1"/>
    <col min="1519" max="1771" width="11.5546875" style="4"/>
    <col min="1772" max="1772" width="13.44140625" style="4" customWidth="1"/>
    <col min="1773" max="1773" width="11.5546875" style="4"/>
    <col min="1774" max="1774" width="60.88671875" style="4" bestFit="1" customWidth="1"/>
    <col min="1775" max="2027" width="11.5546875" style="4"/>
    <col min="2028" max="2028" width="13.44140625" style="4" customWidth="1"/>
    <col min="2029" max="2029" width="11.5546875" style="4"/>
    <col min="2030" max="2030" width="60.88671875" style="4" bestFit="1" customWidth="1"/>
    <col min="2031" max="2283" width="11.5546875" style="4"/>
    <col min="2284" max="2284" width="13.44140625" style="4" customWidth="1"/>
    <col min="2285" max="2285" width="11.5546875" style="4"/>
    <col min="2286" max="2286" width="60.88671875" style="4" bestFit="1" customWidth="1"/>
    <col min="2287" max="2539" width="11.5546875" style="4"/>
    <col min="2540" max="2540" width="13.44140625" style="4" customWidth="1"/>
    <col min="2541" max="2541" width="11.5546875" style="4"/>
    <col min="2542" max="2542" width="60.88671875" style="4" bestFit="1" customWidth="1"/>
    <col min="2543" max="2795" width="11.5546875" style="4"/>
    <col min="2796" max="2796" width="13.44140625" style="4" customWidth="1"/>
    <col min="2797" max="2797" width="11.5546875" style="4"/>
    <col min="2798" max="2798" width="60.88671875" style="4" bestFit="1" customWidth="1"/>
    <col min="2799" max="3051" width="11.5546875" style="4"/>
    <col min="3052" max="3052" width="13.44140625" style="4" customWidth="1"/>
    <col min="3053" max="3053" width="11.5546875" style="4"/>
    <col min="3054" max="3054" width="60.88671875" style="4" bestFit="1" customWidth="1"/>
    <col min="3055" max="3307" width="11.5546875" style="4"/>
    <col min="3308" max="3308" width="13.44140625" style="4" customWidth="1"/>
    <col min="3309" max="3309" width="11.5546875" style="4"/>
    <col min="3310" max="3310" width="60.88671875" style="4" bestFit="1" customWidth="1"/>
    <col min="3311" max="3563" width="11.5546875" style="4"/>
    <col min="3564" max="3564" width="13.44140625" style="4" customWidth="1"/>
    <col min="3565" max="3565" width="11.5546875" style="4"/>
    <col min="3566" max="3566" width="60.88671875" style="4" bestFit="1" customWidth="1"/>
    <col min="3567" max="3819" width="11.5546875" style="4"/>
    <col min="3820" max="3820" width="13.44140625" style="4" customWidth="1"/>
    <col min="3821" max="3821" width="11.5546875" style="4"/>
    <col min="3822" max="3822" width="60.88671875" style="4" bestFit="1" customWidth="1"/>
    <col min="3823" max="4075" width="11.5546875" style="4"/>
    <col min="4076" max="4076" width="13.44140625" style="4" customWidth="1"/>
    <col min="4077" max="4077" width="11.5546875" style="4"/>
    <col min="4078" max="4078" width="60.88671875" style="4" bestFit="1" customWidth="1"/>
    <col min="4079" max="4331" width="11.5546875" style="4"/>
    <col min="4332" max="4332" width="13.44140625" style="4" customWidth="1"/>
    <col min="4333" max="4333" width="11.5546875" style="4"/>
    <col min="4334" max="4334" width="60.88671875" style="4" bestFit="1" customWidth="1"/>
    <col min="4335" max="4587" width="11.5546875" style="4"/>
    <col min="4588" max="4588" width="13.44140625" style="4" customWidth="1"/>
    <col min="4589" max="4589" width="11.5546875" style="4"/>
    <col min="4590" max="4590" width="60.88671875" style="4" bestFit="1" customWidth="1"/>
    <col min="4591" max="4843" width="11.5546875" style="4"/>
    <col min="4844" max="4844" width="13.44140625" style="4" customWidth="1"/>
    <col min="4845" max="4845" width="11.5546875" style="4"/>
    <col min="4846" max="4846" width="60.88671875" style="4" bestFit="1" customWidth="1"/>
    <col min="4847" max="5099" width="11.5546875" style="4"/>
    <col min="5100" max="5100" width="13.44140625" style="4" customWidth="1"/>
    <col min="5101" max="5101" width="11.5546875" style="4"/>
    <col min="5102" max="5102" width="60.88671875" style="4" bestFit="1" customWidth="1"/>
    <col min="5103" max="5355" width="11.5546875" style="4"/>
    <col min="5356" max="5356" width="13.44140625" style="4" customWidth="1"/>
    <col min="5357" max="5357" width="11.5546875" style="4"/>
    <col min="5358" max="5358" width="60.88671875" style="4" bestFit="1" customWidth="1"/>
    <col min="5359" max="5611" width="11.5546875" style="4"/>
    <col min="5612" max="5612" width="13.44140625" style="4" customWidth="1"/>
    <col min="5613" max="5613" width="11.5546875" style="4"/>
    <col min="5614" max="5614" width="60.88671875" style="4" bestFit="1" customWidth="1"/>
    <col min="5615" max="5867" width="11.5546875" style="4"/>
    <col min="5868" max="5868" width="13.44140625" style="4" customWidth="1"/>
    <col min="5869" max="5869" width="11.5546875" style="4"/>
    <col min="5870" max="5870" width="60.88671875" style="4" bestFit="1" customWidth="1"/>
    <col min="5871" max="6123" width="11.5546875" style="4"/>
    <col min="6124" max="6124" width="13.44140625" style="4" customWidth="1"/>
    <col min="6125" max="6125" width="11.5546875" style="4"/>
    <col min="6126" max="6126" width="60.88671875" style="4" bestFit="1" customWidth="1"/>
    <col min="6127" max="6379" width="11.5546875" style="4"/>
    <col min="6380" max="6380" width="13.44140625" style="4" customWidth="1"/>
    <col min="6381" max="6381" width="11.5546875" style="4"/>
    <col min="6382" max="6382" width="60.88671875" style="4" bestFit="1" customWidth="1"/>
    <col min="6383" max="6635" width="11.5546875" style="4"/>
    <col min="6636" max="6636" width="13.44140625" style="4" customWidth="1"/>
    <col min="6637" max="6637" width="11.5546875" style="4"/>
    <col min="6638" max="6638" width="60.88671875" style="4" bestFit="1" customWidth="1"/>
    <col min="6639" max="6891" width="11.5546875" style="4"/>
    <col min="6892" max="6892" width="13.44140625" style="4" customWidth="1"/>
    <col min="6893" max="6893" width="11.5546875" style="4"/>
    <col min="6894" max="6894" width="60.88671875" style="4" bestFit="1" customWidth="1"/>
    <col min="6895" max="7147" width="11.5546875" style="4"/>
    <col min="7148" max="7148" width="13.44140625" style="4" customWidth="1"/>
    <col min="7149" max="7149" width="11.5546875" style="4"/>
    <col min="7150" max="7150" width="60.88671875" style="4" bestFit="1" customWidth="1"/>
    <col min="7151" max="7403" width="11.5546875" style="4"/>
    <col min="7404" max="7404" width="13.44140625" style="4" customWidth="1"/>
    <col min="7405" max="7405" width="11.5546875" style="4"/>
    <col min="7406" max="7406" width="60.88671875" style="4" bestFit="1" customWidth="1"/>
    <col min="7407" max="7659" width="11.5546875" style="4"/>
    <col min="7660" max="7660" width="13.44140625" style="4" customWidth="1"/>
    <col min="7661" max="7661" width="11.5546875" style="4"/>
    <col min="7662" max="7662" width="60.88671875" style="4" bestFit="1" customWidth="1"/>
    <col min="7663" max="7915" width="11.5546875" style="4"/>
    <col min="7916" max="7916" width="13.44140625" style="4" customWidth="1"/>
    <col min="7917" max="7917" width="11.5546875" style="4"/>
    <col min="7918" max="7918" width="60.88671875" style="4" bestFit="1" customWidth="1"/>
    <col min="7919" max="8171" width="11.5546875" style="4"/>
    <col min="8172" max="8172" width="13.44140625" style="4" customWidth="1"/>
    <col min="8173" max="8173" width="11.5546875" style="4"/>
    <col min="8174" max="8174" width="60.88671875" style="4" bestFit="1" customWidth="1"/>
    <col min="8175" max="8427" width="11.5546875" style="4"/>
    <col min="8428" max="8428" width="13.44140625" style="4" customWidth="1"/>
    <col min="8429" max="8429" width="11.5546875" style="4"/>
    <col min="8430" max="8430" width="60.88671875" style="4" bestFit="1" customWidth="1"/>
    <col min="8431" max="8683" width="11.5546875" style="4"/>
    <col min="8684" max="8684" width="13.44140625" style="4" customWidth="1"/>
    <col min="8685" max="8685" width="11.5546875" style="4"/>
    <col min="8686" max="8686" width="60.88671875" style="4" bestFit="1" customWidth="1"/>
    <col min="8687" max="8939" width="11.5546875" style="4"/>
    <col min="8940" max="8940" width="13.44140625" style="4" customWidth="1"/>
    <col min="8941" max="8941" width="11.5546875" style="4"/>
    <col min="8942" max="8942" width="60.88671875" style="4" bestFit="1" customWidth="1"/>
    <col min="8943" max="9195" width="11.5546875" style="4"/>
    <col min="9196" max="9196" width="13.44140625" style="4" customWidth="1"/>
    <col min="9197" max="9197" width="11.5546875" style="4"/>
    <col min="9198" max="9198" width="60.88671875" style="4" bestFit="1" customWidth="1"/>
    <col min="9199" max="9451" width="11.5546875" style="4"/>
    <col min="9452" max="9452" width="13.44140625" style="4" customWidth="1"/>
    <col min="9453" max="9453" width="11.5546875" style="4"/>
    <col min="9454" max="9454" width="60.88671875" style="4" bestFit="1" customWidth="1"/>
    <col min="9455" max="9707" width="11.5546875" style="4"/>
    <col min="9708" max="9708" width="13.44140625" style="4" customWidth="1"/>
    <col min="9709" max="9709" width="11.5546875" style="4"/>
    <col min="9710" max="9710" width="60.88671875" style="4" bestFit="1" customWidth="1"/>
    <col min="9711" max="9963" width="11.5546875" style="4"/>
    <col min="9964" max="9964" width="13.44140625" style="4" customWidth="1"/>
    <col min="9965" max="9965" width="11.5546875" style="4"/>
    <col min="9966" max="9966" width="60.88671875" style="4" bestFit="1" customWidth="1"/>
    <col min="9967" max="10219" width="11.5546875" style="4"/>
    <col min="10220" max="10220" width="13.44140625" style="4" customWidth="1"/>
    <col min="10221" max="10221" width="11.5546875" style="4"/>
    <col min="10222" max="10222" width="60.88671875" style="4" bestFit="1" customWidth="1"/>
    <col min="10223" max="10475" width="11.5546875" style="4"/>
    <col min="10476" max="10476" width="13.44140625" style="4" customWidth="1"/>
    <col min="10477" max="10477" width="11.5546875" style="4"/>
    <col min="10478" max="10478" width="60.88671875" style="4" bestFit="1" customWidth="1"/>
    <col min="10479" max="10731" width="11.5546875" style="4"/>
    <col min="10732" max="10732" width="13.44140625" style="4" customWidth="1"/>
    <col min="10733" max="10733" width="11.5546875" style="4"/>
    <col min="10734" max="10734" width="60.88671875" style="4" bestFit="1" customWidth="1"/>
    <col min="10735" max="10987" width="11.5546875" style="4"/>
    <col min="10988" max="10988" width="13.44140625" style="4" customWidth="1"/>
    <col min="10989" max="10989" width="11.5546875" style="4"/>
    <col min="10990" max="10990" width="60.88671875" style="4" bestFit="1" customWidth="1"/>
    <col min="10991" max="11243" width="11.5546875" style="4"/>
    <col min="11244" max="11244" width="13.44140625" style="4" customWidth="1"/>
    <col min="11245" max="11245" width="11.5546875" style="4"/>
    <col min="11246" max="11246" width="60.88671875" style="4" bestFit="1" customWidth="1"/>
    <col min="11247" max="11499" width="11.5546875" style="4"/>
    <col min="11500" max="11500" width="13.44140625" style="4" customWidth="1"/>
    <col min="11501" max="11501" width="11.5546875" style="4"/>
    <col min="11502" max="11502" width="60.88671875" style="4" bestFit="1" customWidth="1"/>
    <col min="11503" max="11755" width="11.5546875" style="4"/>
    <col min="11756" max="11756" width="13.44140625" style="4" customWidth="1"/>
    <col min="11757" max="11757" width="11.5546875" style="4"/>
    <col min="11758" max="11758" width="60.88671875" style="4" bestFit="1" customWidth="1"/>
    <col min="11759" max="12011" width="11.5546875" style="4"/>
    <col min="12012" max="12012" width="13.44140625" style="4" customWidth="1"/>
    <col min="12013" max="12013" width="11.5546875" style="4"/>
    <col min="12014" max="12014" width="60.88671875" style="4" bestFit="1" customWidth="1"/>
    <col min="12015" max="12267" width="11.5546875" style="4"/>
    <col min="12268" max="12268" width="13.44140625" style="4" customWidth="1"/>
    <col min="12269" max="12269" width="11.5546875" style="4"/>
    <col min="12270" max="12270" width="60.88671875" style="4" bestFit="1" customWidth="1"/>
    <col min="12271" max="12523" width="11.5546875" style="4"/>
    <col min="12524" max="12524" width="13.44140625" style="4" customWidth="1"/>
    <col min="12525" max="12525" width="11.5546875" style="4"/>
    <col min="12526" max="12526" width="60.88671875" style="4" bestFit="1" customWidth="1"/>
    <col min="12527" max="12779" width="11.5546875" style="4"/>
    <col min="12780" max="12780" width="13.44140625" style="4" customWidth="1"/>
    <col min="12781" max="12781" width="11.5546875" style="4"/>
    <col min="12782" max="12782" width="60.88671875" style="4" bestFit="1" customWidth="1"/>
    <col min="12783" max="13035" width="11.5546875" style="4"/>
    <col min="13036" max="13036" width="13.44140625" style="4" customWidth="1"/>
    <col min="13037" max="13037" width="11.5546875" style="4"/>
    <col min="13038" max="13038" width="60.88671875" style="4" bestFit="1" customWidth="1"/>
    <col min="13039" max="13291" width="11.5546875" style="4"/>
    <col min="13292" max="13292" width="13.44140625" style="4" customWidth="1"/>
    <col min="13293" max="13293" width="11.5546875" style="4"/>
    <col min="13294" max="13294" width="60.88671875" style="4" bestFit="1" customWidth="1"/>
    <col min="13295" max="13547" width="11.5546875" style="4"/>
    <col min="13548" max="13548" width="13.44140625" style="4" customWidth="1"/>
    <col min="13549" max="13549" width="11.5546875" style="4"/>
    <col min="13550" max="13550" width="60.88671875" style="4" bestFit="1" customWidth="1"/>
    <col min="13551" max="13803" width="11.5546875" style="4"/>
    <col min="13804" max="13804" width="13.44140625" style="4" customWidth="1"/>
    <col min="13805" max="13805" width="11.5546875" style="4"/>
    <col min="13806" max="13806" width="60.88671875" style="4" bestFit="1" customWidth="1"/>
    <col min="13807" max="14059" width="11.5546875" style="4"/>
    <col min="14060" max="14060" width="13.44140625" style="4" customWidth="1"/>
    <col min="14061" max="14061" width="11.5546875" style="4"/>
    <col min="14062" max="14062" width="60.88671875" style="4" bestFit="1" customWidth="1"/>
    <col min="14063" max="14315" width="11.5546875" style="4"/>
    <col min="14316" max="14316" width="13.44140625" style="4" customWidth="1"/>
    <col min="14317" max="14317" width="11.5546875" style="4"/>
    <col min="14318" max="14318" width="60.88671875" style="4" bestFit="1" customWidth="1"/>
    <col min="14319" max="14571" width="11.5546875" style="4"/>
    <col min="14572" max="14572" width="13.44140625" style="4" customWidth="1"/>
    <col min="14573" max="14573" width="11.5546875" style="4"/>
    <col min="14574" max="14574" width="60.88671875" style="4" bestFit="1" customWidth="1"/>
    <col min="14575" max="14827" width="11.5546875" style="4"/>
    <col min="14828" max="14828" width="13.44140625" style="4" customWidth="1"/>
    <col min="14829" max="14829" width="11.5546875" style="4"/>
    <col min="14830" max="14830" width="60.88671875" style="4" bestFit="1" customWidth="1"/>
    <col min="14831" max="15083" width="11.5546875" style="4"/>
    <col min="15084" max="15084" width="13.44140625" style="4" customWidth="1"/>
    <col min="15085" max="15085" width="11.5546875" style="4"/>
    <col min="15086" max="15086" width="60.88671875" style="4" bestFit="1" customWidth="1"/>
    <col min="15087" max="15339" width="11.5546875" style="4"/>
    <col min="15340" max="15340" width="13.44140625" style="4" customWidth="1"/>
    <col min="15341" max="15341" width="11.5546875" style="4"/>
    <col min="15342" max="15342" width="60.88671875" style="4" bestFit="1" customWidth="1"/>
    <col min="15343" max="15595" width="11.5546875" style="4"/>
    <col min="15596" max="15596" width="13.44140625" style="4" customWidth="1"/>
    <col min="15597" max="15597" width="11.5546875" style="4"/>
    <col min="15598" max="15598" width="60.88671875" style="4" bestFit="1" customWidth="1"/>
    <col min="15599" max="15851" width="11.5546875" style="4"/>
    <col min="15852" max="15852" width="13.44140625" style="4" customWidth="1"/>
    <col min="15853" max="15853" width="11.5546875" style="4"/>
    <col min="15854" max="15854" width="60.88671875" style="4" bestFit="1" customWidth="1"/>
    <col min="15855" max="16107" width="11.5546875" style="4"/>
    <col min="16108" max="16108" width="13.44140625" style="4" customWidth="1"/>
    <col min="16109" max="16109" width="11.5546875" style="4"/>
    <col min="16110" max="16110" width="60.88671875" style="4" bestFit="1" customWidth="1"/>
    <col min="16111" max="16362" width="11.5546875" style="4"/>
    <col min="16363" max="16384" width="11.44140625" style="4" customWidth="1"/>
  </cols>
  <sheetData>
    <row r="1" spans="1:12" x14ac:dyDescent="0.25">
      <c r="A1" s="3" t="s">
        <v>59</v>
      </c>
    </row>
    <row r="2" spans="1:12" x14ac:dyDescent="0.25">
      <c r="A2" s="3" t="s">
        <v>211</v>
      </c>
    </row>
    <row r="3" spans="1:12" x14ac:dyDescent="0.25">
      <c r="A3" s="4" t="s">
        <v>108</v>
      </c>
      <c r="B3" s="4" t="s">
        <v>42</v>
      </c>
    </row>
    <row r="4" spans="1:12" x14ac:dyDescent="0.25">
      <c r="A4" s="4" t="s">
        <v>43</v>
      </c>
      <c r="B4" s="4" t="s">
        <v>212</v>
      </c>
    </row>
    <row r="5" spans="1:12" x14ac:dyDescent="0.25">
      <c r="A5" s="4" t="s">
        <v>44</v>
      </c>
      <c r="B5" s="62">
        <v>45870</v>
      </c>
    </row>
    <row r="6" spans="1:12" x14ac:dyDescent="0.25">
      <c r="A6" s="4" t="s">
        <v>45</v>
      </c>
      <c r="B6" s="4" t="s">
        <v>61</v>
      </c>
      <c r="C6" s="4" t="s">
        <v>219</v>
      </c>
    </row>
    <row r="7" spans="1:12" x14ac:dyDescent="0.25">
      <c r="A7" s="4" t="s">
        <v>217</v>
      </c>
      <c r="D7" s="120" t="s">
        <v>48</v>
      </c>
      <c r="E7" s="120"/>
      <c r="F7" s="120"/>
      <c r="G7" s="120" t="s">
        <v>49</v>
      </c>
      <c r="H7" s="120"/>
      <c r="I7" s="120"/>
      <c r="J7" s="120" t="s">
        <v>50</v>
      </c>
      <c r="K7" s="120"/>
      <c r="L7" s="120"/>
    </row>
    <row r="8" spans="1:12" x14ac:dyDescent="0.25">
      <c r="A8" s="15" t="s">
        <v>51</v>
      </c>
      <c r="B8" s="5" t="s">
        <v>52</v>
      </c>
      <c r="C8" s="15" t="s">
        <v>53</v>
      </c>
      <c r="D8" s="5" t="s">
        <v>11</v>
      </c>
      <c r="E8" s="5" t="s">
        <v>54</v>
      </c>
      <c r="F8" s="5" t="s">
        <v>55</v>
      </c>
      <c r="G8" s="5" t="s">
        <v>11</v>
      </c>
      <c r="H8" s="5" t="s">
        <v>54</v>
      </c>
      <c r="I8" s="5" t="s">
        <v>55</v>
      </c>
      <c r="J8" s="5" t="s">
        <v>11</v>
      </c>
      <c r="K8" s="5" t="s">
        <v>54</v>
      </c>
      <c r="L8" s="5" t="s">
        <v>55</v>
      </c>
    </row>
    <row r="9" spans="1:12" x14ac:dyDescent="0.25">
      <c r="A9" s="9" t="s">
        <v>56</v>
      </c>
      <c r="B9" s="32">
        <v>45870</v>
      </c>
      <c r="C9" s="9" t="s">
        <v>152</v>
      </c>
      <c r="D9" s="71"/>
      <c r="E9" s="70"/>
      <c r="F9" s="70"/>
      <c r="G9" s="71"/>
      <c r="H9" s="70"/>
      <c r="I9" s="70"/>
      <c r="J9" s="71"/>
      <c r="K9" s="70"/>
      <c r="L9" s="70"/>
    </row>
    <row r="10" spans="1:12" x14ac:dyDescent="0.25">
      <c r="A10" s="9" t="s">
        <v>6</v>
      </c>
      <c r="B10" s="32">
        <v>45871</v>
      </c>
      <c r="C10" s="9" t="s">
        <v>203</v>
      </c>
      <c r="D10" s="71"/>
      <c r="E10" s="70"/>
      <c r="F10" s="70"/>
      <c r="G10" s="71"/>
      <c r="H10" s="70"/>
      <c r="I10" s="70"/>
      <c r="J10" s="71"/>
      <c r="K10" s="70"/>
      <c r="L10" s="70"/>
    </row>
    <row r="11" spans="1:12" x14ac:dyDescent="0.25">
      <c r="A11" s="9" t="s">
        <v>57</v>
      </c>
      <c r="B11" s="32">
        <v>45875</v>
      </c>
      <c r="C11" s="9" t="s">
        <v>204</v>
      </c>
      <c r="D11" s="71"/>
      <c r="E11" s="70"/>
      <c r="F11" s="70"/>
      <c r="G11" s="71"/>
      <c r="H11" s="70"/>
      <c r="I11" s="70"/>
      <c r="J11" s="71"/>
      <c r="K11" s="70"/>
      <c r="L11" s="70"/>
    </row>
    <row r="12" spans="1:12" x14ac:dyDescent="0.25">
      <c r="A12" s="9" t="s">
        <v>57</v>
      </c>
      <c r="B12" s="32">
        <v>45876</v>
      </c>
      <c r="C12" s="9" t="s">
        <v>205</v>
      </c>
      <c r="D12" s="71"/>
      <c r="E12" s="70"/>
      <c r="F12" s="70"/>
      <c r="G12" s="71"/>
      <c r="H12" s="70"/>
      <c r="I12" s="70"/>
      <c r="J12" s="71"/>
      <c r="K12" s="70"/>
      <c r="L12" s="70"/>
    </row>
    <row r="13" spans="1:12" x14ac:dyDescent="0.25">
      <c r="A13" s="9" t="s">
        <v>6</v>
      </c>
      <c r="B13" s="32">
        <v>45878</v>
      </c>
      <c r="C13" s="9" t="s">
        <v>206</v>
      </c>
      <c r="D13" s="71"/>
      <c r="E13" s="70"/>
      <c r="F13" s="70"/>
      <c r="G13" s="71"/>
      <c r="H13" s="70"/>
      <c r="I13" s="70"/>
      <c r="J13" s="71"/>
      <c r="K13" s="70"/>
      <c r="L13" s="70"/>
    </row>
    <row r="14" spans="1:12" x14ac:dyDescent="0.25">
      <c r="A14" s="9" t="s">
        <v>58</v>
      </c>
      <c r="B14" s="32">
        <v>45879</v>
      </c>
      <c r="C14" s="9" t="s">
        <v>207</v>
      </c>
      <c r="D14" s="71"/>
      <c r="E14" s="70"/>
      <c r="F14" s="70"/>
      <c r="G14" s="71"/>
      <c r="H14" s="70"/>
      <c r="I14" s="70"/>
      <c r="J14" s="71"/>
      <c r="K14" s="70"/>
      <c r="L14" s="70"/>
    </row>
    <row r="15" spans="1:12" x14ac:dyDescent="0.25">
      <c r="A15" s="9" t="s">
        <v>57</v>
      </c>
      <c r="B15" s="32">
        <v>45884</v>
      </c>
      <c r="C15" s="9" t="s">
        <v>208</v>
      </c>
      <c r="D15" s="71"/>
      <c r="E15" s="70"/>
      <c r="F15" s="70"/>
      <c r="G15" s="71"/>
      <c r="H15" s="70"/>
      <c r="I15" s="70"/>
      <c r="J15" s="71"/>
      <c r="K15" s="70"/>
      <c r="L15" s="70"/>
    </row>
    <row r="16" spans="1:12" x14ac:dyDescent="0.25">
      <c r="A16" s="9" t="s">
        <v>57</v>
      </c>
      <c r="B16" s="32">
        <v>45887</v>
      </c>
      <c r="C16" s="9" t="s">
        <v>209</v>
      </c>
      <c r="D16" s="71"/>
      <c r="E16" s="70"/>
      <c r="F16" s="70"/>
      <c r="G16" s="71"/>
      <c r="H16" s="70"/>
      <c r="I16" s="70"/>
      <c r="J16" s="71"/>
      <c r="K16" s="70"/>
      <c r="L16" s="70"/>
    </row>
    <row r="17" spans="1:12" x14ac:dyDescent="0.25">
      <c r="A17" s="9" t="s">
        <v>57</v>
      </c>
      <c r="B17" s="32">
        <v>45889</v>
      </c>
      <c r="C17" s="9" t="s">
        <v>210</v>
      </c>
      <c r="D17" s="71"/>
      <c r="E17" s="70"/>
      <c r="F17" s="70"/>
      <c r="G17" s="71"/>
      <c r="H17" s="70"/>
      <c r="I17" s="70"/>
      <c r="J17" s="71"/>
      <c r="K17" s="70"/>
      <c r="L17" s="70"/>
    </row>
    <row r="18" spans="1:12" x14ac:dyDescent="0.25">
      <c r="A18" s="9" t="s">
        <v>58</v>
      </c>
      <c r="B18" s="32">
        <v>45889</v>
      </c>
      <c r="C18" s="9" t="s">
        <v>213</v>
      </c>
      <c r="D18" s="71"/>
      <c r="E18" s="70"/>
      <c r="F18" s="70"/>
      <c r="G18" s="71"/>
      <c r="H18" s="70"/>
      <c r="I18" s="70"/>
      <c r="J18" s="71"/>
      <c r="K18" s="70"/>
      <c r="L18" s="70"/>
    </row>
    <row r="19" spans="1:12" x14ac:dyDescent="0.25">
      <c r="A19" s="9" t="s">
        <v>57</v>
      </c>
      <c r="B19" s="32">
        <v>45891</v>
      </c>
      <c r="C19" s="9" t="s">
        <v>214</v>
      </c>
      <c r="D19" s="71"/>
      <c r="E19" s="70"/>
      <c r="F19" s="70"/>
      <c r="G19" s="71"/>
      <c r="H19" s="70"/>
      <c r="I19" s="70"/>
      <c r="J19" s="71"/>
      <c r="K19" s="70"/>
      <c r="L19" s="70"/>
    </row>
    <row r="20" spans="1:12" x14ac:dyDescent="0.25">
      <c r="A20" s="9" t="s">
        <v>6</v>
      </c>
      <c r="B20" s="32">
        <v>45894</v>
      </c>
      <c r="C20" s="9" t="s">
        <v>215</v>
      </c>
      <c r="D20" s="71"/>
      <c r="E20" s="70"/>
      <c r="F20" s="70"/>
      <c r="G20" s="71"/>
      <c r="H20" s="70"/>
      <c r="I20" s="70"/>
      <c r="J20" s="71"/>
      <c r="K20" s="70"/>
      <c r="L20" s="70"/>
    </row>
    <row r="21" spans="1:12" x14ac:dyDescent="0.25">
      <c r="A21" s="9" t="s">
        <v>57</v>
      </c>
      <c r="B21" s="32">
        <v>45897</v>
      </c>
      <c r="C21" s="9" t="s">
        <v>216</v>
      </c>
      <c r="D21" s="71"/>
      <c r="E21" s="70"/>
      <c r="F21" s="70"/>
      <c r="G21" s="71"/>
      <c r="H21" s="70"/>
      <c r="I21" s="70"/>
      <c r="J21" s="71"/>
      <c r="K21" s="70"/>
      <c r="L21" s="10"/>
    </row>
    <row r="22" spans="1:12" x14ac:dyDescent="0.25">
      <c r="B22" s="12"/>
      <c r="D22" s="12"/>
      <c r="E22" s="12"/>
      <c r="F22" s="12"/>
    </row>
    <row r="23" spans="1:12" x14ac:dyDescent="0.25">
      <c r="B23" s="12"/>
      <c r="D23" s="12"/>
      <c r="E23" s="12"/>
      <c r="F23" s="12"/>
    </row>
    <row r="24" spans="1:12" x14ac:dyDescent="0.25">
      <c r="B24" s="12"/>
      <c r="D24" s="12"/>
      <c r="E24" s="12"/>
      <c r="F24" s="12"/>
    </row>
    <row r="25" spans="1:12" x14ac:dyDescent="0.25">
      <c r="B25" s="12"/>
      <c r="D25" s="12"/>
      <c r="E25" s="12"/>
      <c r="F25" s="12"/>
      <c r="H25" s="72"/>
      <c r="I25" s="13"/>
    </row>
    <row r="26" spans="1:12" x14ac:dyDescent="0.25">
      <c r="B26" s="12"/>
      <c r="H26" s="72"/>
      <c r="I26" s="13"/>
    </row>
    <row r="27" spans="1:12" x14ac:dyDescent="0.25">
      <c r="B27" s="12"/>
      <c r="H27" s="72"/>
      <c r="I27" s="13"/>
    </row>
    <row r="28" spans="1:12" x14ac:dyDescent="0.25">
      <c r="B28" s="12"/>
      <c r="H28" s="72"/>
      <c r="I28" s="13"/>
    </row>
    <row r="29" spans="1:12" x14ac:dyDescent="0.25">
      <c r="I29" s="13"/>
    </row>
  </sheetData>
  <mergeCells count="3">
    <mergeCell ref="D7:F7"/>
    <mergeCell ref="G7:I7"/>
    <mergeCell ref="J7:L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2"/>
  <sheetViews>
    <sheetView zoomScale="120" zoomScaleNormal="120" workbookViewId="0">
      <selection activeCell="Q2" sqref="Q2"/>
    </sheetView>
  </sheetViews>
  <sheetFormatPr baseColWidth="10" defaultColWidth="9.109375" defaultRowHeight="14.4" x14ac:dyDescent="0.3"/>
  <cols>
    <col min="1" max="1" width="13.109375" style="2" customWidth="1"/>
    <col min="2" max="2" width="10.33203125" style="2" customWidth="1"/>
    <col min="3" max="8" width="9.109375" style="2"/>
    <col min="9" max="9" width="4.44140625" style="2" customWidth="1"/>
    <col min="10" max="10" width="11.33203125" style="2" bestFit="1" customWidth="1"/>
    <col min="11" max="11" width="7.5546875" style="2" customWidth="1"/>
    <col min="12" max="12" width="5.109375" style="2" bestFit="1" customWidth="1"/>
    <col min="13" max="16" width="5.5546875" style="2" bestFit="1" customWidth="1"/>
    <col min="17" max="17" width="10.21875" style="2" bestFit="1" customWidth="1"/>
    <col min="18" max="16384" width="9.109375" style="2"/>
  </cols>
  <sheetData>
    <row r="1" spans="1:22" x14ac:dyDescent="0.3">
      <c r="A1" s="1" t="s">
        <v>146</v>
      </c>
      <c r="J1" s="2" t="s">
        <v>337</v>
      </c>
    </row>
    <row r="2" spans="1:22" x14ac:dyDescent="0.3">
      <c r="A2" s="2" t="s">
        <v>225</v>
      </c>
      <c r="I2" s="1"/>
      <c r="Q2" s="2" t="s">
        <v>343</v>
      </c>
    </row>
    <row r="3" spans="1:22" x14ac:dyDescent="0.3">
      <c r="A3" s="2" t="s">
        <v>224</v>
      </c>
      <c r="J3" s="75" t="s">
        <v>108</v>
      </c>
      <c r="K3" s="75" t="s">
        <v>159</v>
      </c>
      <c r="L3" s="75" t="s">
        <v>164</v>
      </c>
      <c r="M3" s="76" t="s">
        <v>169</v>
      </c>
      <c r="N3" s="76" t="s">
        <v>170</v>
      </c>
      <c r="O3" s="76" t="s">
        <v>171</v>
      </c>
      <c r="P3" s="76" t="s">
        <v>172</v>
      </c>
      <c r="Q3" s="76" t="s">
        <v>54</v>
      </c>
      <c r="R3" s="76" t="s">
        <v>338</v>
      </c>
      <c r="S3" s="76" t="s">
        <v>339</v>
      </c>
      <c r="T3" s="76" t="s">
        <v>340</v>
      </c>
      <c r="U3" s="76" t="s">
        <v>341</v>
      </c>
      <c r="V3" s="76" t="s">
        <v>342</v>
      </c>
    </row>
    <row r="4" spans="1:22" x14ac:dyDescent="0.3">
      <c r="A4" s="2" t="s">
        <v>220</v>
      </c>
      <c r="J4" s="67" t="s">
        <v>154</v>
      </c>
      <c r="K4" s="67" t="s">
        <v>160</v>
      </c>
      <c r="L4" s="67" t="s">
        <v>165</v>
      </c>
      <c r="M4" s="68">
        <v>0.2</v>
      </c>
      <c r="N4" s="68"/>
      <c r="O4" s="68">
        <v>0.4</v>
      </c>
      <c r="P4" s="68">
        <v>0.6</v>
      </c>
      <c r="Q4" s="112">
        <f>195.2/1.18/45/4.5</f>
        <v>0.81690730278300894</v>
      </c>
      <c r="R4" s="112">
        <f>$Q4*M4</f>
        <v>0.1633814605566018</v>
      </c>
      <c r="S4" s="112">
        <f t="shared" ref="S4:U4" si="0">$Q4*N4</f>
        <v>0</v>
      </c>
      <c r="T4" s="112">
        <f t="shared" si="0"/>
        <v>0.3267629211132036</v>
      </c>
      <c r="U4" s="112">
        <f t="shared" si="0"/>
        <v>0.49014438166980534</v>
      </c>
      <c r="V4" s="112">
        <f>SUM(R4:U4)</f>
        <v>0.98028876333961068</v>
      </c>
    </row>
    <row r="5" spans="1:22" x14ac:dyDescent="0.3">
      <c r="A5" s="75" t="s">
        <v>108</v>
      </c>
      <c r="B5" s="75" t="s">
        <v>159</v>
      </c>
      <c r="C5" s="75" t="s">
        <v>164</v>
      </c>
      <c r="D5" s="76" t="s">
        <v>169</v>
      </c>
      <c r="E5" s="76" t="s">
        <v>170</v>
      </c>
      <c r="F5" s="76" t="s">
        <v>171</v>
      </c>
      <c r="G5" s="76" t="s">
        <v>172</v>
      </c>
      <c r="J5" s="67" t="s">
        <v>155</v>
      </c>
      <c r="K5" s="67" t="s">
        <v>161</v>
      </c>
      <c r="L5" s="67" t="s">
        <v>166</v>
      </c>
      <c r="M5" s="68">
        <v>25.3</v>
      </c>
      <c r="N5" s="68">
        <v>30.4</v>
      </c>
      <c r="O5" s="68"/>
      <c r="P5" s="68">
        <v>40.6</v>
      </c>
      <c r="Q5" s="112">
        <f>58.2/1.18/4.5/1000</f>
        <v>1.096045197740113E-2</v>
      </c>
      <c r="R5" s="112">
        <f t="shared" ref="R5:R8" si="1">$Q5*M5</f>
        <v>0.27729943502824861</v>
      </c>
      <c r="S5" s="112">
        <f t="shared" ref="S5:S8" si="2">$Q5*N5</f>
        <v>0.33319774011299436</v>
      </c>
      <c r="T5" s="112">
        <f t="shared" ref="T5:T8" si="3">$Q5*O5</f>
        <v>0</v>
      </c>
      <c r="U5" s="112">
        <f t="shared" ref="U5:U8" si="4">$Q5*P5</f>
        <v>0.44499435028248591</v>
      </c>
      <c r="V5" s="112">
        <f t="shared" ref="V5:V8" si="5">SUM(R5:U5)</f>
        <v>1.0554915254237289</v>
      </c>
    </row>
    <row r="6" spans="1:22" x14ac:dyDescent="0.3">
      <c r="A6" s="67" t="s">
        <v>154</v>
      </c>
      <c r="B6" s="67" t="s">
        <v>160</v>
      </c>
      <c r="C6" s="67" t="s">
        <v>165</v>
      </c>
      <c r="D6" s="68">
        <v>0.2</v>
      </c>
      <c r="E6" s="68"/>
      <c r="F6" s="68">
        <v>0.4</v>
      </c>
      <c r="G6" s="68">
        <v>0.6</v>
      </c>
      <c r="J6" s="67" t="s">
        <v>156</v>
      </c>
      <c r="K6" s="67" t="s">
        <v>15</v>
      </c>
      <c r="L6" s="67" t="s">
        <v>167</v>
      </c>
      <c r="M6" s="68"/>
      <c r="N6" s="68">
        <v>1</v>
      </c>
      <c r="O6" s="68"/>
      <c r="P6" s="68"/>
      <c r="Q6" s="112">
        <f>2448.65/1.18</f>
        <v>2075.1271186440681</v>
      </c>
      <c r="R6" s="112">
        <f t="shared" si="1"/>
        <v>0</v>
      </c>
      <c r="S6" s="112">
        <f t="shared" si="2"/>
        <v>2075.1271186440681</v>
      </c>
      <c r="T6" s="112">
        <f t="shared" si="3"/>
        <v>0</v>
      </c>
      <c r="U6" s="112">
        <f t="shared" si="4"/>
        <v>0</v>
      </c>
      <c r="V6" s="112">
        <f t="shared" si="5"/>
        <v>2075.1271186440681</v>
      </c>
    </row>
    <row r="7" spans="1:22" x14ac:dyDescent="0.3">
      <c r="A7" s="67" t="s">
        <v>155</v>
      </c>
      <c r="B7" s="67" t="s">
        <v>161</v>
      </c>
      <c r="C7" s="67" t="s">
        <v>166</v>
      </c>
      <c r="D7" s="68">
        <v>25.3</v>
      </c>
      <c r="E7" s="68">
        <v>30.4</v>
      </c>
      <c r="F7" s="68"/>
      <c r="G7" s="68">
        <v>40.6</v>
      </c>
      <c r="J7" s="67" t="s">
        <v>157</v>
      </c>
      <c r="K7" s="67" t="s">
        <v>162</v>
      </c>
      <c r="L7" s="67" t="s">
        <v>168</v>
      </c>
      <c r="M7" s="68">
        <v>0.4</v>
      </c>
      <c r="N7" s="68">
        <v>0.9</v>
      </c>
      <c r="O7" s="68">
        <v>1.2</v>
      </c>
      <c r="P7" s="68">
        <v>0.8</v>
      </c>
      <c r="Q7" s="112">
        <f>245.3/10</f>
        <v>24.53</v>
      </c>
      <c r="R7" s="112">
        <f t="shared" si="1"/>
        <v>9.8120000000000012</v>
      </c>
      <c r="S7" s="112">
        <f t="shared" si="2"/>
        <v>22.077000000000002</v>
      </c>
      <c r="T7" s="112">
        <f t="shared" si="3"/>
        <v>29.436</v>
      </c>
      <c r="U7" s="112">
        <f t="shared" si="4"/>
        <v>19.624000000000002</v>
      </c>
      <c r="V7" s="112">
        <f t="shared" si="5"/>
        <v>80.949000000000012</v>
      </c>
    </row>
    <row r="8" spans="1:22" x14ac:dyDescent="0.3">
      <c r="A8" s="67" t="s">
        <v>156</v>
      </c>
      <c r="B8" s="67" t="s">
        <v>15</v>
      </c>
      <c r="C8" s="67" t="s">
        <v>167</v>
      </c>
      <c r="D8" s="68"/>
      <c r="E8" s="68">
        <v>1</v>
      </c>
      <c r="F8" s="68"/>
      <c r="G8" s="68"/>
      <c r="J8" s="67" t="s">
        <v>158</v>
      </c>
      <c r="K8" s="67" t="s">
        <v>163</v>
      </c>
      <c r="L8" s="67" t="s">
        <v>167</v>
      </c>
      <c r="M8" s="68">
        <v>1</v>
      </c>
      <c r="N8" s="68"/>
      <c r="O8" s="68">
        <v>2</v>
      </c>
      <c r="P8" s="68">
        <v>1</v>
      </c>
      <c r="Q8" s="112">
        <f>72.3/1.18/2</f>
        <v>30.635593220338983</v>
      </c>
      <c r="R8" s="112">
        <f t="shared" si="1"/>
        <v>30.635593220338983</v>
      </c>
      <c r="S8" s="112">
        <f t="shared" si="2"/>
        <v>0</v>
      </c>
      <c r="T8" s="112">
        <f t="shared" si="3"/>
        <v>61.271186440677965</v>
      </c>
      <c r="U8" s="112">
        <f t="shared" si="4"/>
        <v>30.635593220338983</v>
      </c>
      <c r="V8" s="112">
        <f t="shared" si="5"/>
        <v>122.54237288135593</v>
      </c>
    </row>
    <row r="9" spans="1:22" x14ac:dyDescent="0.3">
      <c r="A9" s="67" t="s">
        <v>157</v>
      </c>
      <c r="B9" s="67" t="s">
        <v>162</v>
      </c>
      <c r="C9" s="67" t="s">
        <v>168</v>
      </c>
      <c r="D9" s="68">
        <v>0.4</v>
      </c>
      <c r="E9" s="68">
        <v>0.9</v>
      </c>
      <c r="F9" s="68">
        <v>1.2</v>
      </c>
      <c r="G9" s="68">
        <v>0.8</v>
      </c>
      <c r="L9" s="66"/>
      <c r="M9" s="66"/>
      <c r="N9" s="66"/>
      <c r="O9" s="66"/>
      <c r="R9" s="113">
        <f>SUM(R4:R8)</f>
        <v>40.888274115923835</v>
      </c>
      <c r="S9" s="113">
        <f t="shared" ref="S9:V9" si="6">SUM(S4:S8)</f>
        <v>2097.5373163841814</v>
      </c>
      <c r="T9" s="113">
        <f t="shared" si="6"/>
        <v>91.033949361791173</v>
      </c>
      <c r="U9" s="113">
        <f t="shared" si="6"/>
        <v>51.194731952291278</v>
      </c>
      <c r="V9" s="113">
        <f t="shared" si="6"/>
        <v>2280.6542718141873</v>
      </c>
    </row>
    <row r="10" spans="1:22" x14ac:dyDescent="0.3">
      <c r="A10" s="67" t="s">
        <v>158</v>
      </c>
      <c r="B10" s="67" t="s">
        <v>163</v>
      </c>
      <c r="C10" s="67" t="s">
        <v>167</v>
      </c>
      <c r="D10" s="68">
        <v>1</v>
      </c>
      <c r="E10" s="68"/>
      <c r="F10" s="68">
        <v>2</v>
      </c>
      <c r="G10" s="68">
        <v>1</v>
      </c>
      <c r="L10" s="66"/>
      <c r="M10" s="66"/>
      <c r="N10" s="66"/>
      <c r="O10" s="66"/>
    </row>
    <row r="11" spans="1:22" x14ac:dyDescent="0.3">
      <c r="L11" s="66"/>
      <c r="M11" s="66"/>
      <c r="N11" s="66"/>
      <c r="O11" s="66"/>
    </row>
    <row r="12" spans="1:22" x14ac:dyDescent="0.3">
      <c r="A12" s="2" t="s">
        <v>221</v>
      </c>
      <c r="L12" s="66"/>
      <c r="M12" s="66"/>
      <c r="N12" s="66"/>
      <c r="O12" s="66"/>
    </row>
    <row r="13" spans="1:22" x14ac:dyDescent="0.3">
      <c r="A13" s="2" t="s">
        <v>222</v>
      </c>
      <c r="L13" s="66"/>
      <c r="M13" s="66"/>
      <c r="N13" s="66"/>
      <c r="O13" s="66"/>
    </row>
    <row r="14" spans="1:22" x14ac:dyDescent="0.3">
      <c r="A14" s="2" t="s">
        <v>223</v>
      </c>
      <c r="L14" s="66"/>
      <c r="M14" s="66"/>
      <c r="N14" s="66"/>
      <c r="O14" s="66"/>
    </row>
    <row r="15" spans="1:22" x14ac:dyDescent="0.3">
      <c r="A15" s="2" t="s">
        <v>226</v>
      </c>
      <c r="L15" s="66"/>
      <c r="M15" s="66"/>
      <c r="N15" s="66"/>
      <c r="O15" s="66"/>
    </row>
    <row r="16" spans="1:22" x14ac:dyDescent="0.3">
      <c r="A16" s="2" t="s">
        <v>227</v>
      </c>
      <c r="L16" s="66"/>
      <c r="M16" s="66"/>
      <c r="N16" s="66"/>
      <c r="O16" s="66"/>
    </row>
    <row r="17" spans="1:15" x14ac:dyDescent="0.3">
      <c r="A17" s="2" t="s">
        <v>228</v>
      </c>
      <c r="L17" s="66"/>
      <c r="M17" s="66"/>
      <c r="N17" s="66"/>
      <c r="O17" s="66"/>
    </row>
    <row r="18" spans="1:15" x14ac:dyDescent="0.3">
      <c r="A18" s="2" t="s">
        <v>229</v>
      </c>
      <c r="L18" s="66"/>
      <c r="M18" s="66"/>
      <c r="N18" s="66"/>
      <c r="O18" s="66"/>
    </row>
    <row r="19" spans="1:15" x14ac:dyDescent="0.3">
      <c r="A19" s="2" t="s">
        <v>230</v>
      </c>
      <c r="L19" s="66"/>
      <c r="M19" s="66"/>
      <c r="N19" s="66"/>
      <c r="O19" s="66"/>
    </row>
    <row r="20" spans="1:15" x14ac:dyDescent="0.3">
      <c r="L20" s="66"/>
      <c r="M20" s="66"/>
      <c r="N20" s="66"/>
      <c r="O20" s="66"/>
    </row>
    <row r="21" spans="1:15" x14ac:dyDescent="0.3">
      <c r="L21" s="66"/>
      <c r="M21" s="66"/>
      <c r="N21" s="66"/>
      <c r="O21" s="66"/>
    </row>
    <row r="22" spans="1:15" x14ac:dyDescent="0.3">
      <c r="L22" s="66"/>
      <c r="M22" s="66"/>
      <c r="N22" s="66"/>
      <c r="O22" s="66"/>
    </row>
    <row r="23" spans="1:15" x14ac:dyDescent="0.3">
      <c r="L23" s="66"/>
      <c r="M23" s="66"/>
      <c r="N23" s="66"/>
      <c r="O23" s="66"/>
    </row>
    <row r="24" spans="1:15" x14ac:dyDescent="0.3">
      <c r="L24" s="66"/>
      <c r="M24" s="66"/>
      <c r="N24" s="66"/>
      <c r="O24" s="66"/>
    </row>
    <row r="25" spans="1:15" x14ac:dyDescent="0.3">
      <c r="L25" s="66"/>
      <c r="M25" s="66"/>
      <c r="N25" s="66"/>
      <c r="O25" s="66"/>
    </row>
    <row r="26" spans="1:15" x14ac:dyDescent="0.3">
      <c r="L26" s="66"/>
      <c r="M26" s="66"/>
      <c r="N26" s="66"/>
      <c r="O26" s="66"/>
    </row>
    <row r="27" spans="1:15" x14ac:dyDescent="0.3">
      <c r="L27" s="66"/>
      <c r="M27" s="66"/>
      <c r="N27" s="66"/>
      <c r="O27" s="66"/>
    </row>
    <row r="28" spans="1:15" x14ac:dyDescent="0.3">
      <c r="L28" s="66"/>
      <c r="M28" s="66"/>
      <c r="N28" s="66"/>
      <c r="O28" s="66"/>
    </row>
    <row r="29" spans="1:15" x14ac:dyDescent="0.3">
      <c r="L29" s="66"/>
      <c r="M29" s="66"/>
      <c r="N29" s="66"/>
      <c r="O29" s="66"/>
    </row>
    <row r="30" spans="1:15" x14ac:dyDescent="0.3">
      <c r="L30" s="66"/>
      <c r="M30" s="66"/>
      <c r="N30" s="66"/>
      <c r="O30" s="66"/>
    </row>
    <row r="31" spans="1:15" x14ac:dyDescent="0.3">
      <c r="L31" s="66"/>
      <c r="M31" s="66"/>
      <c r="N31" s="66"/>
      <c r="O31" s="66"/>
    </row>
    <row r="32" spans="1:15" x14ac:dyDescent="0.3">
      <c r="L32" s="66"/>
      <c r="M32" s="66"/>
      <c r="N32" s="66"/>
      <c r="O32" s="6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5E18-245C-408C-B805-1C90C414FF7E}">
  <dimension ref="A1:I44"/>
  <sheetViews>
    <sheetView zoomScaleNormal="100" workbookViewId="0">
      <selection activeCell="I22" sqref="I22"/>
    </sheetView>
  </sheetViews>
  <sheetFormatPr baseColWidth="10" defaultRowHeight="13.8" x14ac:dyDescent="0.25"/>
  <cols>
    <col min="1" max="1" width="20.6640625" style="4" customWidth="1"/>
    <col min="2" max="2" width="14.44140625" style="4" bestFit="1" customWidth="1"/>
    <col min="3" max="3" width="12.33203125" style="4" customWidth="1"/>
    <col min="4" max="4" width="14.109375" style="4" customWidth="1"/>
    <col min="5" max="5" width="7.6640625" style="4" customWidth="1"/>
    <col min="6" max="6" width="11.44140625" style="4" bestFit="1" customWidth="1"/>
    <col min="7" max="256" width="11.44140625" style="4"/>
    <col min="257" max="257" width="20.6640625" style="4" customWidth="1"/>
    <col min="258" max="258" width="14.44140625" style="4" bestFit="1" customWidth="1"/>
    <col min="259" max="259" width="12.33203125" style="4" customWidth="1"/>
    <col min="260" max="260" width="14.109375" style="4" customWidth="1"/>
    <col min="261" max="261" width="7.6640625" style="4" customWidth="1"/>
    <col min="262" max="262" width="11.44140625" style="4" bestFit="1"/>
    <col min="263" max="512" width="11.44140625" style="4"/>
    <col min="513" max="513" width="20.6640625" style="4" customWidth="1"/>
    <col min="514" max="514" width="14.44140625" style="4" bestFit="1" customWidth="1"/>
    <col min="515" max="515" width="12.33203125" style="4" customWidth="1"/>
    <col min="516" max="516" width="14.109375" style="4" customWidth="1"/>
    <col min="517" max="517" width="7.6640625" style="4" customWidth="1"/>
    <col min="518" max="518" width="11.44140625" style="4" bestFit="1"/>
    <col min="519" max="768" width="11.44140625" style="4"/>
    <col min="769" max="769" width="20.6640625" style="4" customWidth="1"/>
    <col min="770" max="770" width="14.44140625" style="4" bestFit="1" customWidth="1"/>
    <col min="771" max="771" width="12.33203125" style="4" customWidth="1"/>
    <col min="772" max="772" width="14.109375" style="4" customWidth="1"/>
    <col min="773" max="773" width="7.6640625" style="4" customWidth="1"/>
    <col min="774" max="774" width="11.44140625" style="4" bestFit="1"/>
    <col min="775" max="1024" width="11.44140625" style="4"/>
    <col min="1025" max="1025" width="20.6640625" style="4" customWidth="1"/>
    <col min="1026" max="1026" width="14.44140625" style="4" bestFit="1" customWidth="1"/>
    <col min="1027" max="1027" width="12.33203125" style="4" customWidth="1"/>
    <col min="1028" max="1028" width="14.109375" style="4" customWidth="1"/>
    <col min="1029" max="1029" width="7.6640625" style="4" customWidth="1"/>
    <col min="1030" max="1030" width="11.44140625" style="4" bestFit="1"/>
    <col min="1031" max="1280" width="11.44140625" style="4"/>
    <col min="1281" max="1281" width="20.6640625" style="4" customWidth="1"/>
    <col min="1282" max="1282" width="14.44140625" style="4" bestFit="1" customWidth="1"/>
    <col min="1283" max="1283" width="12.33203125" style="4" customWidth="1"/>
    <col min="1284" max="1284" width="14.109375" style="4" customWidth="1"/>
    <col min="1285" max="1285" width="7.6640625" style="4" customWidth="1"/>
    <col min="1286" max="1286" width="11.44140625" style="4" bestFit="1"/>
    <col min="1287" max="1536" width="11.44140625" style="4"/>
    <col min="1537" max="1537" width="20.6640625" style="4" customWidth="1"/>
    <col min="1538" max="1538" width="14.44140625" style="4" bestFit="1" customWidth="1"/>
    <col min="1539" max="1539" width="12.33203125" style="4" customWidth="1"/>
    <col min="1540" max="1540" width="14.109375" style="4" customWidth="1"/>
    <col min="1541" max="1541" width="7.6640625" style="4" customWidth="1"/>
    <col min="1542" max="1542" width="11.44140625" style="4" bestFit="1"/>
    <col min="1543" max="1792" width="11.44140625" style="4"/>
    <col min="1793" max="1793" width="20.6640625" style="4" customWidth="1"/>
    <col min="1794" max="1794" width="14.44140625" style="4" bestFit="1" customWidth="1"/>
    <col min="1795" max="1795" width="12.33203125" style="4" customWidth="1"/>
    <col min="1796" max="1796" width="14.109375" style="4" customWidth="1"/>
    <col min="1797" max="1797" width="7.6640625" style="4" customWidth="1"/>
    <col min="1798" max="1798" width="11.44140625" style="4" bestFit="1"/>
    <col min="1799" max="2048" width="11.44140625" style="4"/>
    <col min="2049" max="2049" width="20.6640625" style="4" customWidth="1"/>
    <col min="2050" max="2050" width="14.44140625" style="4" bestFit="1" customWidth="1"/>
    <col min="2051" max="2051" width="12.33203125" style="4" customWidth="1"/>
    <col min="2052" max="2052" width="14.109375" style="4" customWidth="1"/>
    <col min="2053" max="2053" width="7.6640625" style="4" customWidth="1"/>
    <col min="2054" max="2054" width="11.44140625" style="4" bestFit="1"/>
    <col min="2055" max="2304" width="11.44140625" style="4"/>
    <col min="2305" max="2305" width="20.6640625" style="4" customWidth="1"/>
    <col min="2306" max="2306" width="14.44140625" style="4" bestFit="1" customWidth="1"/>
    <col min="2307" max="2307" width="12.33203125" style="4" customWidth="1"/>
    <col min="2308" max="2308" width="14.109375" style="4" customWidth="1"/>
    <col min="2309" max="2309" width="7.6640625" style="4" customWidth="1"/>
    <col min="2310" max="2310" width="11.44140625" style="4" bestFit="1"/>
    <col min="2311" max="2560" width="11.44140625" style="4"/>
    <col min="2561" max="2561" width="20.6640625" style="4" customWidth="1"/>
    <col min="2562" max="2562" width="14.44140625" style="4" bestFit="1" customWidth="1"/>
    <col min="2563" max="2563" width="12.33203125" style="4" customWidth="1"/>
    <col min="2564" max="2564" width="14.109375" style="4" customWidth="1"/>
    <col min="2565" max="2565" width="7.6640625" style="4" customWidth="1"/>
    <col min="2566" max="2566" width="11.44140625" style="4" bestFit="1"/>
    <col min="2567" max="2816" width="11.44140625" style="4"/>
    <col min="2817" max="2817" width="20.6640625" style="4" customWidth="1"/>
    <col min="2818" max="2818" width="14.44140625" style="4" bestFit="1" customWidth="1"/>
    <col min="2819" max="2819" width="12.33203125" style="4" customWidth="1"/>
    <col min="2820" max="2820" width="14.109375" style="4" customWidth="1"/>
    <col min="2821" max="2821" width="7.6640625" style="4" customWidth="1"/>
    <col min="2822" max="2822" width="11.44140625" style="4" bestFit="1"/>
    <col min="2823" max="3072" width="11.44140625" style="4"/>
    <col min="3073" max="3073" width="20.6640625" style="4" customWidth="1"/>
    <col min="3074" max="3074" width="14.44140625" style="4" bestFit="1" customWidth="1"/>
    <col min="3075" max="3075" width="12.33203125" style="4" customWidth="1"/>
    <col min="3076" max="3076" width="14.109375" style="4" customWidth="1"/>
    <col min="3077" max="3077" width="7.6640625" style="4" customWidth="1"/>
    <col min="3078" max="3078" width="11.44140625" style="4" bestFit="1"/>
    <col min="3079" max="3328" width="11.44140625" style="4"/>
    <col min="3329" max="3329" width="20.6640625" style="4" customWidth="1"/>
    <col min="3330" max="3330" width="14.44140625" style="4" bestFit="1" customWidth="1"/>
    <col min="3331" max="3331" width="12.33203125" style="4" customWidth="1"/>
    <col min="3332" max="3332" width="14.109375" style="4" customWidth="1"/>
    <col min="3333" max="3333" width="7.6640625" style="4" customWidth="1"/>
    <col min="3334" max="3334" width="11.44140625" style="4" bestFit="1"/>
    <col min="3335" max="3584" width="11.44140625" style="4"/>
    <col min="3585" max="3585" width="20.6640625" style="4" customWidth="1"/>
    <col min="3586" max="3586" width="14.44140625" style="4" bestFit="1" customWidth="1"/>
    <col min="3587" max="3587" width="12.33203125" style="4" customWidth="1"/>
    <col min="3588" max="3588" width="14.109375" style="4" customWidth="1"/>
    <col min="3589" max="3589" width="7.6640625" style="4" customWidth="1"/>
    <col min="3590" max="3590" width="11.44140625" style="4" bestFit="1"/>
    <col min="3591" max="3840" width="11.44140625" style="4"/>
    <col min="3841" max="3841" width="20.6640625" style="4" customWidth="1"/>
    <col min="3842" max="3842" width="14.44140625" style="4" bestFit="1" customWidth="1"/>
    <col min="3843" max="3843" width="12.33203125" style="4" customWidth="1"/>
    <col min="3844" max="3844" width="14.109375" style="4" customWidth="1"/>
    <col min="3845" max="3845" width="7.6640625" style="4" customWidth="1"/>
    <col min="3846" max="3846" width="11.44140625" style="4" bestFit="1"/>
    <col min="3847" max="4096" width="11.44140625" style="4"/>
    <col min="4097" max="4097" width="20.6640625" style="4" customWidth="1"/>
    <col min="4098" max="4098" width="14.44140625" style="4" bestFit="1" customWidth="1"/>
    <col min="4099" max="4099" width="12.33203125" style="4" customWidth="1"/>
    <col min="4100" max="4100" width="14.109375" style="4" customWidth="1"/>
    <col min="4101" max="4101" width="7.6640625" style="4" customWidth="1"/>
    <col min="4102" max="4102" width="11.44140625" style="4" bestFit="1"/>
    <col min="4103" max="4352" width="11.44140625" style="4"/>
    <col min="4353" max="4353" width="20.6640625" style="4" customWidth="1"/>
    <col min="4354" max="4354" width="14.44140625" style="4" bestFit="1" customWidth="1"/>
    <col min="4355" max="4355" width="12.33203125" style="4" customWidth="1"/>
    <col min="4356" max="4356" width="14.109375" style="4" customWidth="1"/>
    <col min="4357" max="4357" width="7.6640625" style="4" customWidth="1"/>
    <col min="4358" max="4358" width="11.44140625" style="4" bestFit="1"/>
    <col min="4359" max="4608" width="11.44140625" style="4"/>
    <col min="4609" max="4609" width="20.6640625" style="4" customWidth="1"/>
    <col min="4610" max="4610" width="14.44140625" style="4" bestFit="1" customWidth="1"/>
    <col min="4611" max="4611" width="12.33203125" style="4" customWidth="1"/>
    <col min="4612" max="4612" width="14.109375" style="4" customWidth="1"/>
    <col min="4613" max="4613" width="7.6640625" style="4" customWidth="1"/>
    <col min="4614" max="4614" width="11.44140625" style="4" bestFit="1"/>
    <col min="4615" max="4864" width="11.44140625" style="4"/>
    <col min="4865" max="4865" width="20.6640625" style="4" customWidth="1"/>
    <col min="4866" max="4866" width="14.44140625" style="4" bestFit="1" customWidth="1"/>
    <col min="4867" max="4867" width="12.33203125" style="4" customWidth="1"/>
    <col min="4868" max="4868" width="14.109375" style="4" customWidth="1"/>
    <col min="4869" max="4869" width="7.6640625" style="4" customWidth="1"/>
    <col min="4870" max="4870" width="11.44140625" style="4" bestFit="1"/>
    <col min="4871" max="5120" width="11.44140625" style="4"/>
    <col min="5121" max="5121" width="20.6640625" style="4" customWidth="1"/>
    <col min="5122" max="5122" width="14.44140625" style="4" bestFit="1" customWidth="1"/>
    <col min="5123" max="5123" width="12.33203125" style="4" customWidth="1"/>
    <col min="5124" max="5124" width="14.109375" style="4" customWidth="1"/>
    <col min="5125" max="5125" width="7.6640625" style="4" customWidth="1"/>
    <col min="5126" max="5126" width="11.44140625" style="4" bestFit="1"/>
    <col min="5127" max="5376" width="11.44140625" style="4"/>
    <col min="5377" max="5377" width="20.6640625" style="4" customWidth="1"/>
    <col min="5378" max="5378" width="14.44140625" style="4" bestFit="1" customWidth="1"/>
    <col min="5379" max="5379" width="12.33203125" style="4" customWidth="1"/>
    <col min="5380" max="5380" width="14.109375" style="4" customWidth="1"/>
    <col min="5381" max="5381" width="7.6640625" style="4" customWidth="1"/>
    <col min="5382" max="5382" width="11.44140625" style="4" bestFit="1"/>
    <col min="5383" max="5632" width="11.44140625" style="4"/>
    <col min="5633" max="5633" width="20.6640625" style="4" customWidth="1"/>
    <col min="5634" max="5634" width="14.44140625" style="4" bestFit="1" customWidth="1"/>
    <col min="5635" max="5635" width="12.33203125" style="4" customWidth="1"/>
    <col min="5636" max="5636" width="14.109375" style="4" customWidth="1"/>
    <col min="5637" max="5637" width="7.6640625" style="4" customWidth="1"/>
    <col min="5638" max="5638" width="11.44140625" style="4" bestFit="1"/>
    <col min="5639" max="5888" width="11.44140625" style="4"/>
    <col min="5889" max="5889" width="20.6640625" style="4" customWidth="1"/>
    <col min="5890" max="5890" width="14.44140625" style="4" bestFit="1" customWidth="1"/>
    <col min="5891" max="5891" width="12.33203125" style="4" customWidth="1"/>
    <col min="5892" max="5892" width="14.109375" style="4" customWidth="1"/>
    <col min="5893" max="5893" width="7.6640625" style="4" customWidth="1"/>
    <col min="5894" max="5894" width="11.44140625" style="4" bestFit="1"/>
    <col min="5895" max="6144" width="11.44140625" style="4"/>
    <col min="6145" max="6145" width="20.6640625" style="4" customWidth="1"/>
    <col min="6146" max="6146" width="14.44140625" style="4" bestFit="1" customWidth="1"/>
    <col min="6147" max="6147" width="12.33203125" style="4" customWidth="1"/>
    <col min="6148" max="6148" width="14.109375" style="4" customWidth="1"/>
    <col min="6149" max="6149" width="7.6640625" style="4" customWidth="1"/>
    <col min="6150" max="6150" width="11.44140625" style="4" bestFit="1"/>
    <col min="6151" max="6400" width="11.44140625" style="4"/>
    <col min="6401" max="6401" width="20.6640625" style="4" customWidth="1"/>
    <col min="6402" max="6402" width="14.44140625" style="4" bestFit="1" customWidth="1"/>
    <col min="6403" max="6403" width="12.33203125" style="4" customWidth="1"/>
    <col min="6404" max="6404" width="14.109375" style="4" customWidth="1"/>
    <col min="6405" max="6405" width="7.6640625" style="4" customWidth="1"/>
    <col min="6406" max="6406" width="11.44140625" style="4" bestFit="1"/>
    <col min="6407" max="6656" width="11.44140625" style="4"/>
    <col min="6657" max="6657" width="20.6640625" style="4" customWidth="1"/>
    <col min="6658" max="6658" width="14.44140625" style="4" bestFit="1" customWidth="1"/>
    <col min="6659" max="6659" width="12.33203125" style="4" customWidth="1"/>
    <col min="6660" max="6660" width="14.109375" style="4" customWidth="1"/>
    <col min="6661" max="6661" width="7.6640625" style="4" customWidth="1"/>
    <col min="6662" max="6662" width="11.44140625" style="4" bestFit="1"/>
    <col min="6663" max="6912" width="11.44140625" style="4"/>
    <col min="6913" max="6913" width="20.6640625" style="4" customWidth="1"/>
    <col min="6914" max="6914" width="14.44140625" style="4" bestFit="1" customWidth="1"/>
    <col min="6915" max="6915" width="12.33203125" style="4" customWidth="1"/>
    <col min="6916" max="6916" width="14.109375" style="4" customWidth="1"/>
    <col min="6917" max="6917" width="7.6640625" style="4" customWidth="1"/>
    <col min="6918" max="6918" width="11.44140625" style="4" bestFit="1"/>
    <col min="6919" max="7168" width="11.44140625" style="4"/>
    <col min="7169" max="7169" width="20.6640625" style="4" customWidth="1"/>
    <col min="7170" max="7170" width="14.44140625" style="4" bestFit="1" customWidth="1"/>
    <col min="7171" max="7171" width="12.33203125" style="4" customWidth="1"/>
    <col min="7172" max="7172" width="14.109375" style="4" customWidth="1"/>
    <col min="7173" max="7173" width="7.6640625" style="4" customWidth="1"/>
    <col min="7174" max="7174" width="11.44140625" style="4" bestFit="1"/>
    <col min="7175" max="7424" width="11.44140625" style="4"/>
    <col min="7425" max="7425" width="20.6640625" style="4" customWidth="1"/>
    <col min="7426" max="7426" width="14.44140625" style="4" bestFit="1" customWidth="1"/>
    <col min="7427" max="7427" width="12.33203125" style="4" customWidth="1"/>
    <col min="7428" max="7428" width="14.109375" style="4" customWidth="1"/>
    <col min="7429" max="7429" width="7.6640625" style="4" customWidth="1"/>
    <col min="7430" max="7430" width="11.44140625" style="4" bestFit="1"/>
    <col min="7431" max="7680" width="11.44140625" style="4"/>
    <col min="7681" max="7681" width="20.6640625" style="4" customWidth="1"/>
    <col min="7682" max="7682" width="14.44140625" style="4" bestFit="1" customWidth="1"/>
    <col min="7683" max="7683" width="12.33203125" style="4" customWidth="1"/>
    <col min="7684" max="7684" width="14.109375" style="4" customWidth="1"/>
    <col min="7685" max="7685" width="7.6640625" style="4" customWidth="1"/>
    <col min="7686" max="7686" width="11.44140625" style="4" bestFit="1"/>
    <col min="7687" max="7936" width="11.44140625" style="4"/>
    <col min="7937" max="7937" width="20.6640625" style="4" customWidth="1"/>
    <col min="7938" max="7938" width="14.44140625" style="4" bestFit="1" customWidth="1"/>
    <col min="7939" max="7939" width="12.33203125" style="4" customWidth="1"/>
    <col min="7940" max="7940" width="14.109375" style="4" customWidth="1"/>
    <col min="7941" max="7941" width="7.6640625" style="4" customWidth="1"/>
    <col min="7942" max="7942" width="11.44140625" style="4" bestFit="1"/>
    <col min="7943" max="8192" width="11.44140625" style="4"/>
    <col min="8193" max="8193" width="20.6640625" style="4" customWidth="1"/>
    <col min="8194" max="8194" width="14.44140625" style="4" bestFit="1" customWidth="1"/>
    <col min="8195" max="8195" width="12.33203125" style="4" customWidth="1"/>
    <col min="8196" max="8196" width="14.109375" style="4" customWidth="1"/>
    <col min="8197" max="8197" width="7.6640625" style="4" customWidth="1"/>
    <col min="8198" max="8198" width="11.44140625" style="4" bestFit="1"/>
    <col min="8199" max="8448" width="11.44140625" style="4"/>
    <col min="8449" max="8449" width="20.6640625" style="4" customWidth="1"/>
    <col min="8450" max="8450" width="14.44140625" style="4" bestFit="1" customWidth="1"/>
    <col min="8451" max="8451" width="12.33203125" style="4" customWidth="1"/>
    <col min="8452" max="8452" width="14.109375" style="4" customWidth="1"/>
    <col min="8453" max="8453" width="7.6640625" style="4" customWidth="1"/>
    <col min="8454" max="8454" width="11.44140625" style="4" bestFit="1"/>
    <col min="8455" max="8704" width="11.44140625" style="4"/>
    <col min="8705" max="8705" width="20.6640625" style="4" customWidth="1"/>
    <col min="8706" max="8706" width="14.44140625" style="4" bestFit="1" customWidth="1"/>
    <col min="8707" max="8707" width="12.33203125" style="4" customWidth="1"/>
    <col min="8708" max="8708" width="14.109375" style="4" customWidth="1"/>
    <col min="8709" max="8709" width="7.6640625" style="4" customWidth="1"/>
    <col min="8710" max="8710" width="11.44140625" style="4" bestFit="1"/>
    <col min="8711" max="8960" width="11.44140625" style="4"/>
    <col min="8961" max="8961" width="20.6640625" style="4" customWidth="1"/>
    <col min="8962" max="8962" width="14.44140625" style="4" bestFit="1" customWidth="1"/>
    <col min="8963" max="8963" width="12.33203125" style="4" customWidth="1"/>
    <col min="8964" max="8964" width="14.109375" style="4" customWidth="1"/>
    <col min="8965" max="8965" width="7.6640625" style="4" customWidth="1"/>
    <col min="8966" max="8966" width="11.44140625" style="4" bestFit="1"/>
    <col min="8967" max="9216" width="11.44140625" style="4"/>
    <col min="9217" max="9217" width="20.6640625" style="4" customWidth="1"/>
    <col min="9218" max="9218" width="14.44140625" style="4" bestFit="1" customWidth="1"/>
    <col min="9219" max="9219" width="12.33203125" style="4" customWidth="1"/>
    <col min="9220" max="9220" width="14.109375" style="4" customWidth="1"/>
    <col min="9221" max="9221" width="7.6640625" style="4" customWidth="1"/>
    <col min="9222" max="9222" width="11.44140625" style="4" bestFit="1"/>
    <col min="9223" max="9472" width="11.44140625" style="4"/>
    <col min="9473" max="9473" width="20.6640625" style="4" customWidth="1"/>
    <col min="9474" max="9474" width="14.44140625" style="4" bestFit="1" customWidth="1"/>
    <col min="9475" max="9475" width="12.33203125" style="4" customWidth="1"/>
    <col min="9476" max="9476" width="14.109375" style="4" customWidth="1"/>
    <col min="9477" max="9477" width="7.6640625" style="4" customWidth="1"/>
    <col min="9478" max="9478" width="11.44140625" style="4" bestFit="1"/>
    <col min="9479" max="9728" width="11.44140625" style="4"/>
    <col min="9729" max="9729" width="20.6640625" style="4" customWidth="1"/>
    <col min="9730" max="9730" width="14.44140625" style="4" bestFit="1" customWidth="1"/>
    <col min="9731" max="9731" width="12.33203125" style="4" customWidth="1"/>
    <col min="9732" max="9732" width="14.109375" style="4" customWidth="1"/>
    <col min="9733" max="9733" width="7.6640625" style="4" customWidth="1"/>
    <col min="9734" max="9734" width="11.44140625" style="4" bestFit="1"/>
    <col min="9735" max="9984" width="11.44140625" style="4"/>
    <col min="9985" max="9985" width="20.6640625" style="4" customWidth="1"/>
    <col min="9986" max="9986" width="14.44140625" style="4" bestFit="1" customWidth="1"/>
    <col min="9987" max="9987" width="12.33203125" style="4" customWidth="1"/>
    <col min="9988" max="9988" width="14.109375" style="4" customWidth="1"/>
    <col min="9989" max="9989" width="7.6640625" style="4" customWidth="1"/>
    <col min="9990" max="9990" width="11.44140625" style="4" bestFit="1"/>
    <col min="9991" max="10240" width="11.44140625" style="4"/>
    <col min="10241" max="10241" width="20.6640625" style="4" customWidth="1"/>
    <col min="10242" max="10242" width="14.44140625" style="4" bestFit="1" customWidth="1"/>
    <col min="10243" max="10243" width="12.33203125" style="4" customWidth="1"/>
    <col min="10244" max="10244" width="14.109375" style="4" customWidth="1"/>
    <col min="10245" max="10245" width="7.6640625" style="4" customWidth="1"/>
    <col min="10246" max="10246" width="11.44140625" style="4" bestFit="1"/>
    <col min="10247" max="10496" width="11.44140625" style="4"/>
    <col min="10497" max="10497" width="20.6640625" style="4" customWidth="1"/>
    <col min="10498" max="10498" width="14.44140625" style="4" bestFit="1" customWidth="1"/>
    <col min="10499" max="10499" width="12.33203125" style="4" customWidth="1"/>
    <col min="10500" max="10500" width="14.109375" style="4" customWidth="1"/>
    <col min="10501" max="10501" width="7.6640625" style="4" customWidth="1"/>
    <col min="10502" max="10502" width="11.44140625" style="4" bestFit="1"/>
    <col min="10503" max="10752" width="11.44140625" style="4"/>
    <col min="10753" max="10753" width="20.6640625" style="4" customWidth="1"/>
    <col min="10754" max="10754" width="14.44140625" style="4" bestFit="1" customWidth="1"/>
    <col min="10755" max="10755" width="12.33203125" style="4" customWidth="1"/>
    <col min="10756" max="10756" width="14.109375" style="4" customWidth="1"/>
    <col min="10757" max="10757" width="7.6640625" style="4" customWidth="1"/>
    <col min="10758" max="10758" width="11.44140625" style="4" bestFit="1"/>
    <col min="10759" max="11008" width="11.44140625" style="4"/>
    <col min="11009" max="11009" width="20.6640625" style="4" customWidth="1"/>
    <col min="11010" max="11010" width="14.44140625" style="4" bestFit="1" customWidth="1"/>
    <col min="11011" max="11011" width="12.33203125" style="4" customWidth="1"/>
    <col min="11012" max="11012" width="14.109375" style="4" customWidth="1"/>
    <col min="11013" max="11013" width="7.6640625" style="4" customWidth="1"/>
    <col min="11014" max="11014" width="11.44140625" style="4" bestFit="1"/>
    <col min="11015" max="11264" width="11.44140625" style="4"/>
    <col min="11265" max="11265" width="20.6640625" style="4" customWidth="1"/>
    <col min="11266" max="11266" width="14.44140625" style="4" bestFit="1" customWidth="1"/>
    <col min="11267" max="11267" width="12.33203125" style="4" customWidth="1"/>
    <col min="11268" max="11268" width="14.109375" style="4" customWidth="1"/>
    <col min="11269" max="11269" width="7.6640625" style="4" customWidth="1"/>
    <col min="11270" max="11270" width="11.44140625" style="4" bestFit="1"/>
    <col min="11271" max="11520" width="11.44140625" style="4"/>
    <col min="11521" max="11521" width="20.6640625" style="4" customWidth="1"/>
    <col min="11522" max="11522" width="14.44140625" style="4" bestFit="1" customWidth="1"/>
    <col min="11523" max="11523" width="12.33203125" style="4" customWidth="1"/>
    <col min="11524" max="11524" width="14.109375" style="4" customWidth="1"/>
    <col min="11525" max="11525" width="7.6640625" style="4" customWidth="1"/>
    <col min="11526" max="11526" width="11.44140625" style="4" bestFit="1"/>
    <col min="11527" max="11776" width="11.44140625" style="4"/>
    <col min="11777" max="11777" width="20.6640625" style="4" customWidth="1"/>
    <col min="11778" max="11778" width="14.44140625" style="4" bestFit="1" customWidth="1"/>
    <col min="11779" max="11779" width="12.33203125" style="4" customWidth="1"/>
    <col min="11780" max="11780" width="14.109375" style="4" customWidth="1"/>
    <col min="11781" max="11781" width="7.6640625" style="4" customWidth="1"/>
    <col min="11782" max="11782" width="11.44140625" style="4" bestFit="1"/>
    <col min="11783" max="12032" width="11.44140625" style="4"/>
    <col min="12033" max="12033" width="20.6640625" style="4" customWidth="1"/>
    <col min="12034" max="12034" width="14.44140625" style="4" bestFit="1" customWidth="1"/>
    <col min="12035" max="12035" width="12.33203125" style="4" customWidth="1"/>
    <col min="12036" max="12036" width="14.109375" style="4" customWidth="1"/>
    <col min="12037" max="12037" width="7.6640625" style="4" customWidth="1"/>
    <col min="12038" max="12038" width="11.44140625" style="4" bestFit="1"/>
    <col min="12039" max="12288" width="11.44140625" style="4"/>
    <col min="12289" max="12289" width="20.6640625" style="4" customWidth="1"/>
    <col min="12290" max="12290" width="14.44140625" style="4" bestFit="1" customWidth="1"/>
    <col min="12291" max="12291" width="12.33203125" style="4" customWidth="1"/>
    <col min="12292" max="12292" width="14.109375" style="4" customWidth="1"/>
    <col min="12293" max="12293" width="7.6640625" style="4" customWidth="1"/>
    <col min="12294" max="12294" width="11.44140625" style="4" bestFit="1"/>
    <col min="12295" max="12544" width="11.44140625" style="4"/>
    <col min="12545" max="12545" width="20.6640625" style="4" customWidth="1"/>
    <col min="12546" max="12546" width="14.44140625" style="4" bestFit="1" customWidth="1"/>
    <col min="12547" max="12547" width="12.33203125" style="4" customWidth="1"/>
    <col min="12548" max="12548" width="14.109375" style="4" customWidth="1"/>
    <col min="12549" max="12549" width="7.6640625" style="4" customWidth="1"/>
    <col min="12550" max="12550" width="11.44140625" style="4" bestFit="1"/>
    <col min="12551" max="12800" width="11.44140625" style="4"/>
    <col min="12801" max="12801" width="20.6640625" style="4" customWidth="1"/>
    <col min="12802" max="12802" width="14.44140625" style="4" bestFit="1" customWidth="1"/>
    <col min="12803" max="12803" width="12.33203125" style="4" customWidth="1"/>
    <col min="12804" max="12804" width="14.109375" style="4" customWidth="1"/>
    <col min="12805" max="12805" width="7.6640625" style="4" customWidth="1"/>
    <col min="12806" max="12806" width="11.44140625" style="4" bestFit="1"/>
    <col min="12807" max="13056" width="11.44140625" style="4"/>
    <col min="13057" max="13057" width="20.6640625" style="4" customWidth="1"/>
    <col min="13058" max="13058" width="14.44140625" style="4" bestFit="1" customWidth="1"/>
    <col min="13059" max="13059" width="12.33203125" style="4" customWidth="1"/>
    <col min="13060" max="13060" width="14.109375" style="4" customWidth="1"/>
    <col min="13061" max="13061" width="7.6640625" style="4" customWidth="1"/>
    <col min="13062" max="13062" width="11.44140625" style="4" bestFit="1"/>
    <col min="13063" max="13312" width="11.44140625" style="4"/>
    <col min="13313" max="13313" width="20.6640625" style="4" customWidth="1"/>
    <col min="13314" max="13314" width="14.44140625" style="4" bestFit="1" customWidth="1"/>
    <col min="13315" max="13315" width="12.33203125" style="4" customWidth="1"/>
    <col min="13316" max="13316" width="14.109375" style="4" customWidth="1"/>
    <col min="13317" max="13317" width="7.6640625" style="4" customWidth="1"/>
    <col min="13318" max="13318" width="11.44140625" style="4" bestFit="1"/>
    <col min="13319" max="13568" width="11.44140625" style="4"/>
    <col min="13569" max="13569" width="20.6640625" style="4" customWidth="1"/>
    <col min="13570" max="13570" width="14.44140625" style="4" bestFit="1" customWidth="1"/>
    <col min="13571" max="13571" width="12.33203125" style="4" customWidth="1"/>
    <col min="13572" max="13572" width="14.109375" style="4" customWidth="1"/>
    <col min="13573" max="13573" width="7.6640625" style="4" customWidth="1"/>
    <col min="13574" max="13574" width="11.44140625" style="4" bestFit="1"/>
    <col min="13575" max="13824" width="11.44140625" style="4"/>
    <col min="13825" max="13825" width="20.6640625" style="4" customWidth="1"/>
    <col min="13826" max="13826" width="14.44140625" style="4" bestFit="1" customWidth="1"/>
    <col min="13827" max="13827" width="12.33203125" style="4" customWidth="1"/>
    <col min="13828" max="13828" width="14.109375" style="4" customWidth="1"/>
    <col min="13829" max="13829" width="7.6640625" style="4" customWidth="1"/>
    <col min="13830" max="13830" width="11.44140625" style="4" bestFit="1"/>
    <col min="13831" max="14080" width="11.44140625" style="4"/>
    <col min="14081" max="14081" width="20.6640625" style="4" customWidth="1"/>
    <col min="14082" max="14082" width="14.44140625" style="4" bestFit="1" customWidth="1"/>
    <col min="14083" max="14083" width="12.33203125" style="4" customWidth="1"/>
    <col min="14084" max="14084" width="14.109375" style="4" customWidth="1"/>
    <col min="14085" max="14085" width="7.6640625" style="4" customWidth="1"/>
    <col min="14086" max="14086" width="11.44140625" style="4" bestFit="1"/>
    <col min="14087" max="14336" width="11.44140625" style="4"/>
    <col min="14337" max="14337" width="20.6640625" style="4" customWidth="1"/>
    <col min="14338" max="14338" width="14.44140625" style="4" bestFit="1" customWidth="1"/>
    <col min="14339" max="14339" width="12.33203125" style="4" customWidth="1"/>
    <col min="14340" max="14340" width="14.109375" style="4" customWidth="1"/>
    <col min="14341" max="14341" width="7.6640625" style="4" customWidth="1"/>
    <col min="14342" max="14342" width="11.44140625" style="4" bestFit="1"/>
    <col min="14343" max="14592" width="11.44140625" style="4"/>
    <col min="14593" max="14593" width="20.6640625" style="4" customWidth="1"/>
    <col min="14594" max="14594" width="14.44140625" style="4" bestFit="1" customWidth="1"/>
    <col min="14595" max="14595" width="12.33203125" style="4" customWidth="1"/>
    <col min="14596" max="14596" width="14.109375" style="4" customWidth="1"/>
    <col min="14597" max="14597" width="7.6640625" style="4" customWidth="1"/>
    <col min="14598" max="14598" width="11.44140625" style="4" bestFit="1"/>
    <col min="14599" max="14848" width="11.44140625" style="4"/>
    <col min="14849" max="14849" width="20.6640625" style="4" customWidth="1"/>
    <col min="14850" max="14850" width="14.44140625" style="4" bestFit="1" customWidth="1"/>
    <col min="14851" max="14851" width="12.33203125" style="4" customWidth="1"/>
    <col min="14852" max="14852" width="14.109375" style="4" customWidth="1"/>
    <col min="14853" max="14853" width="7.6640625" style="4" customWidth="1"/>
    <col min="14854" max="14854" width="11.44140625" style="4" bestFit="1"/>
    <col min="14855" max="15104" width="11.44140625" style="4"/>
    <col min="15105" max="15105" width="20.6640625" style="4" customWidth="1"/>
    <col min="15106" max="15106" width="14.44140625" style="4" bestFit="1" customWidth="1"/>
    <col min="15107" max="15107" width="12.33203125" style="4" customWidth="1"/>
    <col min="15108" max="15108" width="14.109375" style="4" customWidth="1"/>
    <col min="15109" max="15109" width="7.6640625" style="4" customWidth="1"/>
    <col min="15110" max="15110" width="11.44140625" style="4" bestFit="1"/>
    <col min="15111" max="15360" width="11.44140625" style="4"/>
    <col min="15361" max="15361" width="20.6640625" style="4" customWidth="1"/>
    <col min="15362" max="15362" width="14.44140625" style="4" bestFit="1" customWidth="1"/>
    <col min="15363" max="15363" width="12.33203125" style="4" customWidth="1"/>
    <col min="15364" max="15364" width="14.109375" style="4" customWidth="1"/>
    <col min="15365" max="15365" width="7.6640625" style="4" customWidth="1"/>
    <col min="15366" max="15366" width="11.44140625" style="4" bestFit="1"/>
    <col min="15367" max="15616" width="11.44140625" style="4"/>
    <col min="15617" max="15617" width="20.6640625" style="4" customWidth="1"/>
    <col min="15618" max="15618" width="14.44140625" style="4" bestFit="1" customWidth="1"/>
    <col min="15619" max="15619" width="12.33203125" style="4" customWidth="1"/>
    <col min="15620" max="15620" width="14.109375" style="4" customWidth="1"/>
    <col min="15621" max="15621" width="7.6640625" style="4" customWidth="1"/>
    <col min="15622" max="15622" width="11.44140625" style="4" bestFit="1"/>
    <col min="15623" max="15872" width="11.44140625" style="4"/>
    <col min="15873" max="15873" width="20.6640625" style="4" customWidth="1"/>
    <col min="15874" max="15874" width="14.44140625" style="4" bestFit="1" customWidth="1"/>
    <col min="15875" max="15875" width="12.33203125" style="4" customWidth="1"/>
    <col min="15876" max="15876" width="14.109375" style="4" customWidth="1"/>
    <col min="15877" max="15877" width="7.6640625" style="4" customWidth="1"/>
    <col min="15878" max="15878" width="11.44140625" style="4" bestFit="1"/>
    <col min="15879" max="16128" width="11.44140625" style="4"/>
    <col min="16129" max="16129" width="20.6640625" style="4" customWidth="1"/>
    <col min="16130" max="16130" width="14.44140625" style="4" bestFit="1" customWidth="1"/>
    <col min="16131" max="16131" width="12.33203125" style="4" customWidth="1"/>
    <col min="16132" max="16132" width="14.109375" style="4" customWidth="1"/>
    <col min="16133" max="16133" width="7.6640625" style="4" customWidth="1"/>
    <col min="16134" max="16134" width="11.44140625" style="4" bestFit="1"/>
    <col min="16135" max="16384" width="11.44140625" style="4"/>
  </cols>
  <sheetData>
    <row r="1" spans="1:9" x14ac:dyDescent="0.25">
      <c r="A1" s="3" t="s">
        <v>147</v>
      </c>
    </row>
    <row r="2" spans="1:9" x14ac:dyDescent="0.25">
      <c r="A2" s="3" t="s">
        <v>173</v>
      </c>
      <c r="G2" s="4" t="s">
        <v>279</v>
      </c>
    </row>
    <row r="3" spans="1:9" x14ac:dyDescent="0.25">
      <c r="A3" s="4" t="s">
        <v>62</v>
      </c>
      <c r="C3" s="33">
        <v>1</v>
      </c>
      <c r="D3" s="4" t="s">
        <v>63</v>
      </c>
    </row>
    <row r="4" spans="1:9" x14ac:dyDescent="0.25">
      <c r="A4" s="4" t="s">
        <v>71</v>
      </c>
      <c r="G4" s="4" t="s">
        <v>280</v>
      </c>
    </row>
    <row r="5" spans="1:9" ht="8.25" customHeight="1" x14ac:dyDescent="0.25"/>
    <row r="6" spans="1:9" x14ac:dyDescent="0.25">
      <c r="A6" s="34" t="s">
        <v>64</v>
      </c>
      <c r="B6" s="34" t="s">
        <v>65</v>
      </c>
      <c r="C6" s="34" t="s">
        <v>66</v>
      </c>
      <c r="D6" s="34" t="s">
        <v>284</v>
      </c>
      <c r="G6" s="4" t="s">
        <v>281</v>
      </c>
    </row>
    <row r="7" spans="1:9" x14ac:dyDescent="0.25">
      <c r="A7" s="9" t="s">
        <v>72</v>
      </c>
      <c r="B7" s="35">
        <v>1350</v>
      </c>
      <c r="C7" s="20">
        <v>176.4</v>
      </c>
      <c r="D7" s="73">
        <f>B7/C7</f>
        <v>7.6530612244897958</v>
      </c>
      <c r="G7" s="4" t="s">
        <v>282</v>
      </c>
    </row>
    <row r="8" spans="1:9" x14ac:dyDescent="0.25">
      <c r="A8" s="9" t="s">
        <v>73</v>
      </c>
      <c r="B8" s="35">
        <v>2250</v>
      </c>
      <c r="C8" s="20">
        <v>178.4</v>
      </c>
      <c r="D8" s="73">
        <f t="shared" ref="D8:D11" si="0">B8/C8</f>
        <v>12.612107623318385</v>
      </c>
      <c r="G8" s="4" t="s">
        <v>283</v>
      </c>
    </row>
    <row r="9" spans="1:9" x14ac:dyDescent="0.25">
      <c r="A9" s="9" t="s">
        <v>74</v>
      </c>
      <c r="B9" s="35">
        <v>1860</v>
      </c>
      <c r="C9" s="20">
        <v>165.4</v>
      </c>
      <c r="D9" s="73">
        <f t="shared" si="0"/>
        <v>11.24546553808948</v>
      </c>
    </row>
    <row r="10" spans="1:9" x14ac:dyDescent="0.25">
      <c r="A10" s="9" t="s">
        <v>75</v>
      </c>
      <c r="B10" s="35">
        <v>2126</v>
      </c>
      <c r="C10" s="20">
        <v>163.1</v>
      </c>
      <c r="D10" s="73">
        <f t="shared" si="0"/>
        <v>13.034947884733294</v>
      </c>
    </row>
    <row r="11" spans="1:9" x14ac:dyDescent="0.25">
      <c r="A11" s="9" t="s">
        <v>76</v>
      </c>
      <c r="B11" s="35">
        <v>1250</v>
      </c>
      <c r="C11" s="20">
        <v>160.5</v>
      </c>
      <c r="D11" s="73">
        <f t="shared" si="0"/>
        <v>7.7881619937694708</v>
      </c>
    </row>
    <row r="12" spans="1:9" ht="7.5" customHeight="1" x14ac:dyDescent="0.25"/>
    <row r="13" spans="1:9" x14ac:dyDescent="0.25">
      <c r="A13" s="36" t="s">
        <v>67</v>
      </c>
    </row>
    <row r="14" spans="1:9" x14ac:dyDescent="0.25">
      <c r="A14" s="37" t="s">
        <v>68</v>
      </c>
      <c r="B14" s="34" t="s">
        <v>10</v>
      </c>
      <c r="C14" s="34" t="s">
        <v>77</v>
      </c>
      <c r="D14" s="34" t="s">
        <v>78</v>
      </c>
      <c r="E14" s="34" t="s">
        <v>79</v>
      </c>
      <c r="F14" s="34" t="s">
        <v>69</v>
      </c>
      <c r="G14" s="34" t="s">
        <v>184</v>
      </c>
      <c r="H14" s="34" t="s">
        <v>185</v>
      </c>
      <c r="I14" s="34" t="s">
        <v>186</v>
      </c>
    </row>
    <row r="15" spans="1:9" x14ac:dyDescent="0.25">
      <c r="A15" s="9" t="s">
        <v>72</v>
      </c>
      <c r="B15" s="16" t="s">
        <v>70</v>
      </c>
      <c r="C15" s="16">
        <v>15.5</v>
      </c>
      <c r="D15" s="16">
        <v>0</v>
      </c>
      <c r="E15" s="16">
        <v>4.5</v>
      </c>
      <c r="F15" s="56">
        <f>D7</f>
        <v>7.6530612244897958</v>
      </c>
      <c r="G15" s="18">
        <f>$F15*C15</f>
        <v>118.62244897959184</v>
      </c>
      <c r="H15" s="18">
        <f t="shared" ref="H15:I15" si="1">$F15*D15</f>
        <v>0</v>
      </c>
      <c r="I15" s="18">
        <f t="shared" si="1"/>
        <v>34.438775510204081</v>
      </c>
    </row>
    <row r="16" spans="1:9" x14ac:dyDescent="0.25">
      <c r="A16" s="9" t="s">
        <v>73</v>
      </c>
      <c r="B16" s="16" t="s">
        <v>70</v>
      </c>
      <c r="C16" s="16">
        <v>14.6</v>
      </c>
      <c r="D16" s="16">
        <v>0</v>
      </c>
      <c r="E16" s="16">
        <v>0</v>
      </c>
      <c r="F16" s="56">
        <f t="shared" ref="F16:F19" si="2">D8</f>
        <v>12.612107623318385</v>
      </c>
      <c r="G16" s="18">
        <f t="shared" ref="G16:G19" si="3">$F16*C16</f>
        <v>184.13677130044843</v>
      </c>
      <c r="H16" s="18">
        <f t="shared" ref="H16:H19" si="4">$F16*D16</f>
        <v>0</v>
      </c>
      <c r="I16" s="18">
        <f t="shared" ref="I16:I19" si="5">$F16*E16</f>
        <v>0</v>
      </c>
    </row>
    <row r="17" spans="1:9" x14ac:dyDescent="0.25">
      <c r="A17" s="9" t="s">
        <v>74</v>
      </c>
      <c r="B17" s="16" t="s">
        <v>70</v>
      </c>
      <c r="C17" s="16">
        <v>0</v>
      </c>
      <c r="D17" s="16">
        <v>17.8</v>
      </c>
      <c r="E17" s="16">
        <v>2.2999999999999998</v>
      </c>
      <c r="F17" s="56">
        <f t="shared" si="2"/>
        <v>11.24546553808948</v>
      </c>
      <c r="G17" s="18">
        <f t="shared" si="3"/>
        <v>0</v>
      </c>
      <c r="H17" s="18">
        <f t="shared" si="4"/>
        <v>200.16928657799275</v>
      </c>
      <c r="I17" s="18">
        <f t="shared" si="5"/>
        <v>25.864570737605803</v>
      </c>
    </row>
    <row r="18" spans="1:9" x14ac:dyDescent="0.25">
      <c r="A18" s="9" t="s">
        <v>75</v>
      </c>
      <c r="B18" s="16" t="s">
        <v>70</v>
      </c>
      <c r="C18" s="16">
        <v>0</v>
      </c>
      <c r="D18" s="16">
        <v>16.5</v>
      </c>
      <c r="E18" s="16">
        <v>0</v>
      </c>
      <c r="F18" s="56">
        <f t="shared" si="2"/>
        <v>13.034947884733294</v>
      </c>
      <c r="G18" s="18">
        <f t="shared" si="3"/>
        <v>0</v>
      </c>
      <c r="H18" s="18">
        <f t="shared" si="4"/>
        <v>215.07664009809935</v>
      </c>
      <c r="I18" s="18">
        <f t="shared" si="5"/>
        <v>0</v>
      </c>
    </row>
    <row r="19" spans="1:9" x14ac:dyDescent="0.25">
      <c r="A19" s="9" t="s">
        <v>76</v>
      </c>
      <c r="B19" s="16" t="s">
        <v>70</v>
      </c>
      <c r="C19" s="16">
        <v>10.3</v>
      </c>
      <c r="D19" s="16">
        <v>11.3</v>
      </c>
      <c r="E19" s="16">
        <v>0</v>
      </c>
      <c r="F19" s="56">
        <f t="shared" si="2"/>
        <v>7.7881619937694708</v>
      </c>
      <c r="G19" s="18">
        <f t="shared" si="3"/>
        <v>80.218068535825552</v>
      </c>
      <c r="H19" s="18">
        <f t="shared" si="4"/>
        <v>88.00623052959503</v>
      </c>
      <c r="I19" s="18">
        <f t="shared" si="5"/>
        <v>0</v>
      </c>
    </row>
    <row r="20" spans="1:9" x14ac:dyDescent="0.25">
      <c r="A20" s="38" t="s">
        <v>0</v>
      </c>
      <c r="B20" s="39"/>
      <c r="C20" s="39"/>
      <c r="D20" s="39"/>
      <c r="E20" s="39"/>
      <c r="F20" s="39"/>
      <c r="G20" s="40">
        <f>SUM(G15:G19)</f>
        <v>382.97728881586579</v>
      </c>
      <c r="H20" s="40">
        <f>SUM(H15:H19)</f>
        <v>503.25215720568713</v>
      </c>
      <c r="I20" s="40">
        <f>SUM(I15:I19)</f>
        <v>60.303346247809884</v>
      </c>
    </row>
    <row r="32" spans="1:9" x14ac:dyDescent="0.25">
      <c r="B32" s="4" t="s">
        <v>175</v>
      </c>
    </row>
    <row r="34" spans="2:5" x14ac:dyDescent="0.25">
      <c r="B34" s="4" t="s">
        <v>176</v>
      </c>
    </row>
    <row r="35" spans="2:5" x14ac:dyDescent="0.25">
      <c r="B35" s="4" t="s">
        <v>177</v>
      </c>
    </row>
    <row r="36" spans="2:5" x14ac:dyDescent="0.25">
      <c r="B36" s="4" t="s">
        <v>178</v>
      </c>
    </row>
    <row r="37" spans="2:5" x14ac:dyDescent="0.25">
      <c r="B37" s="4" t="s">
        <v>179</v>
      </c>
    </row>
    <row r="39" spans="2:5" x14ac:dyDescent="0.25">
      <c r="B39" s="4" t="s">
        <v>180</v>
      </c>
    </row>
    <row r="41" spans="2:5" x14ac:dyDescent="0.25">
      <c r="B41" s="4" t="s">
        <v>181</v>
      </c>
      <c r="E41" s="4">
        <f>8*6*4</f>
        <v>192</v>
      </c>
    </row>
    <row r="42" spans="2:5" x14ac:dyDescent="0.25">
      <c r="B42" s="4" t="s">
        <v>182</v>
      </c>
      <c r="E42" s="4">
        <f>(8-1)*6*4</f>
        <v>168</v>
      </c>
    </row>
    <row r="44" spans="2:5" x14ac:dyDescent="0.25">
      <c r="B44" s="4" t="s">
        <v>183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8"/>
  <sheetViews>
    <sheetView topLeftCell="B1" zoomScale="120" zoomScaleNormal="120" workbookViewId="0">
      <selection activeCell="L1" sqref="L1"/>
    </sheetView>
  </sheetViews>
  <sheetFormatPr baseColWidth="10" defaultColWidth="11.44140625" defaultRowHeight="14.4" x14ac:dyDescent="0.3"/>
  <cols>
    <col min="1" max="1" width="62.5546875" style="2" bestFit="1" customWidth="1"/>
    <col min="2" max="4" width="11.44140625" style="2"/>
    <col min="5" max="5" width="7" style="2" bestFit="1" customWidth="1"/>
    <col min="6" max="8" width="10.44140625" style="2" bestFit="1" customWidth="1"/>
    <col min="9" max="9" width="9.88671875" style="2" bestFit="1" customWidth="1"/>
    <col min="10" max="12" width="12.6640625" style="2" bestFit="1" customWidth="1"/>
    <col min="13" max="16384" width="11.44140625" style="2"/>
  </cols>
  <sheetData>
    <row r="1" spans="1:12" x14ac:dyDescent="0.3">
      <c r="A1" s="1" t="s">
        <v>231</v>
      </c>
      <c r="D1" s="2" t="s">
        <v>344</v>
      </c>
    </row>
    <row r="2" spans="1:12" x14ac:dyDescent="0.3">
      <c r="D2" s="2" t="s">
        <v>345</v>
      </c>
      <c r="E2" s="2" t="s">
        <v>352</v>
      </c>
      <c r="F2" s="66" t="s">
        <v>353</v>
      </c>
      <c r="G2" s="66" t="s">
        <v>355</v>
      </c>
      <c r="H2" s="66" t="s">
        <v>354</v>
      </c>
      <c r="I2" s="66" t="s">
        <v>54</v>
      </c>
      <c r="J2" s="116" t="s">
        <v>358</v>
      </c>
      <c r="K2" s="116" t="s">
        <v>359</v>
      </c>
      <c r="L2" s="116" t="s">
        <v>360</v>
      </c>
    </row>
    <row r="3" spans="1:12" x14ac:dyDescent="0.3">
      <c r="D3" s="2" t="s">
        <v>346</v>
      </c>
      <c r="E3" s="2" t="s">
        <v>356</v>
      </c>
      <c r="F3" s="66">
        <v>8</v>
      </c>
      <c r="G3" s="66">
        <v>1</v>
      </c>
      <c r="H3" s="66"/>
      <c r="I3" s="114">
        <f>795.6/1.18/30</f>
        <v>22.474576271186443</v>
      </c>
      <c r="J3" s="114">
        <f>$I3*F3</f>
        <v>179.79661016949154</v>
      </c>
      <c r="K3" s="114">
        <f t="shared" ref="K3:L3" si="0">$I3*G3</f>
        <v>22.474576271186443</v>
      </c>
      <c r="L3" s="114">
        <f t="shared" si="0"/>
        <v>0</v>
      </c>
    </row>
    <row r="4" spans="1:12" x14ac:dyDescent="0.3">
      <c r="D4" s="2" t="s">
        <v>347</v>
      </c>
      <c r="E4" s="2" t="s">
        <v>356</v>
      </c>
      <c r="F4" s="66">
        <v>1</v>
      </c>
      <c r="G4" s="66">
        <v>2</v>
      </c>
      <c r="H4" s="66">
        <v>2</v>
      </c>
      <c r="I4" s="114">
        <f>625.3/1.18/60</f>
        <v>8.831920903954801</v>
      </c>
      <c r="J4" s="114">
        <f t="shared" ref="J4:J9" si="1">$I4*F4</f>
        <v>8.831920903954801</v>
      </c>
      <c r="K4" s="114">
        <f t="shared" ref="K4:K9" si="2">$I4*G4</f>
        <v>17.663841807909602</v>
      </c>
      <c r="L4" s="114">
        <f t="shared" ref="L4:L9" si="3">$I4*H4</f>
        <v>17.663841807909602</v>
      </c>
    </row>
    <row r="5" spans="1:12" x14ac:dyDescent="0.3">
      <c r="D5" s="2" t="s">
        <v>348</v>
      </c>
      <c r="E5" s="2" t="s">
        <v>356</v>
      </c>
      <c r="F5" s="66">
        <v>2</v>
      </c>
      <c r="G5" s="66">
        <v>3</v>
      </c>
      <c r="H5" s="66">
        <v>3</v>
      </c>
      <c r="I5" s="114">
        <f>310.7/1.18/20</f>
        <v>13.165254237288135</v>
      </c>
      <c r="J5" s="114">
        <f t="shared" si="1"/>
        <v>26.33050847457627</v>
      </c>
      <c r="K5" s="114">
        <f t="shared" si="2"/>
        <v>39.495762711864401</v>
      </c>
      <c r="L5" s="114">
        <f t="shared" si="3"/>
        <v>39.495762711864401</v>
      </c>
    </row>
    <row r="6" spans="1:12" x14ac:dyDescent="0.3">
      <c r="D6" s="2" t="s">
        <v>349</v>
      </c>
      <c r="E6" s="2" t="s">
        <v>356</v>
      </c>
      <c r="F6" s="66">
        <v>2</v>
      </c>
      <c r="G6" s="66"/>
      <c r="H6" s="66">
        <v>3</v>
      </c>
      <c r="I6" s="114">
        <f>389.4/1.18/10</f>
        <v>33</v>
      </c>
      <c r="J6" s="114">
        <f t="shared" si="1"/>
        <v>66</v>
      </c>
      <c r="K6" s="114">
        <f t="shared" si="2"/>
        <v>0</v>
      </c>
      <c r="L6" s="114">
        <f t="shared" si="3"/>
        <v>99</v>
      </c>
    </row>
    <row r="7" spans="1:12" x14ac:dyDescent="0.3">
      <c r="D7" s="2" t="s">
        <v>157</v>
      </c>
      <c r="E7" s="2" t="s">
        <v>168</v>
      </c>
      <c r="F7" s="66">
        <v>15</v>
      </c>
      <c r="G7" s="66">
        <v>8</v>
      </c>
      <c r="H7" s="66">
        <v>4</v>
      </c>
      <c r="I7" s="114">
        <f>336.4/10</f>
        <v>33.64</v>
      </c>
      <c r="J7" s="114">
        <f t="shared" si="1"/>
        <v>504.6</v>
      </c>
      <c r="K7" s="114">
        <f t="shared" si="2"/>
        <v>269.12</v>
      </c>
      <c r="L7" s="114">
        <f t="shared" si="3"/>
        <v>134.56</v>
      </c>
    </row>
    <row r="8" spans="1:12" x14ac:dyDescent="0.3">
      <c r="D8" s="2" t="s">
        <v>350</v>
      </c>
      <c r="E8" s="2" t="s">
        <v>277</v>
      </c>
      <c r="F8" s="66"/>
      <c r="G8" s="66">
        <v>2.5</v>
      </c>
      <c r="H8" s="66">
        <v>4.5999999999999996</v>
      </c>
      <c r="I8" s="114">
        <f>250.3/1.18/1000</f>
        <v>0.21211864406779662</v>
      </c>
      <c r="J8" s="114">
        <f t="shared" si="1"/>
        <v>0</v>
      </c>
      <c r="K8" s="114">
        <f t="shared" si="2"/>
        <v>0.53029661016949159</v>
      </c>
      <c r="L8" s="114">
        <f t="shared" si="3"/>
        <v>0.97574576271186442</v>
      </c>
    </row>
    <row r="9" spans="1:12" x14ac:dyDescent="0.3">
      <c r="D9" s="2" t="s">
        <v>351</v>
      </c>
      <c r="E9" s="2" t="s">
        <v>357</v>
      </c>
      <c r="F9" s="66">
        <v>2</v>
      </c>
      <c r="G9" s="66">
        <v>1</v>
      </c>
      <c r="H9" s="66">
        <v>2.6</v>
      </c>
      <c r="I9" s="114">
        <f>189.4/4.5</f>
        <v>42.088888888888889</v>
      </c>
      <c r="J9" s="114">
        <f t="shared" si="1"/>
        <v>84.177777777777777</v>
      </c>
      <c r="K9" s="114">
        <f t="shared" si="2"/>
        <v>42.088888888888889</v>
      </c>
      <c r="L9" s="114">
        <f t="shared" si="3"/>
        <v>109.43111111111111</v>
      </c>
    </row>
    <row r="10" spans="1:12" x14ac:dyDescent="0.3">
      <c r="J10" s="115">
        <f>SUM(J3:J9)</f>
        <v>869.73681732580042</v>
      </c>
      <c r="K10" s="115">
        <f t="shared" ref="K10:L10" si="4">SUM(K3:K9)</f>
        <v>391.37336629001885</v>
      </c>
      <c r="L10" s="115">
        <f t="shared" si="4"/>
        <v>401.12646139359697</v>
      </c>
    </row>
    <row r="13" spans="1:12" x14ac:dyDescent="0.3">
      <c r="D13" s="2" t="s">
        <v>361</v>
      </c>
      <c r="E13" s="2" t="s">
        <v>10</v>
      </c>
      <c r="F13" s="66" t="s">
        <v>353</v>
      </c>
      <c r="G13" s="66" t="s">
        <v>355</v>
      </c>
      <c r="H13" s="66" t="s">
        <v>354</v>
      </c>
      <c r="I13" s="66" t="s">
        <v>366</v>
      </c>
      <c r="J13" s="116" t="s">
        <v>358</v>
      </c>
      <c r="K13" s="116" t="s">
        <v>359</v>
      </c>
      <c r="L13" s="116" t="s">
        <v>360</v>
      </c>
    </row>
    <row r="14" spans="1:12" x14ac:dyDescent="0.3">
      <c r="D14" s="2" t="s">
        <v>362</v>
      </c>
      <c r="E14" s="2" t="s">
        <v>70</v>
      </c>
      <c r="F14" s="66">
        <v>15.8</v>
      </c>
      <c r="G14" s="66"/>
      <c r="H14" s="66">
        <v>5.8</v>
      </c>
      <c r="I14" s="114">
        <f>2420/182</f>
        <v>13.296703296703297</v>
      </c>
      <c r="J14" s="114">
        <f>$I14*F14</f>
        <v>210.08791208791212</v>
      </c>
      <c r="K14" s="114">
        <f t="shared" ref="K14:L14" si="5">$I14*G14</f>
        <v>0</v>
      </c>
      <c r="L14" s="114">
        <f t="shared" si="5"/>
        <v>77.120879120879124</v>
      </c>
    </row>
    <row r="15" spans="1:12" x14ac:dyDescent="0.3">
      <c r="D15" s="2" t="s">
        <v>363</v>
      </c>
      <c r="E15" s="2" t="s">
        <v>70</v>
      </c>
      <c r="F15" s="66">
        <v>3.2</v>
      </c>
      <c r="G15" s="66">
        <v>5.6</v>
      </c>
      <c r="H15" s="66">
        <v>2.6</v>
      </c>
      <c r="I15" s="114">
        <f>2870/184</f>
        <v>15.597826086956522</v>
      </c>
      <c r="J15" s="114">
        <f t="shared" ref="J15:J17" si="6">$I15*F15</f>
        <v>49.913043478260875</v>
      </c>
      <c r="K15" s="114">
        <f t="shared" ref="K15:K17" si="7">$I15*G15</f>
        <v>87.347826086956516</v>
      </c>
      <c r="L15" s="114">
        <f t="shared" ref="L15:L17" si="8">$I15*H15</f>
        <v>40.554347826086961</v>
      </c>
    </row>
    <row r="16" spans="1:12" x14ac:dyDescent="0.3">
      <c r="D16" s="2" t="s">
        <v>364</v>
      </c>
      <c r="E16" s="2" t="s">
        <v>70</v>
      </c>
      <c r="F16" s="66">
        <v>31.4</v>
      </c>
      <c r="G16" s="66">
        <v>16.3</v>
      </c>
      <c r="H16" s="66">
        <v>4.5999999999999996</v>
      </c>
      <c r="I16" s="114">
        <f>1756/178</f>
        <v>9.8651685393258433</v>
      </c>
      <c r="J16" s="114">
        <f t="shared" si="6"/>
        <v>309.76629213483147</v>
      </c>
      <c r="K16" s="114">
        <f t="shared" si="7"/>
        <v>160.80224719101125</v>
      </c>
      <c r="L16" s="114">
        <f t="shared" si="8"/>
        <v>45.379775280898876</v>
      </c>
    </row>
    <row r="17" spans="4:12" x14ac:dyDescent="0.3">
      <c r="D17" s="2" t="s">
        <v>365</v>
      </c>
      <c r="E17" s="2" t="s">
        <v>70</v>
      </c>
      <c r="F17" s="66">
        <v>10.8</v>
      </c>
      <c r="G17" s="66">
        <v>11.2</v>
      </c>
      <c r="H17" s="66"/>
      <c r="I17" s="114">
        <f>2990/179</f>
        <v>16.703910614525139</v>
      </c>
      <c r="J17" s="114">
        <f t="shared" si="6"/>
        <v>180.4022346368715</v>
      </c>
      <c r="K17" s="114">
        <f t="shared" si="7"/>
        <v>187.08379888268155</v>
      </c>
      <c r="L17" s="114">
        <f t="shared" si="8"/>
        <v>0</v>
      </c>
    </row>
    <row r="18" spans="4:12" x14ac:dyDescent="0.3">
      <c r="F18" s="66"/>
      <c r="G18" s="66"/>
      <c r="H18" s="66"/>
      <c r="J18" s="115">
        <f>SUM(J14:J17)</f>
        <v>750.16948233787593</v>
      </c>
      <c r="K18" s="115">
        <f t="shared" ref="K18:L18" si="9">SUM(K14:K17)</f>
        <v>435.2338721606493</v>
      </c>
      <c r="L18" s="115">
        <f t="shared" si="9"/>
        <v>163.05500222786497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29.88671875" style="2" customWidth="1"/>
    <col min="2" max="16384" width="11.44140625" style="2"/>
  </cols>
  <sheetData>
    <row r="1" spans="1:1" x14ac:dyDescent="0.3">
      <c r="A1" s="1" t="s">
        <v>148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86281-8A4C-4CC3-BC48-2E534BE8C484}">
  <dimension ref="A1"/>
  <sheetViews>
    <sheetView zoomScale="80" zoomScaleNormal="80" workbookViewId="0">
      <selection activeCell="D37" sqref="D37"/>
    </sheetView>
  </sheetViews>
  <sheetFormatPr baseColWidth="10" defaultColWidth="11.44140625" defaultRowHeight="13.8" x14ac:dyDescent="0.25"/>
  <cols>
    <col min="1" max="1" width="20" style="42" customWidth="1"/>
    <col min="2" max="2" width="14.109375" style="42" bestFit="1" customWidth="1"/>
    <col min="3" max="3" width="16.33203125" style="42" customWidth="1"/>
    <col min="4" max="4" width="16" style="42" customWidth="1"/>
    <col min="5" max="5" width="29.6640625" style="42" customWidth="1"/>
    <col min="6" max="16384" width="11.44140625" style="42"/>
  </cols>
  <sheetData>
    <row r="1" spans="1:1" x14ac:dyDescent="0.25">
      <c r="A1" s="41" t="s">
        <v>149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9C286-5867-4588-850C-B6382374728B}">
  <dimension ref="A1:I36"/>
  <sheetViews>
    <sheetView topLeftCell="B19" zoomScale="110" zoomScaleNormal="110" workbookViewId="0">
      <selection activeCell="E35" sqref="E35"/>
    </sheetView>
  </sheetViews>
  <sheetFormatPr baseColWidth="10" defaultColWidth="11.44140625" defaultRowHeight="13.8" x14ac:dyDescent="0.25"/>
  <cols>
    <col min="1" max="1" width="20.5546875" style="44" customWidth="1"/>
    <col min="2" max="2" width="16" style="44" customWidth="1"/>
    <col min="3" max="3" width="18.33203125" style="44" customWidth="1"/>
    <col min="4" max="4" width="13.33203125" style="44" customWidth="1"/>
    <col min="5" max="5" width="13.88671875" style="44" customWidth="1"/>
    <col min="6" max="7" width="13.33203125" style="44" customWidth="1"/>
    <col min="8" max="8" width="12.33203125" style="44" customWidth="1"/>
    <col min="9" max="16384" width="11.44140625" style="44"/>
  </cols>
  <sheetData>
    <row r="1" spans="1:9" x14ac:dyDescent="0.25">
      <c r="A1" s="3" t="s">
        <v>85</v>
      </c>
      <c r="F1" s="43" t="s">
        <v>285</v>
      </c>
    </row>
    <row r="2" spans="1:9" x14ac:dyDescent="0.25">
      <c r="A2" s="3"/>
    </row>
    <row r="3" spans="1:9" x14ac:dyDescent="0.25">
      <c r="A3" s="43" t="s">
        <v>86</v>
      </c>
      <c r="D3" s="44" t="s">
        <v>44</v>
      </c>
      <c r="E3" s="44" t="s">
        <v>82</v>
      </c>
    </row>
    <row r="4" spans="1:9" x14ac:dyDescent="0.25">
      <c r="A4" s="45" t="s">
        <v>87</v>
      </c>
      <c r="B4" s="46" t="s">
        <v>83</v>
      </c>
    </row>
    <row r="5" spans="1:9" x14ac:dyDescent="0.25">
      <c r="A5" s="47" t="s">
        <v>88</v>
      </c>
      <c r="B5" s="48">
        <v>12560</v>
      </c>
    </row>
    <row r="6" spans="1:9" x14ac:dyDescent="0.25">
      <c r="A6" s="47" t="s">
        <v>81</v>
      </c>
      <c r="B6" s="48">
        <v>16230</v>
      </c>
    </row>
    <row r="7" spans="1:9" x14ac:dyDescent="0.25">
      <c r="A7" s="47" t="s">
        <v>84</v>
      </c>
      <c r="B7" s="48">
        <v>36280</v>
      </c>
    </row>
    <row r="8" spans="1:9" x14ac:dyDescent="0.25">
      <c r="A8" s="47" t="s">
        <v>89</v>
      </c>
      <c r="B8" s="48">
        <v>16260</v>
      </c>
    </row>
    <row r="9" spans="1:9" x14ac:dyDescent="0.25">
      <c r="A9" s="47" t="s">
        <v>90</v>
      </c>
      <c r="B9" s="48">
        <v>1590</v>
      </c>
    </row>
    <row r="10" spans="1:9" x14ac:dyDescent="0.25">
      <c r="A10" s="47" t="s">
        <v>91</v>
      </c>
      <c r="B10" s="48">
        <v>8256</v>
      </c>
    </row>
    <row r="11" spans="1:9" x14ac:dyDescent="0.25">
      <c r="A11" s="49" t="s">
        <v>0</v>
      </c>
      <c r="B11" s="50">
        <f>SUM(B5:B10)</f>
        <v>91176</v>
      </c>
    </row>
    <row r="13" spans="1:9" x14ac:dyDescent="0.25">
      <c r="A13" s="43" t="s">
        <v>187</v>
      </c>
    </row>
    <row r="14" spans="1:9" x14ac:dyDescent="0.25">
      <c r="A14" s="45" t="s">
        <v>87</v>
      </c>
      <c r="B14" s="46" t="s">
        <v>83</v>
      </c>
      <c r="C14" s="45" t="s">
        <v>97</v>
      </c>
      <c r="D14" s="46" t="s">
        <v>92</v>
      </c>
      <c r="E14" s="46" t="s">
        <v>93</v>
      </c>
      <c r="F14" s="46" t="s">
        <v>94</v>
      </c>
      <c r="G14" s="46" t="s">
        <v>95</v>
      </c>
      <c r="H14" s="46" t="s">
        <v>96</v>
      </c>
      <c r="I14" s="46" t="s">
        <v>0</v>
      </c>
    </row>
    <row r="15" spans="1:9" x14ac:dyDescent="0.25">
      <c r="A15" s="47" t="s">
        <v>88</v>
      </c>
      <c r="B15" s="48">
        <v>12560</v>
      </c>
      <c r="C15" s="47" t="s">
        <v>188</v>
      </c>
      <c r="D15" s="51">
        <v>5.6</v>
      </c>
      <c r="E15" s="51">
        <v>8.4</v>
      </c>
      <c r="F15" s="51">
        <v>10.5</v>
      </c>
      <c r="G15" s="51">
        <v>254.1</v>
      </c>
      <c r="H15" s="51">
        <v>318.5</v>
      </c>
      <c r="I15" s="51">
        <f>SUM(D15:H15)</f>
        <v>597.1</v>
      </c>
    </row>
    <row r="16" spans="1:9" x14ac:dyDescent="0.25">
      <c r="A16" s="47" t="s">
        <v>81</v>
      </c>
      <c r="B16" s="48">
        <v>16230</v>
      </c>
      <c r="C16" s="47" t="s">
        <v>189</v>
      </c>
      <c r="D16" s="51">
        <v>85.2</v>
      </c>
      <c r="E16" s="51">
        <v>125.4</v>
      </c>
      <c r="F16" s="51"/>
      <c r="G16" s="51"/>
      <c r="H16" s="51"/>
      <c r="I16" s="51">
        <f t="shared" ref="I16:I20" si="0">SUM(D16:H16)</f>
        <v>210.60000000000002</v>
      </c>
    </row>
    <row r="17" spans="1:9" x14ac:dyDescent="0.25">
      <c r="A17" s="47" t="s">
        <v>84</v>
      </c>
      <c r="B17" s="48">
        <v>36280</v>
      </c>
      <c r="C17" s="47" t="s">
        <v>190</v>
      </c>
      <c r="D17" s="51"/>
      <c r="E17" s="51"/>
      <c r="F17" s="51">
        <v>5846</v>
      </c>
      <c r="G17" s="51">
        <v>18465</v>
      </c>
      <c r="H17" s="51">
        <v>11969</v>
      </c>
      <c r="I17" s="51">
        <f t="shared" si="0"/>
        <v>36280</v>
      </c>
    </row>
    <row r="18" spans="1:9" x14ac:dyDescent="0.25">
      <c r="A18" s="47" t="s">
        <v>89</v>
      </c>
      <c r="B18" s="48">
        <v>16260</v>
      </c>
      <c r="C18" s="47" t="s">
        <v>191</v>
      </c>
      <c r="D18" s="51"/>
      <c r="E18" s="51"/>
      <c r="F18" s="51"/>
      <c r="G18" s="51">
        <v>32.4</v>
      </c>
      <c r="H18" s="51">
        <v>45.8</v>
      </c>
      <c r="I18" s="51">
        <f t="shared" si="0"/>
        <v>78.199999999999989</v>
      </c>
    </row>
    <row r="19" spans="1:9" x14ac:dyDescent="0.25">
      <c r="A19" s="47" t="s">
        <v>90</v>
      </c>
      <c r="B19" s="48">
        <v>1590</v>
      </c>
      <c r="C19" s="47" t="s">
        <v>192</v>
      </c>
      <c r="D19" s="51">
        <v>5</v>
      </c>
      <c r="E19" s="51">
        <v>4</v>
      </c>
      <c r="F19" s="51">
        <v>3</v>
      </c>
      <c r="G19" s="51">
        <v>2</v>
      </c>
      <c r="H19" s="51">
        <v>1</v>
      </c>
      <c r="I19" s="51">
        <f t="shared" si="0"/>
        <v>15</v>
      </c>
    </row>
    <row r="20" spans="1:9" x14ac:dyDescent="0.25">
      <c r="A20" s="47" t="s">
        <v>91</v>
      </c>
      <c r="B20" s="48">
        <v>8256</v>
      </c>
      <c r="C20" s="47" t="s">
        <v>193</v>
      </c>
      <c r="D20" s="51">
        <v>4</v>
      </c>
      <c r="E20" s="51">
        <v>3</v>
      </c>
      <c r="F20" s="51">
        <v>3</v>
      </c>
      <c r="G20" s="51">
        <v>2</v>
      </c>
      <c r="H20" s="51">
        <v>2</v>
      </c>
      <c r="I20" s="51">
        <f t="shared" si="0"/>
        <v>14</v>
      </c>
    </row>
    <row r="21" spans="1:9" x14ac:dyDescent="0.25">
      <c r="A21" s="49" t="s">
        <v>0</v>
      </c>
      <c r="B21" s="50">
        <f>SUM(B15:B20)</f>
        <v>91176</v>
      </c>
    </row>
    <row r="22" spans="1:9" x14ac:dyDescent="0.25">
      <c r="A22" s="3"/>
    </row>
    <row r="23" spans="1:9" x14ac:dyDescent="0.25">
      <c r="A23" s="43" t="s">
        <v>232</v>
      </c>
    </row>
    <row r="24" spans="1:9" x14ac:dyDescent="0.25">
      <c r="A24" s="45" t="s">
        <v>87</v>
      </c>
      <c r="B24" s="46" t="s">
        <v>83</v>
      </c>
      <c r="C24" s="45" t="s">
        <v>97</v>
      </c>
      <c r="D24" s="46" t="s">
        <v>92</v>
      </c>
      <c r="E24" s="46" t="s">
        <v>93</v>
      </c>
      <c r="F24" s="46" t="s">
        <v>94</v>
      </c>
      <c r="G24" s="46" t="s">
        <v>95</v>
      </c>
      <c r="H24" s="46" t="s">
        <v>96</v>
      </c>
      <c r="I24" s="46" t="s">
        <v>0</v>
      </c>
    </row>
    <row r="25" spans="1:9" x14ac:dyDescent="0.25">
      <c r="A25" s="47" t="s">
        <v>88</v>
      </c>
      <c r="B25" s="48">
        <v>12560</v>
      </c>
      <c r="C25" s="47" t="s">
        <v>188</v>
      </c>
      <c r="D25" s="86">
        <f>$B15/$I15*D15</f>
        <v>117.79601406799529</v>
      </c>
      <c r="E25" s="86">
        <f t="shared" ref="E25:H25" si="1">$B15/$I15*E15</f>
        <v>176.69402110199297</v>
      </c>
      <c r="F25" s="86">
        <f t="shared" si="1"/>
        <v>220.8675263774912</v>
      </c>
      <c r="G25" s="86">
        <f t="shared" si="1"/>
        <v>5344.9941383352871</v>
      </c>
      <c r="H25" s="86">
        <f t="shared" si="1"/>
        <v>6699.6483001172328</v>
      </c>
      <c r="I25" s="88">
        <f>SUM(D25:H25)</f>
        <v>12560</v>
      </c>
    </row>
    <row r="26" spans="1:9" x14ac:dyDescent="0.25">
      <c r="A26" s="47" t="s">
        <v>81</v>
      </c>
      <c r="B26" s="48">
        <v>16230</v>
      </c>
      <c r="C26" s="47" t="s">
        <v>189</v>
      </c>
      <c r="D26" s="86">
        <f t="shared" ref="D26:H26" si="2">$B16/$I16*D16</f>
        <v>6565.9829059829062</v>
      </c>
      <c r="E26" s="86">
        <f t="shared" si="2"/>
        <v>9664.0170940170938</v>
      </c>
      <c r="F26" s="86">
        <f t="shared" si="2"/>
        <v>0</v>
      </c>
      <c r="G26" s="86">
        <f t="shared" si="2"/>
        <v>0</v>
      </c>
      <c r="H26" s="86">
        <f t="shared" si="2"/>
        <v>0</v>
      </c>
      <c r="I26" s="88">
        <f t="shared" ref="I26:I30" si="3">SUM(D26:H26)</f>
        <v>16230</v>
      </c>
    </row>
    <row r="27" spans="1:9" x14ac:dyDescent="0.25">
      <c r="A27" s="47" t="s">
        <v>84</v>
      </c>
      <c r="B27" s="48">
        <v>36280</v>
      </c>
      <c r="C27" s="47" t="s">
        <v>190</v>
      </c>
      <c r="D27" s="86">
        <f t="shared" ref="D27:H27" si="4">$B17/$I17*D17</f>
        <v>0</v>
      </c>
      <c r="E27" s="86">
        <f t="shared" si="4"/>
        <v>0</v>
      </c>
      <c r="F27" s="86">
        <f t="shared" si="4"/>
        <v>5846</v>
      </c>
      <c r="G27" s="86">
        <f t="shared" si="4"/>
        <v>18465</v>
      </c>
      <c r="H27" s="86">
        <f t="shared" si="4"/>
        <v>11969</v>
      </c>
      <c r="I27" s="88">
        <f t="shared" si="3"/>
        <v>36280</v>
      </c>
    </row>
    <row r="28" spans="1:9" x14ac:dyDescent="0.25">
      <c r="A28" s="47" t="s">
        <v>89</v>
      </c>
      <c r="B28" s="48">
        <v>16260</v>
      </c>
      <c r="C28" s="47" t="s">
        <v>191</v>
      </c>
      <c r="D28" s="86">
        <f t="shared" ref="D28:H28" si="5">$B18/$I18*D18</f>
        <v>0</v>
      </c>
      <c r="E28" s="86">
        <f t="shared" si="5"/>
        <v>0</v>
      </c>
      <c r="F28" s="86">
        <f t="shared" si="5"/>
        <v>0</v>
      </c>
      <c r="G28" s="86">
        <f t="shared" si="5"/>
        <v>6736.8797953964204</v>
      </c>
      <c r="H28" s="86">
        <f t="shared" si="5"/>
        <v>9523.1202046035814</v>
      </c>
      <c r="I28" s="88">
        <f t="shared" si="3"/>
        <v>16260.000000000002</v>
      </c>
    </row>
    <row r="29" spans="1:9" x14ac:dyDescent="0.25">
      <c r="A29" s="47" t="s">
        <v>90</v>
      </c>
      <c r="B29" s="48">
        <v>1590</v>
      </c>
      <c r="C29" s="47" t="s">
        <v>192</v>
      </c>
      <c r="D29" s="86">
        <f t="shared" ref="D29:H29" si="6">$B19/$I19*D19</f>
        <v>530</v>
      </c>
      <c r="E29" s="86">
        <f t="shared" si="6"/>
        <v>424</v>
      </c>
      <c r="F29" s="86">
        <f t="shared" si="6"/>
        <v>318</v>
      </c>
      <c r="G29" s="86">
        <f t="shared" si="6"/>
        <v>212</v>
      </c>
      <c r="H29" s="86">
        <f t="shared" si="6"/>
        <v>106</v>
      </c>
      <c r="I29" s="88">
        <f t="shared" si="3"/>
        <v>1590</v>
      </c>
    </row>
    <row r="30" spans="1:9" x14ac:dyDescent="0.25">
      <c r="A30" s="47" t="s">
        <v>91</v>
      </c>
      <c r="B30" s="48">
        <v>8256</v>
      </c>
      <c r="C30" s="47" t="s">
        <v>193</v>
      </c>
      <c r="D30" s="86">
        <f t="shared" ref="D30:H30" si="7">$B20/$I20*D20</f>
        <v>2358.8571428571427</v>
      </c>
      <c r="E30" s="86">
        <f t="shared" si="7"/>
        <v>1769.1428571428569</v>
      </c>
      <c r="F30" s="86">
        <f t="shared" si="7"/>
        <v>1769.1428571428569</v>
      </c>
      <c r="G30" s="86">
        <f t="shared" si="7"/>
        <v>1179.4285714285713</v>
      </c>
      <c r="H30" s="86">
        <f t="shared" si="7"/>
        <v>1179.4285714285713</v>
      </c>
      <c r="I30" s="88">
        <f t="shared" si="3"/>
        <v>8256</v>
      </c>
    </row>
    <row r="31" spans="1:9" x14ac:dyDescent="0.25">
      <c r="A31" s="49" t="s">
        <v>0</v>
      </c>
      <c r="B31" s="50">
        <f>SUM(B25:B30)</f>
        <v>91176</v>
      </c>
      <c r="C31" s="88"/>
      <c r="D31" s="88">
        <f>SUM(D25:D30)</f>
        <v>9572.6360629080446</v>
      </c>
      <c r="E31" s="88">
        <f t="shared" ref="E31:I31" si="8">SUM(E25:E30)</f>
        <v>12033.853972261944</v>
      </c>
      <c r="F31" s="88">
        <f t="shared" si="8"/>
        <v>8154.0103835203481</v>
      </c>
      <c r="G31" s="88">
        <f t="shared" si="8"/>
        <v>31938.302505160278</v>
      </c>
      <c r="H31" s="88">
        <f t="shared" si="8"/>
        <v>29477.197076149387</v>
      </c>
      <c r="I31" s="88">
        <f t="shared" si="8"/>
        <v>91176</v>
      </c>
    </row>
    <row r="33" spans="4:5" x14ac:dyDescent="0.25">
      <c r="D33" s="44" t="s">
        <v>286</v>
      </c>
      <c r="E33" s="87">
        <f>D31</f>
        <v>9572.6360629080446</v>
      </c>
    </row>
    <row r="34" spans="4:5" x14ac:dyDescent="0.25">
      <c r="D34" s="44" t="s">
        <v>287</v>
      </c>
      <c r="E34" s="87">
        <f>E31</f>
        <v>12033.853972261944</v>
      </c>
    </row>
    <row r="35" spans="4:5" x14ac:dyDescent="0.25">
      <c r="D35" s="44" t="s">
        <v>288</v>
      </c>
      <c r="E35" s="87">
        <f>SUM(F31:H31)</f>
        <v>69569.509964830009</v>
      </c>
    </row>
    <row r="36" spans="4:5" x14ac:dyDescent="0.25">
      <c r="D36" s="43" t="s">
        <v>129</v>
      </c>
      <c r="E36" s="89">
        <f>SUM(E33:E35)</f>
        <v>91176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B13B-56B2-47B9-94A5-90FA28D8E2C4}">
  <dimension ref="A1:F36"/>
  <sheetViews>
    <sheetView topLeftCell="A3" zoomScale="110" zoomScaleNormal="110" workbookViewId="0">
      <selection activeCell="D31" sqref="D31"/>
    </sheetView>
  </sheetViews>
  <sheetFormatPr baseColWidth="10" defaultColWidth="11.44140625" defaultRowHeight="13.8" x14ac:dyDescent="0.25"/>
  <cols>
    <col min="1" max="1" width="20.5546875" style="44" customWidth="1"/>
    <col min="2" max="2" width="16" style="44" customWidth="1"/>
    <col min="3" max="3" width="18.33203125" style="44" customWidth="1"/>
    <col min="4" max="4" width="13.33203125" style="44" customWidth="1"/>
    <col min="5" max="5" width="13.88671875" style="44" customWidth="1"/>
    <col min="6" max="7" width="13.33203125" style="44" customWidth="1"/>
    <col min="8" max="8" width="12.33203125" style="44" customWidth="1"/>
    <col min="9" max="16384" width="11.44140625" style="44"/>
  </cols>
  <sheetData>
    <row r="1" spans="1:6" x14ac:dyDescent="0.25">
      <c r="A1" s="3" t="s">
        <v>289</v>
      </c>
      <c r="F1" s="43" t="s">
        <v>290</v>
      </c>
    </row>
    <row r="2" spans="1:6" x14ac:dyDescent="0.25">
      <c r="A2" s="3"/>
    </row>
    <row r="3" spans="1:6" x14ac:dyDescent="0.25">
      <c r="A3" s="43" t="s">
        <v>86</v>
      </c>
      <c r="D3" s="44" t="s">
        <v>44</v>
      </c>
      <c r="E3" s="44" t="s">
        <v>82</v>
      </c>
    </row>
    <row r="4" spans="1:6" x14ac:dyDescent="0.25">
      <c r="A4" s="45" t="s">
        <v>87</v>
      </c>
      <c r="B4" s="46" t="s">
        <v>83</v>
      </c>
    </row>
    <row r="5" spans="1:6" x14ac:dyDescent="0.25">
      <c r="A5" s="47" t="s">
        <v>88</v>
      </c>
      <c r="B5" s="90">
        <f>'P11 P01'!F25</f>
        <v>220.8675263774912</v>
      </c>
    </row>
    <row r="6" spans="1:6" x14ac:dyDescent="0.25">
      <c r="A6" s="47" t="s">
        <v>81</v>
      </c>
      <c r="B6" s="90">
        <f>'P11 P01'!F26</f>
        <v>0</v>
      </c>
    </row>
    <row r="7" spans="1:6" x14ac:dyDescent="0.25">
      <c r="A7" s="47" t="s">
        <v>84</v>
      </c>
      <c r="B7" s="90">
        <f>'P11 P01'!F27</f>
        <v>5846</v>
      </c>
    </row>
    <row r="8" spans="1:6" x14ac:dyDescent="0.25">
      <c r="A8" s="47" t="s">
        <v>89</v>
      </c>
      <c r="B8" s="90">
        <f>'P11 P01'!F28</f>
        <v>0</v>
      </c>
    </row>
    <row r="9" spans="1:6" x14ac:dyDescent="0.25">
      <c r="A9" s="47" t="s">
        <v>90</v>
      </c>
      <c r="B9" s="90">
        <f>'P11 P01'!F29</f>
        <v>318</v>
      </c>
    </row>
    <row r="10" spans="1:6" x14ac:dyDescent="0.25">
      <c r="A10" s="47" t="s">
        <v>91</v>
      </c>
      <c r="B10" s="90">
        <f>'P11 P01'!F30</f>
        <v>1769.1428571428569</v>
      </c>
    </row>
    <row r="11" spans="1:6" x14ac:dyDescent="0.25">
      <c r="A11" s="49" t="s">
        <v>0</v>
      </c>
      <c r="B11" s="91">
        <f>SUM(B5:B10)</f>
        <v>8154.0103835203481</v>
      </c>
    </row>
    <row r="13" spans="1:6" x14ac:dyDescent="0.25">
      <c r="A13" s="43" t="s">
        <v>291</v>
      </c>
    </row>
    <row r="14" spans="1:6" x14ac:dyDescent="0.25">
      <c r="A14" s="45" t="s">
        <v>87</v>
      </c>
      <c r="B14" s="46" t="s">
        <v>83</v>
      </c>
      <c r="C14" s="45" t="s">
        <v>97</v>
      </c>
      <c r="D14" s="46" t="s">
        <v>95</v>
      </c>
      <c r="E14" s="46" t="s">
        <v>96</v>
      </c>
      <c r="F14" s="46" t="s">
        <v>0</v>
      </c>
    </row>
    <row r="15" spans="1:6" x14ac:dyDescent="0.25">
      <c r="A15" s="47" t="s">
        <v>88</v>
      </c>
      <c r="B15" s="86">
        <f>B5</f>
        <v>220.8675263774912</v>
      </c>
      <c r="C15" s="47" t="s">
        <v>293</v>
      </c>
      <c r="D15" s="51">
        <v>56.4</v>
      </c>
      <c r="E15" s="51">
        <v>38.6</v>
      </c>
      <c r="F15" s="51">
        <f>SUM(D15:E15)</f>
        <v>95</v>
      </c>
    </row>
    <row r="16" spans="1:6" x14ac:dyDescent="0.25">
      <c r="A16" s="47" t="s">
        <v>81</v>
      </c>
      <c r="B16" s="86">
        <f t="shared" ref="B16:B20" si="0">B6</f>
        <v>0</v>
      </c>
      <c r="C16" s="47" t="s">
        <v>292</v>
      </c>
      <c r="D16" s="51">
        <v>1</v>
      </c>
      <c r="E16" s="51"/>
      <c r="F16" s="51">
        <f t="shared" ref="F16:F20" si="1">SUM(D16:E16)</f>
        <v>1</v>
      </c>
    </row>
    <row r="17" spans="1:6" x14ac:dyDescent="0.25">
      <c r="A17" s="47" t="s">
        <v>84</v>
      </c>
      <c r="B17" s="86">
        <f t="shared" si="0"/>
        <v>5846</v>
      </c>
      <c r="C17" s="47" t="s">
        <v>294</v>
      </c>
      <c r="D17" s="51">
        <v>12.5</v>
      </c>
      <c r="E17" s="51">
        <v>21.5</v>
      </c>
      <c r="F17" s="51">
        <f t="shared" si="1"/>
        <v>34</v>
      </c>
    </row>
    <row r="18" spans="1:6" x14ac:dyDescent="0.25">
      <c r="A18" s="47" t="s">
        <v>89</v>
      </c>
      <c r="B18" s="86">
        <f t="shared" si="0"/>
        <v>0</v>
      </c>
      <c r="C18" s="47" t="s">
        <v>292</v>
      </c>
      <c r="D18" s="51">
        <v>1</v>
      </c>
      <c r="E18" s="51"/>
      <c r="F18" s="51">
        <f t="shared" si="1"/>
        <v>1</v>
      </c>
    </row>
    <row r="19" spans="1:6" x14ac:dyDescent="0.25">
      <c r="A19" s="47" t="s">
        <v>90</v>
      </c>
      <c r="B19" s="86">
        <f t="shared" si="0"/>
        <v>318</v>
      </c>
      <c r="C19" s="47" t="s">
        <v>295</v>
      </c>
      <c r="D19" s="51">
        <v>85</v>
      </c>
      <c r="E19" s="51">
        <v>50</v>
      </c>
      <c r="F19" s="51">
        <f t="shared" si="1"/>
        <v>135</v>
      </c>
    </row>
    <row r="20" spans="1:6" x14ac:dyDescent="0.25">
      <c r="A20" s="47" t="s">
        <v>91</v>
      </c>
      <c r="B20" s="86">
        <f t="shared" si="0"/>
        <v>1769.1428571428569</v>
      </c>
      <c r="C20" s="47" t="s">
        <v>296</v>
      </c>
      <c r="D20" s="51">
        <v>28</v>
      </c>
      <c r="E20" s="51">
        <v>34</v>
      </c>
      <c r="F20" s="51">
        <f t="shared" si="1"/>
        <v>62</v>
      </c>
    </row>
    <row r="21" spans="1:6" x14ac:dyDescent="0.25">
      <c r="A21" s="49" t="s">
        <v>0</v>
      </c>
      <c r="B21" s="88">
        <f>SUM(B15:B20)</f>
        <v>8154.0103835203481</v>
      </c>
    </row>
    <row r="22" spans="1:6" x14ac:dyDescent="0.25">
      <c r="A22" s="3"/>
    </row>
    <row r="23" spans="1:6" x14ac:dyDescent="0.25">
      <c r="A23" s="43" t="s">
        <v>232</v>
      </c>
    </row>
    <row r="24" spans="1:6" x14ac:dyDescent="0.25">
      <c r="A24" s="45" t="s">
        <v>87</v>
      </c>
      <c r="B24" s="46" t="s">
        <v>83</v>
      </c>
      <c r="C24" s="45" t="s">
        <v>97</v>
      </c>
      <c r="D24" s="46" t="s">
        <v>95</v>
      </c>
      <c r="E24" s="46" t="s">
        <v>96</v>
      </c>
      <c r="F24" s="46" t="s">
        <v>0</v>
      </c>
    </row>
    <row r="25" spans="1:6" x14ac:dyDescent="0.25">
      <c r="A25" s="47" t="s">
        <v>88</v>
      </c>
      <c r="B25" s="86">
        <f>B15</f>
        <v>220.8675263774912</v>
      </c>
      <c r="C25" s="47" t="str">
        <f>C15</f>
        <v>Hrs planeamiento</v>
      </c>
      <c r="D25" s="86">
        <f>$B15/$F15*D15</f>
        <v>131.1255630283211</v>
      </c>
      <c r="E25" s="86">
        <f>$B15/$F15*E15</f>
        <v>89.741963349170106</v>
      </c>
      <c r="F25" s="88">
        <f>SUM(D25:E25)</f>
        <v>220.8675263774912</v>
      </c>
    </row>
    <row r="26" spans="1:6" x14ac:dyDescent="0.25">
      <c r="A26" s="47" t="s">
        <v>81</v>
      </c>
      <c r="B26" s="86">
        <f t="shared" ref="B26:C26" si="2">B16</f>
        <v>0</v>
      </c>
      <c r="C26" s="47" t="str">
        <f t="shared" si="2"/>
        <v>Directo</v>
      </c>
      <c r="D26" s="86">
        <f t="shared" ref="D26:E26" si="3">$B16/$F16*D16</f>
        <v>0</v>
      </c>
      <c r="E26" s="86">
        <f t="shared" si="3"/>
        <v>0</v>
      </c>
      <c r="F26" s="88">
        <f t="shared" ref="F26:F30" si="4">SUM(D26:E26)</f>
        <v>0</v>
      </c>
    </row>
    <row r="27" spans="1:6" x14ac:dyDescent="0.25">
      <c r="A27" s="47" t="s">
        <v>84</v>
      </c>
      <c r="B27" s="86">
        <f t="shared" ref="B27:C27" si="5">B17</f>
        <v>5846</v>
      </c>
      <c r="C27" s="47" t="str">
        <f t="shared" si="5"/>
        <v>Horas supervision</v>
      </c>
      <c r="D27" s="86">
        <f t="shared" ref="D27:E27" si="6">$B17/$F17*D17</f>
        <v>2149.2647058823527</v>
      </c>
      <c r="E27" s="86">
        <f t="shared" si="6"/>
        <v>3696.7352941176468</v>
      </c>
      <c r="F27" s="88">
        <f t="shared" si="4"/>
        <v>5846</v>
      </c>
    </row>
    <row r="28" spans="1:6" x14ac:dyDescent="0.25">
      <c r="A28" s="47" t="s">
        <v>89</v>
      </c>
      <c r="B28" s="86">
        <f t="shared" ref="B28:C28" si="7">B18</f>
        <v>0</v>
      </c>
      <c r="C28" s="47" t="str">
        <f t="shared" si="7"/>
        <v>Directo</v>
      </c>
      <c r="D28" s="86">
        <f t="shared" ref="D28:E28" si="8">$B18/$F18*D18</f>
        <v>0</v>
      </c>
      <c r="E28" s="86">
        <f t="shared" si="8"/>
        <v>0</v>
      </c>
      <c r="F28" s="88">
        <f t="shared" si="4"/>
        <v>0</v>
      </c>
    </row>
    <row r="29" spans="1:6" x14ac:dyDescent="0.25">
      <c r="A29" s="47" t="s">
        <v>90</v>
      </c>
      <c r="B29" s="86">
        <f t="shared" ref="B29:C29" si="9">B19</f>
        <v>318</v>
      </c>
      <c r="C29" s="47" t="str">
        <f t="shared" si="9"/>
        <v># correos</v>
      </c>
      <c r="D29" s="86">
        <f t="shared" ref="D29:E29" si="10">$B19/$F19*D19</f>
        <v>200.22222222222223</v>
      </c>
      <c r="E29" s="86">
        <f t="shared" si="10"/>
        <v>117.77777777777779</v>
      </c>
      <c r="F29" s="88">
        <f t="shared" si="4"/>
        <v>318</v>
      </c>
    </row>
    <row r="30" spans="1:6" x14ac:dyDescent="0.25">
      <c r="A30" s="47" t="s">
        <v>91</v>
      </c>
      <c r="B30" s="86">
        <f t="shared" ref="B30:C30" si="11">B20</f>
        <v>1769.1428571428569</v>
      </c>
      <c r="C30" s="47" t="str">
        <f t="shared" si="11"/>
        <v># llamadas</v>
      </c>
      <c r="D30" s="86">
        <f t="shared" ref="D30:E30" si="12">$B20/$F20*D20</f>
        <v>798.96774193548379</v>
      </c>
      <c r="E30" s="86">
        <f t="shared" si="12"/>
        <v>970.1751152073731</v>
      </c>
      <c r="F30" s="88">
        <f t="shared" si="4"/>
        <v>1769.1428571428569</v>
      </c>
    </row>
    <row r="31" spans="1:6" x14ac:dyDescent="0.25">
      <c r="A31" s="49" t="s">
        <v>0</v>
      </c>
      <c r="B31" s="88">
        <f>SUM(B25:B30)</f>
        <v>8154.0103835203481</v>
      </c>
      <c r="C31" s="88"/>
      <c r="D31" s="88">
        <f>SUM(D25:D30)</f>
        <v>3279.58023306838</v>
      </c>
      <c r="E31" s="88">
        <f>SUM(E25:E30)</f>
        <v>4874.4301504519681</v>
      </c>
      <c r="F31" s="88">
        <f>SUM(F25:F30)</f>
        <v>8154.0103835203481</v>
      </c>
    </row>
    <row r="33" spans="4:5" x14ac:dyDescent="0.25">
      <c r="E33" s="87"/>
    </row>
    <row r="34" spans="4:5" x14ac:dyDescent="0.25">
      <c r="E34" s="87"/>
    </row>
    <row r="35" spans="4:5" x14ac:dyDescent="0.25">
      <c r="E35" s="87"/>
    </row>
    <row r="36" spans="4:5" x14ac:dyDescent="0.25">
      <c r="D36" s="43"/>
      <c r="E36" s="89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7D961-776E-499D-A6EC-46FAD5183DC9}">
  <dimension ref="A1:G37"/>
  <sheetViews>
    <sheetView topLeftCell="A16" zoomScale="110" zoomScaleNormal="110" workbookViewId="0">
      <selection activeCell="F33" sqref="F33"/>
    </sheetView>
  </sheetViews>
  <sheetFormatPr baseColWidth="10" defaultColWidth="11.44140625" defaultRowHeight="13.8" x14ac:dyDescent="0.25"/>
  <cols>
    <col min="1" max="1" width="20.5546875" style="44" customWidth="1"/>
    <col min="2" max="2" width="16" style="44" customWidth="1"/>
    <col min="3" max="3" width="18.33203125" style="44" customWidth="1"/>
    <col min="4" max="4" width="13.33203125" style="44" customWidth="1"/>
    <col min="5" max="5" width="13.88671875" style="44" customWidth="1"/>
    <col min="6" max="7" width="13.33203125" style="44" customWidth="1"/>
    <col min="8" max="8" width="12.33203125" style="44" customWidth="1"/>
    <col min="9" max="16384" width="11.44140625" style="44"/>
  </cols>
  <sheetData>
    <row r="1" spans="1:6" x14ac:dyDescent="0.25">
      <c r="A1" s="3" t="s">
        <v>297</v>
      </c>
      <c r="F1" s="43" t="s">
        <v>298</v>
      </c>
    </row>
    <row r="2" spans="1:6" x14ac:dyDescent="0.25">
      <c r="A2" s="3"/>
    </row>
    <row r="3" spans="1:6" x14ac:dyDescent="0.25">
      <c r="A3" s="3" t="s">
        <v>299</v>
      </c>
    </row>
    <row r="4" spans="1:6" x14ac:dyDescent="0.25">
      <c r="A4" s="43" t="s">
        <v>86</v>
      </c>
      <c r="D4" s="44" t="s">
        <v>44</v>
      </c>
      <c r="E4" s="44" t="s">
        <v>82</v>
      </c>
    </row>
    <row r="5" spans="1:6" x14ac:dyDescent="0.25">
      <c r="A5" s="45" t="s">
        <v>87</v>
      </c>
      <c r="B5" s="46" t="s">
        <v>83</v>
      </c>
    </row>
    <row r="6" spans="1:6" x14ac:dyDescent="0.25">
      <c r="A6" s="47" t="s">
        <v>88</v>
      </c>
      <c r="B6" s="90">
        <f>'P11 P01'!G25+'P11 P02'!D25</f>
        <v>5476.1197013636083</v>
      </c>
    </row>
    <row r="7" spans="1:6" x14ac:dyDescent="0.25">
      <c r="A7" s="47" t="s">
        <v>81</v>
      </c>
      <c r="B7" s="90">
        <f>'P11 P01'!G26+'P11 P02'!D26</f>
        <v>0</v>
      </c>
    </row>
    <row r="8" spans="1:6" x14ac:dyDescent="0.25">
      <c r="A8" s="47" t="s">
        <v>84</v>
      </c>
      <c r="B8" s="90">
        <f>'P11 P01'!G27+'P11 P02'!D27</f>
        <v>20614.264705882353</v>
      </c>
    </row>
    <row r="9" spans="1:6" x14ac:dyDescent="0.25">
      <c r="A9" s="47" t="s">
        <v>89</v>
      </c>
      <c r="B9" s="90">
        <f>'P11 P01'!G28+'P11 P02'!D28</f>
        <v>6736.8797953964204</v>
      </c>
    </row>
    <row r="10" spans="1:6" x14ac:dyDescent="0.25">
      <c r="A10" s="47" t="s">
        <v>90</v>
      </c>
      <c r="B10" s="90">
        <f>'P11 P01'!G29+'P11 P02'!D29</f>
        <v>412.22222222222223</v>
      </c>
    </row>
    <row r="11" spans="1:6" x14ac:dyDescent="0.25">
      <c r="A11" s="47" t="s">
        <v>91</v>
      </c>
      <c r="B11" s="90">
        <f>'P11 P01'!G30+'P11 P02'!D30</f>
        <v>1978.396313364055</v>
      </c>
    </row>
    <row r="12" spans="1:6" x14ac:dyDescent="0.25">
      <c r="A12" s="49" t="s">
        <v>0</v>
      </c>
      <c r="B12" s="91">
        <f>SUM(B6:B11)</f>
        <v>35217.882738228662</v>
      </c>
    </row>
    <row r="14" spans="1:6" x14ac:dyDescent="0.25">
      <c r="A14" s="43" t="s">
        <v>302</v>
      </c>
    </row>
    <row r="15" spans="1:6" x14ac:dyDescent="0.25">
      <c r="A15" s="45" t="s">
        <v>87</v>
      </c>
      <c r="B15" s="46" t="s">
        <v>83</v>
      </c>
      <c r="C15" s="45" t="s">
        <v>97</v>
      </c>
      <c r="D15" s="46" t="s">
        <v>300</v>
      </c>
      <c r="E15" s="46" t="s">
        <v>301</v>
      </c>
      <c r="F15" s="46" t="s">
        <v>0</v>
      </c>
    </row>
    <row r="16" spans="1:6" x14ac:dyDescent="0.25">
      <c r="A16" s="47" t="s">
        <v>88</v>
      </c>
      <c r="B16" s="86">
        <f>B6</f>
        <v>5476.1197013636083</v>
      </c>
      <c r="C16" s="47" t="s">
        <v>303</v>
      </c>
      <c r="D16" s="51">
        <v>125.6</v>
      </c>
      <c r="E16" s="51">
        <v>110.5</v>
      </c>
      <c r="F16" s="51">
        <f>SUM(D16:E16)</f>
        <v>236.1</v>
      </c>
    </row>
    <row r="17" spans="1:7" x14ac:dyDescent="0.25">
      <c r="A17" s="47" t="s">
        <v>81</v>
      </c>
      <c r="B17" s="86">
        <f t="shared" ref="B17:B21" si="0">B7</f>
        <v>0</v>
      </c>
      <c r="C17" s="47" t="s">
        <v>292</v>
      </c>
      <c r="D17" s="51">
        <v>1</v>
      </c>
      <c r="E17" s="51"/>
      <c r="F17" s="51">
        <f t="shared" ref="F17:F21" si="1">SUM(D17:E17)</f>
        <v>1</v>
      </c>
    </row>
    <row r="18" spans="1:7" x14ac:dyDescent="0.25">
      <c r="A18" s="47" t="s">
        <v>84</v>
      </c>
      <c r="B18" s="86">
        <f t="shared" si="0"/>
        <v>20614.264705882353</v>
      </c>
      <c r="C18" s="47" t="s">
        <v>304</v>
      </c>
      <c r="D18" s="51">
        <v>18.7</v>
      </c>
      <c r="E18" s="51">
        <v>22.7</v>
      </c>
      <c r="F18" s="51">
        <f t="shared" si="1"/>
        <v>41.4</v>
      </c>
    </row>
    <row r="19" spans="1:7" x14ac:dyDescent="0.25">
      <c r="A19" s="47" t="s">
        <v>89</v>
      </c>
      <c r="B19" s="86">
        <f t="shared" si="0"/>
        <v>6736.8797953964204</v>
      </c>
      <c r="C19" s="47" t="s">
        <v>303</v>
      </c>
      <c r="D19" s="51">
        <f>D16</f>
        <v>125.6</v>
      </c>
      <c r="E19" s="51">
        <f>E16</f>
        <v>110.5</v>
      </c>
      <c r="F19" s="51">
        <f t="shared" si="1"/>
        <v>236.1</v>
      </c>
    </row>
    <row r="20" spans="1:7" x14ac:dyDescent="0.25">
      <c r="A20" s="47" t="s">
        <v>90</v>
      </c>
      <c r="B20" s="86">
        <f t="shared" si="0"/>
        <v>412.22222222222223</v>
      </c>
      <c r="C20" s="47" t="s">
        <v>305</v>
      </c>
      <c r="D20" s="51">
        <v>6</v>
      </c>
      <c r="E20" s="51">
        <v>2</v>
      </c>
      <c r="F20" s="51">
        <f t="shared" si="1"/>
        <v>8</v>
      </c>
    </row>
    <row r="21" spans="1:7" x14ac:dyDescent="0.25">
      <c r="A21" s="47" t="s">
        <v>91</v>
      </c>
      <c r="B21" s="86">
        <f t="shared" si="0"/>
        <v>1978.396313364055</v>
      </c>
      <c r="C21" s="47" t="s">
        <v>296</v>
      </c>
      <c r="D21" s="51">
        <v>11</v>
      </c>
      <c r="E21" s="51">
        <v>15</v>
      </c>
      <c r="F21" s="51">
        <f t="shared" si="1"/>
        <v>26</v>
      </c>
    </row>
    <row r="22" spans="1:7" x14ac:dyDescent="0.25">
      <c r="A22" s="49" t="s">
        <v>0</v>
      </c>
      <c r="B22" s="88">
        <f>SUM(B16:B21)</f>
        <v>35217.882738228662</v>
      </c>
    </row>
    <row r="23" spans="1:7" x14ac:dyDescent="0.25">
      <c r="A23" s="3"/>
    </row>
    <row r="24" spans="1:7" x14ac:dyDescent="0.25">
      <c r="A24" s="43" t="s">
        <v>232</v>
      </c>
    </row>
    <row r="25" spans="1:7" x14ac:dyDescent="0.25">
      <c r="A25" s="45" t="s">
        <v>87</v>
      </c>
      <c r="B25" s="46" t="s">
        <v>83</v>
      </c>
      <c r="C25" s="45" t="s">
        <v>97</v>
      </c>
      <c r="D25" s="46" t="s">
        <v>300</v>
      </c>
      <c r="E25" s="46" t="s">
        <v>301</v>
      </c>
      <c r="F25" s="46" t="s">
        <v>0</v>
      </c>
    </row>
    <row r="26" spans="1:7" x14ac:dyDescent="0.25">
      <c r="A26" s="47" t="s">
        <v>88</v>
      </c>
      <c r="B26" s="86">
        <f>B16</f>
        <v>5476.1197013636083</v>
      </c>
      <c r="C26" s="47" t="str">
        <f>C16</f>
        <v>HRS MAQ</v>
      </c>
      <c r="D26" s="86">
        <f>$B16/$F16*D16</f>
        <v>2913.1750719664092</v>
      </c>
      <c r="E26" s="86">
        <f>$B16/$F16*E16</f>
        <v>2562.9446293971992</v>
      </c>
      <c r="F26" s="88">
        <f>SUM(D26:E26)</f>
        <v>5476.1197013636083</v>
      </c>
      <c r="G26" s="92">
        <f>F26/'P11 P01'!B5</f>
        <v>0.43599679150984144</v>
      </c>
    </row>
    <row r="27" spans="1:7" x14ac:dyDescent="0.25">
      <c r="A27" s="47" t="s">
        <v>81</v>
      </c>
      <c r="B27" s="86">
        <f t="shared" ref="B27:C31" si="2">B17</f>
        <v>0</v>
      </c>
      <c r="C27" s="47" t="str">
        <f t="shared" si="2"/>
        <v>Directo</v>
      </c>
      <c r="D27" s="86">
        <f t="shared" ref="D27:E31" si="3">$B17/$F17*D17</f>
        <v>0</v>
      </c>
      <c r="E27" s="86">
        <f t="shared" si="3"/>
        <v>0</v>
      </c>
      <c r="F27" s="88">
        <f t="shared" ref="F27:F31" si="4">SUM(D27:E27)</f>
        <v>0</v>
      </c>
      <c r="G27" s="92">
        <f>F27/'P11 P01'!B6</f>
        <v>0</v>
      </c>
    </row>
    <row r="28" spans="1:7" x14ac:dyDescent="0.25">
      <c r="A28" s="47" t="s">
        <v>84</v>
      </c>
      <c r="B28" s="86">
        <f t="shared" si="2"/>
        <v>20614.264705882353</v>
      </c>
      <c r="C28" s="47" t="str">
        <f t="shared" si="2"/>
        <v># horas supervision</v>
      </c>
      <c r="D28" s="86">
        <f t="shared" si="3"/>
        <v>9311.2741545893714</v>
      </c>
      <c r="E28" s="86">
        <f t="shared" si="3"/>
        <v>11302.99055129298</v>
      </c>
      <c r="F28" s="88">
        <f t="shared" si="4"/>
        <v>20614.26470588235</v>
      </c>
      <c r="G28" s="92">
        <f>F28/'P11 P01'!B7</f>
        <v>0.56819913742784867</v>
      </c>
    </row>
    <row r="29" spans="1:7" x14ac:dyDescent="0.25">
      <c r="A29" s="47" t="s">
        <v>89</v>
      </c>
      <c r="B29" s="86">
        <f t="shared" si="2"/>
        <v>6736.8797953964204</v>
      </c>
      <c r="C29" s="47" t="str">
        <f t="shared" si="2"/>
        <v>HRS MAQ</v>
      </c>
      <c r="D29" s="86">
        <f t="shared" si="3"/>
        <v>3583.8716742981378</v>
      </c>
      <c r="E29" s="86">
        <f t="shared" si="3"/>
        <v>3153.0081210982821</v>
      </c>
      <c r="F29" s="88">
        <f t="shared" si="4"/>
        <v>6736.8797953964204</v>
      </c>
      <c r="G29" s="92">
        <f>F29/'P11 P01'!B8</f>
        <v>0.41432225063938627</v>
      </c>
    </row>
    <row r="30" spans="1:7" x14ac:dyDescent="0.25">
      <c r="A30" s="47" t="s">
        <v>90</v>
      </c>
      <c r="B30" s="86">
        <f t="shared" si="2"/>
        <v>412.22222222222223</v>
      </c>
      <c r="C30" s="47" t="str">
        <f t="shared" si="2"/>
        <v># reportes</v>
      </c>
      <c r="D30" s="86">
        <f t="shared" si="3"/>
        <v>309.16666666666669</v>
      </c>
      <c r="E30" s="86">
        <f t="shared" si="3"/>
        <v>103.05555555555556</v>
      </c>
      <c r="F30" s="88">
        <f t="shared" si="4"/>
        <v>412.22222222222223</v>
      </c>
      <c r="G30" s="92">
        <f>F30/'P11 P01'!B9</f>
        <v>0.25925925925925924</v>
      </c>
    </row>
    <row r="31" spans="1:7" x14ac:dyDescent="0.25">
      <c r="A31" s="47" t="s">
        <v>91</v>
      </c>
      <c r="B31" s="86">
        <f t="shared" si="2"/>
        <v>1978.396313364055</v>
      </c>
      <c r="C31" s="47" t="str">
        <f t="shared" si="2"/>
        <v># llamadas</v>
      </c>
      <c r="D31" s="86">
        <f t="shared" si="3"/>
        <v>837.01382488479248</v>
      </c>
      <c r="E31" s="86">
        <f t="shared" si="3"/>
        <v>1141.3824884792625</v>
      </c>
      <c r="F31" s="88">
        <f t="shared" si="4"/>
        <v>1978.396313364055</v>
      </c>
      <c r="G31" s="92">
        <f>F31/'P11 P01'!B10</f>
        <v>0.23963133640552992</v>
      </c>
    </row>
    <row r="32" spans="1:7" x14ac:dyDescent="0.25">
      <c r="A32" s="49" t="s">
        <v>0</v>
      </c>
      <c r="B32" s="88">
        <f>SUM(B26:B31)</f>
        <v>35217.882738228662</v>
      </c>
      <c r="C32" s="88"/>
      <c r="D32" s="88">
        <f>SUM(D26:D31)</f>
        <v>16954.501392405378</v>
      </c>
      <c r="E32" s="88">
        <f>SUM(E26:E31)</f>
        <v>18263.38134582328</v>
      </c>
      <c r="F32" s="88">
        <f>SUM(F26:F31)</f>
        <v>35217.882738228654</v>
      </c>
    </row>
    <row r="34" spans="4:5" x14ac:dyDescent="0.25">
      <c r="E34" s="87"/>
    </row>
    <row r="35" spans="4:5" x14ac:dyDescent="0.25">
      <c r="E35" s="87"/>
    </row>
    <row r="36" spans="4:5" x14ac:dyDescent="0.25">
      <c r="E36" s="87"/>
    </row>
    <row r="37" spans="4:5" x14ac:dyDescent="0.25">
      <c r="D37" s="43"/>
      <c r="E37" s="89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5968F-09C9-4415-A5B3-2364BD3CC53C}">
  <dimension ref="A1:R66"/>
  <sheetViews>
    <sheetView topLeftCell="A16" zoomScale="130" zoomScaleNormal="130" workbookViewId="0">
      <selection activeCell="K34" sqref="K34"/>
    </sheetView>
  </sheetViews>
  <sheetFormatPr baseColWidth="10" defaultColWidth="11.44140625" defaultRowHeight="14.4" x14ac:dyDescent="0.3"/>
  <cols>
    <col min="1" max="1" width="12.33203125" style="53" customWidth="1"/>
    <col min="2" max="2" width="14.5546875" style="53" customWidth="1"/>
    <col min="3" max="8" width="11.44140625" style="53"/>
    <col min="9" max="9" width="14.77734375" style="53" customWidth="1"/>
    <col min="10" max="16384" width="11.44140625" style="53"/>
  </cols>
  <sheetData>
    <row r="1" spans="1:18" x14ac:dyDescent="0.3">
      <c r="A1" s="52" t="s">
        <v>150</v>
      </c>
      <c r="I1" s="53" t="s">
        <v>344</v>
      </c>
    </row>
    <row r="2" spans="1:18" x14ac:dyDescent="0.3">
      <c r="A2" s="53" t="s">
        <v>233</v>
      </c>
      <c r="I2" s="53" t="s">
        <v>376</v>
      </c>
    </row>
    <row r="3" spans="1:18" x14ac:dyDescent="0.3">
      <c r="A3" s="53" t="s">
        <v>234</v>
      </c>
    </row>
    <row r="4" spans="1:18" x14ac:dyDescent="0.3">
      <c r="I4" s="53" t="s">
        <v>378</v>
      </c>
      <c r="K4" s="53" t="s">
        <v>379</v>
      </c>
    </row>
    <row r="5" spans="1:18" x14ac:dyDescent="0.3">
      <c r="A5" s="79" t="s">
        <v>235</v>
      </c>
      <c r="B5" s="79" t="s">
        <v>236</v>
      </c>
      <c r="C5" s="80" t="s">
        <v>83</v>
      </c>
      <c r="D5" s="80" t="s">
        <v>237</v>
      </c>
      <c r="E5" s="80" t="s">
        <v>238</v>
      </c>
    </row>
    <row r="6" spans="1:18" x14ac:dyDescent="0.3">
      <c r="A6" s="121" t="s">
        <v>242</v>
      </c>
      <c r="B6" s="77" t="s">
        <v>89</v>
      </c>
      <c r="C6" s="78">
        <v>14100</v>
      </c>
      <c r="D6" s="78">
        <v>1500</v>
      </c>
      <c r="E6" s="78">
        <v>3500</v>
      </c>
    </row>
    <row r="7" spans="1:18" x14ac:dyDescent="0.3">
      <c r="A7" s="121"/>
      <c r="B7" s="77" t="s">
        <v>239</v>
      </c>
      <c r="C7" s="78">
        <v>1100</v>
      </c>
      <c r="D7" s="78">
        <v>1800</v>
      </c>
      <c r="E7" s="78">
        <v>1200</v>
      </c>
    </row>
    <row r="8" spans="1:18" x14ac:dyDescent="0.3">
      <c r="A8" s="121" t="s">
        <v>243</v>
      </c>
      <c r="B8" s="77" t="s">
        <v>240</v>
      </c>
      <c r="C8" s="78">
        <v>52500</v>
      </c>
      <c r="D8" s="78">
        <v>2000</v>
      </c>
      <c r="E8" s="78">
        <v>2300</v>
      </c>
    </row>
    <row r="9" spans="1:18" x14ac:dyDescent="0.3">
      <c r="A9" s="121"/>
      <c r="B9" s="77" t="s">
        <v>241</v>
      </c>
      <c r="C9" s="78">
        <v>48000</v>
      </c>
      <c r="D9" s="78">
        <v>3000</v>
      </c>
      <c r="E9" s="78">
        <v>1700</v>
      </c>
    </row>
    <row r="11" spans="1:18" x14ac:dyDescent="0.3">
      <c r="A11" s="53" t="s">
        <v>244</v>
      </c>
    </row>
    <row r="12" spans="1:18" x14ac:dyDescent="0.3">
      <c r="A12" s="53" t="s">
        <v>375</v>
      </c>
      <c r="I12" s="53" t="s">
        <v>380</v>
      </c>
    </row>
    <row r="13" spans="1:18" x14ac:dyDescent="0.3">
      <c r="A13" s="53" t="s">
        <v>245</v>
      </c>
      <c r="I13" s="53" t="s">
        <v>381</v>
      </c>
    </row>
    <row r="14" spans="1:18" x14ac:dyDescent="0.3">
      <c r="A14" s="53" t="s">
        <v>246</v>
      </c>
      <c r="I14" s="53" t="s">
        <v>377</v>
      </c>
      <c r="J14" s="117" t="s">
        <v>83</v>
      </c>
      <c r="K14" s="117" t="s">
        <v>124</v>
      </c>
      <c r="L14" s="117" t="s">
        <v>240</v>
      </c>
      <c r="M14" s="117" t="s">
        <v>383</v>
      </c>
      <c r="N14" s="117" t="s">
        <v>0</v>
      </c>
    </row>
    <row r="15" spans="1:18" x14ac:dyDescent="0.3">
      <c r="I15" s="53" t="s">
        <v>382</v>
      </c>
      <c r="J15" s="118">
        <v>14100</v>
      </c>
      <c r="K15" s="117" t="s">
        <v>237</v>
      </c>
      <c r="L15" s="118">
        <v>2000</v>
      </c>
      <c r="M15" s="118">
        <v>3000</v>
      </c>
      <c r="N15" s="118">
        <f>SUM(L15:M15)</f>
        <v>5000</v>
      </c>
      <c r="R15" s="53" t="s">
        <v>367</v>
      </c>
    </row>
    <row r="16" spans="1:18" x14ac:dyDescent="0.3">
      <c r="A16" s="53" t="s">
        <v>247</v>
      </c>
      <c r="I16" s="53" t="s">
        <v>239</v>
      </c>
      <c r="J16" s="118">
        <v>1100</v>
      </c>
      <c r="K16" s="117" t="s">
        <v>384</v>
      </c>
      <c r="L16" s="118">
        <v>2300</v>
      </c>
      <c r="M16" s="118">
        <v>1700</v>
      </c>
      <c r="N16" s="118">
        <f>SUM(L16:M16)</f>
        <v>4000</v>
      </c>
      <c r="R16" s="53" t="s">
        <v>368</v>
      </c>
    </row>
    <row r="17" spans="1:18" x14ac:dyDescent="0.3">
      <c r="A17" s="53" t="s">
        <v>248</v>
      </c>
      <c r="I17" s="53" t="s">
        <v>0</v>
      </c>
      <c r="J17" s="118">
        <f>SUM(J15:J16)</f>
        <v>15200</v>
      </c>
      <c r="K17" s="117"/>
      <c r="L17" s="117"/>
      <c r="M17" s="117"/>
      <c r="N17" s="117"/>
      <c r="R17" s="53" t="s">
        <v>369</v>
      </c>
    </row>
    <row r="18" spans="1:18" x14ac:dyDescent="0.3">
      <c r="A18" s="53" t="s">
        <v>249</v>
      </c>
      <c r="R18" s="53" t="s">
        <v>370</v>
      </c>
    </row>
    <row r="19" spans="1:18" x14ac:dyDescent="0.3">
      <c r="A19" s="53" t="s">
        <v>250</v>
      </c>
      <c r="I19" s="53" t="s">
        <v>385</v>
      </c>
    </row>
    <row r="20" spans="1:18" x14ac:dyDescent="0.3">
      <c r="A20" s="53" t="s">
        <v>251</v>
      </c>
      <c r="I20" s="53" t="s">
        <v>377</v>
      </c>
      <c r="J20" s="117" t="s">
        <v>83</v>
      </c>
      <c r="K20" s="117" t="s">
        <v>124</v>
      </c>
      <c r="L20" s="117" t="s">
        <v>240</v>
      </c>
      <c r="M20" s="117" t="s">
        <v>383</v>
      </c>
      <c r="N20" s="117" t="s">
        <v>0</v>
      </c>
      <c r="R20" s="53" t="s">
        <v>371</v>
      </c>
    </row>
    <row r="21" spans="1:18" x14ac:dyDescent="0.3">
      <c r="A21" s="53" t="s">
        <v>252</v>
      </c>
      <c r="I21" s="53" t="s">
        <v>382</v>
      </c>
      <c r="J21" s="118">
        <v>14100</v>
      </c>
      <c r="K21" s="117" t="s">
        <v>237</v>
      </c>
      <c r="L21" s="119">
        <f>$J15/$N15*L15</f>
        <v>5640</v>
      </c>
      <c r="M21" s="119">
        <f>$J15/$N15*M15</f>
        <v>8460</v>
      </c>
      <c r="N21" s="119">
        <f>SUM(L21:M21)</f>
        <v>14100</v>
      </c>
      <c r="R21" s="53" t="s">
        <v>372</v>
      </c>
    </row>
    <row r="22" spans="1:18" x14ac:dyDescent="0.3">
      <c r="A22" s="74" t="s">
        <v>253</v>
      </c>
      <c r="I22" s="53" t="s">
        <v>239</v>
      </c>
      <c r="J22" s="118">
        <v>1100</v>
      </c>
      <c r="K22" s="117" t="s">
        <v>384</v>
      </c>
      <c r="L22" s="119">
        <f>$J16/$N16*L16</f>
        <v>632.5</v>
      </c>
      <c r="M22" s="119">
        <f>$J16/$N16*M16</f>
        <v>467.50000000000006</v>
      </c>
      <c r="N22" s="119">
        <f>SUM(L22:M22)</f>
        <v>1100</v>
      </c>
      <c r="R22" s="53" t="s">
        <v>373</v>
      </c>
    </row>
    <row r="23" spans="1:18" x14ac:dyDescent="0.3">
      <c r="A23" s="74" t="s">
        <v>254</v>
      </c>
      <c r="I23" s="53" t="s">
        <v>0</v>
      </c>
      <c r="J23" s="118">
        <f>SUM(J21:J22)</f>
        <v>15200</v>
      </c>
      <c r="K23" s="117"/>
      <c r="L23" s="119">
        <f>SUM(L21:L22)</f>
        <v>6272.5</v>
      </c>
      <c r="M23" s="119">
        <f>SUM(M21:M22)</f>
        <v>8927.5</v>
      </c>
      <c r="N23" s="119">
        <f>SUM(N21:N22)</f>
        <v>15200</v>
      </c>
    </row>
    <row r="24" spans="1:18" x14ac:dyDescent="0.3">
      <c r="R24" s="53" t="s">
        <v>374</v>
      </c>
    </row>
    <row r="25" spans="1:18" x14ac:dyDescent="0.3">
      <c r="I25" s="53" t="s">
        <v>386</v>
      </c>
    </row>
    <row r="26" spans="1:18" x14ac:dyDescent="0.3">
      <c r="I26" s="53" t="s">
        <v>118</v>
      </c>
      <c r="J26" s="117" t="s">
        <v>240</v>
      </c>
      <c r="K26" s="117" t="s">
        <v>383</v>
      </c>
      <c r="L26" s="117" t="s">
        <v>0</v>
      </c>
    </row>
    <row r="27" spans="1:18" x14ac:dyDescent="0.3">
      <c r="I27" s="53" t="s">
        <v>387</v>
      </c>
      <c r="J27" s="119">
        <v>52500</v>
      </c>
      <c r="K27" s="119">
        <v>48000</v>
      </c>
      <c r="L27" s="119">
        <f>SUM(J27:K27)</f>
        <v>100500</v>
      </c>
    </row>
    <row r="28" spans="1:18" x14ac:dyDescent="0.3">
      <c r="I28" s="53" t="s">
        <v>388</v>
      </c>
      <c r="J28" s="119">
        <f>L21</f>
        <v>5640</v>
      </c>
      <c r="K28" s="119">
        <f>M21</f>
        <v>8460</v>
      </c>
      <c r="L28" s="119">
        <f t="shared" ref="L28:L29" si="0">SUM(J28:K28)</f>
        <v>14100</v>
      </c>
    </row>
    <row r="29" spans="1:18" x14ac:dyDescent="0.3">
      <c r="I29" s="53" t="s">
        <v>389</v>
      </c>
      <c r="J29" s="119">
        <f>L22</f>
        <v>632.5</v>
      </c>
      <c r="K29" s="119">
        <f>M22</f>
        <v>467.50000000000006</v>
      </c>
      <c r="L29" s="119">
        <f t="shared" si="0"/>
        <v>1100</v>
      </c>
    </row>
    <row r="30" spans="1:18" x14ac:dyDescent="0.3">
      <c r="I30" s="53" t="s">
        <v>0</v>
      </c>
      <c r="J30" s="119">
        <f>SUM(J27:J29)</f>
        <v>58772.5</v>
      </c>
      <c r="K30" s="119">
        <f>SUM(K27:K29)</f>
        <v>56927.5</v>
      </c>
      <c r="L30" s="119">
        <f>SUM(L27:L29)</f>
        <v>115700</v>
      </c>
    </row>
    <row r="31" spans="1:18" x14ac:dyDescent="0.3">
      <c r="I31" s="53" t="s">
        <v>384</v>
      </c>
      <c r="J31" s="119">
        <f>L16</f>
        <v>2300</v>
      </c>
      <c r="K31" s="119">
        <f>M16</f>
        <v>1700</v>
      </c>
      <c r="L31" s="119">
        <f>SUM(J31:K31)</f>
        <v>4000</v>
      </c>
    </row>
    <row r="32" spans="1:18" x14ac:dyDescent="0.3">
      <c r="I32" s="53" t="s">
        <v>390</v>
      </c>
      <c r="J32" s="119">
        <f>J30/J31</f>
        <v>25.553260869565218</v>
      </c>
      <c r="K32" s="119">
        <f>K30/K31</f>
        <v>33.486764705882351</v>
      </c>
      <c r="L32" s="119">
        <f>L30/L31</f>
        <v>28.925000000000001</v>
      </c>
    </row>
    <row r="63" spans="7:7" x14ac:dyDescent="0.3">
      <c r="G63" s="74" t="s">
        <v>195</v>
      </c>
    </row>
    <row r="64" spans="7:7" x14ac:dyDescent="0.3">
      <c r="G64" s="74" t="s">
        <v>194</v>
      </c>
    </row>
    <row r="65" spans="7:7" x14ac:dyDescent="0.3">
      <c r="G65" s="74" t="s">
        <v>196</v>
      </c>
    </row>
    <row r="66" spans="7:7" x14ac:dyDescent="0.3">
      <c r="G66" s="74" t="s">
        <v>197</v>
      </c>
    </row>
  </sheetData>
  <mergeCells count="2">
    <mergeCell ref="A6:A7"/>
    <mergeCell ref="A8:A9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6A8EC-C1AE-46B9-9CB6-3751027EC231}">
  <dimension ref="A1:M28"/>
  <sheetViews>
    <sheetView workbookViewId="0">
      <selection activeCell="J13" sqref="J13"/>
    </sheetView>
  </sheetViews>
  <sheetFormatPr baseColWidth="10" defaultColWidth="11.44140625" defaultRowHeight="14.4" x14ac:dyDescent="0.3"/>
  <cols>
    <col min="1" max="1" width="29.109375" style="53" customWidth="1"/>
    <col min="2" max="6" width="11.44140625" style="53"/>
    <col min="7" max="7" width="7.109375" style="53" customWidth="1"/>
    <col min="8" max="16384" width="11.44140625" style="53"/>
  </cols>
  <sheetData>
    <row r="1" spans="1:13" x14ac:dyDescent="0.3">
      <c r="A1" s="52" t="s">
        <v>80</v>
      </c>
      <c r="H1" s="53" t="s">
        <v>337</v>
      </c>
    </row>
    <row r="2" spans="1:13" x14ac:dyDescent="0.3">
      <c r="H2" s="53" t="s">
        <v>391</v>
      </c>
    </row>
    <row r="4" spans="1:13" x14ac:dyDescent="0.3">
      <c r="H4" s="53" t="s">
        <v>392</v>
      </c>
    </row>
    <row r="6" spans="1:13" x14ac:dyDescent="0.3">
      <c r="H6" s="53" t="s">
        <v>393</v>
      </c>
    </row>
    <row r="7" spans="1:13" x14ac:dyDescent="0.3">
      <c r="H7" s="53" t="s">
        <v>377</v>
      </c>
      <c r="I7" s="117" t="s">
        <v>83</v>
      </c>
      <c r="J7" s="117" t="s">
        <v>124</v>
      </c>
      <c r="K7" s="117" t="s">
        <v>394</v>
      </c>
      <c r="L7" s="117" t="s">
        <v>395</v>
      </c>
      <c r="M7" s="117" t="s">
        <v>0</v>
      </c>
    </row>
    <row r="8" spans="1:13" x14ac:dyDescent="0.3">
      <c r="H8" s="53" t="s">
        <v>89</v>
      </c>
      <c r="I8" s="118">
        <v>40000</v>
      </c>
      <c r="J8" s="117" t="s">
        <v>396</v>
      </c>
      <c r="K8" s="118">
        <v>8000</v>
      </c>
      <c r="L8" s="118">
        <v>12000</v>
      </c>
      <c r="M8" s="118">
        <f>SUM(K8:L8)</f>
        <v>20000</v>
      </c>
    </row>
    <row r="9" spans="1:13" x14ac:dyDescent="0.3">
      <c r="H9" s="53" t="s">
        <v>397</v>
      </c>
      <c r="I9" s="118">
        <v>160000</v>
      </c>
      <c r="J9" s="117" t="s">
        <v>237</v>
      </c>
      <c r="K9" s="118">
        <v>6750</v>
      </c>
      <c r="L9" s="118">
        <v>8250</v>
      </c>
      <c r="M9" s="118">
        <f t="shared" ref="M9:M10" si="0">SUM(K9:L9)</f>
        <v>15000</v>
      </c>
    </row>
    <row r="10" spans="1:13" x14ac:dyDescent="0.3">
      <c r="H10" s="53" t="s">
        <v>398</v>
      </c>
      <c r="I10" s="118">
        <v>60000</v>
      </c>
      <c r="J10" s="117" t="s">
        <v>399</v>
      </c>
      <c r="K10" s="117">
        <v>15</v>
      </c>
      <c r="L10" s="117">
        <v>25</v>
      </c>
      <c r="M10" s="118">
        <f t="shared" si="0"/>
        <v>40</v>
      </c>
    </row>
    <row r="11" spans="1:13" x14ac:dyDescent="0.3">
      <c r="H11" s="53" t="s">
        <v>0</v>
      </c>
      <c r="I11" s="118">
        <f>SUM(I8:I10)</f>
        <v>260000</v>
      </c>
      <c r="J11" s="117"/>
      <c r="K11" s="117"/>
      <c r="L11" s="117"/>
      <c r="M11" s="117"/>
    </row>
    <row r="13" spans="1:13" x14ac:dyDescent="0.3">
      <c r="H13" s="53" t="s">
        <v>400</v>
      </c>
    </row>
    <row r="14" spans="1:13" x14ac:dyDescent="0.3">
      <c r="H14" s="53" t="s">
        <v>377</v>
      </c>
      <c r="I14" s="117" t="s">
        <v>83</v>
      </c>
      <c r="J14" s="117" t="s">
        <v>124</v>
      </c>
      <c r="K14" s="117" t="s">
        <v>394</v>
      </c>
      <c r="L14" s="117" t="s">
        <v>395</v>
      </c>
      <c r="M14" s="117" t="s">
        <v>0</v>
      </c>
    </row>
    <row r="15" spans="1:13" x14ac:dyDescent="0.3">
      <c r="H15" s="53" t="s">
        <v>89</v>
      </c>
      <c r="I15" s="119">
        <v>40000</v>
      </c>
      <c r="J15" s="117" t="s">
        <v>396</v>
      </c>
      <c r="K15" s="119">
        <f>$I8/$M8*K8</f>
        <v>16000</v>
      </c>
      <c r="L15" s="119">
        <f>$I8/$M8*L8</f>
        <v>24000</v>
      </c>
      <c r="M15" s="119">
        <f>SUM(K15:L15)</f>
        <v>40000</v>
      </c>
    </row>
    <row r="16" spans="1:13" x14ac:dyDescent="0.3">
      <c r="H16" s="53" t="s">
        <v>397</v>
      </c>
      <c r="I16" s="119">
        <v>160000</v>
      </c>
      <c r="J16" s="117" t="s">
        <v>237</v>
      </c>
      <c r="K16" s="119">
        <f t="shared" ref="K16:L17" si="1">$I9/$M9*K9</f>
        <v>72000</v>
      </c>
      <c r="L16" s="119">
        <f t="shared" si="1"/>
        <v>88000</v>
      </c>
      <c r="M16" s="119">
        <f t="shared" ref="M16:M17" si="2">SUM(K16:L16)</f>
        <v>160000</v>
      </c>
    </row>
    <row r="17" spans="8:13" x14ac:dyDescent="0.3">
      <c r="H17" s="53" t="s">
        <v>398</v>
      </c>
      <c r="I17" s="119">
        <v>60000</v>
      </c>
      <c r="J17" s="117" t="s">
        <v>399</v>
      </c>
      <c r="K17" s="119">
        <f t="shared" si="1"/>
        <v>22500</v>
      </c>
      <c r="L17" s="119">
        <f t="shared" si="1"/>
        <v>37500</v>
      </c>
      <c r="M17" s="119">
        <f t="shared" si="2"/>
        <v>60000</v>
      </c>
    </row>
    <row r="18" spans="8:13" x14ac:dyDescent="0.3">
      <c r="H18" s="53" t="s">
        <v>0</v>
      </c>
      <c r="I18" s="119">
        <f>SUM(I15:I17)</f>
        <v>260000</v>
      </c>
      <c r="J18" s="117"/>
      <c r="K18" s="119">
        <f t="shared" ref="K18:M18" si="3">SUM(K15:K17)</f>
        <v>110500</v>
      </c>
      <c r="L18" s="119">
        <f t="shared" si="3"/>
        <v>149500</v>
      </c>
      <c r="M18" s="119">
        <f t="shared" si="3"/>
        <v>260000</v>
      </c>
    </row>
    <row r="20" spans="8:13" x14ac:dyDescent="0.3">
      <c r="H20" s="53" t="s">
        <v>401</v>
      </c>
    </row>
    <row r="21" spans="8:13" x14ac:dyDescent="0.3">
      <c r="H21" s="53" t="s">
        <v>118</v>
      </c>
      <c r="I21" s="117" t="s">
        <v>394</v>
      </c>
      <c r="J21" s="117" t="s">
        <v>395</v>
      </c>
      <c r="K21" s="117" t="s">
        <v>0</v>
      </c>
    </row>
    <row r="22" spans="8:13" x14ac:dyDescent="0.3">
      <c r="H22" s="53" t="s">
        <v>387</v>
      </c>
      <c r="I22" s="119">
        <v>37500</v>
      </c>
      <c r="J22" s="119">
        <v>22500</v>
      </c>
      <c r="K22" s="119">
        <f>SUM(I22:J22)</f>
        <v>60000</v>
      </c>
    </row>
    <row r="23" spans="8:13" x14ac:dyDescent="0.3">
      <c r="H23" s="53" t="s">
        <v>402</v>
      </c>
      <c r="I23" s="119">
        <f>K15</f>
        <v>16000</v>
      </c>
      <c r="J23" s="119">
        <f>L15</f>
        <v>24000</v>
      </c>
      <c r="K23" s="119">
        <f t="shared" ref="K23:K25" si="4">SUM(I23:J23)</f>
        <v>40000</v>
      </c>
    </row>
    <row r="24" spans="8:13" x14ac:dyDescent="0.3">
      <c r="H24" s="53" t="s">
        <v>403</v>
      </c>
      <c r="I24" s="119">
        <f t="shared" ref="I24:J25" si="5">K16</f>
        <v>72000</v>
      </c>
      <c r="J24" s="119">
        <f t="shared" si="5"/>
        <v>88000</v>
      </c>
      <c r="K24" s="119">
        <f t="shared" si="4"/>
        <v>160000</v>
      </c>
    </row>
    <row r="25" spans="8:13" x14ac:dyDescent="0.3">
      <c r="H25" s="53" t="s">
        <v>404</v>
      </c>
      <c r="I25" s="119">
        <f t="shared" si="5"/>
        <v>22500</v>
      </c>
      <c r="J25" s="119">
        <f t="shared" si="5"/>
        <v>37500</v>
      </c>
      <c r="K25" s="119">
        <f t="shared" si="4"/>
        <v>60000</v>
      </c>
    </row>
    <row r="26" spans="8:13" x14ac:dyDescent="0.3">
      <c r="H26" s="53" t="s">
        <v>0</v>
      </c>
      <c r="I26" s="119">
        <f>SUM(I22:I25)</f>
        <v>148000</v>
      </c>
      <c r="J26" s="119">
        <f t="shared" ref="J26:K26" si="6">SUM(J22:J25)</f>
        <v>172000</v>
      </c>
      <c r="K26" s="119">
        <f t="shared" si="6"/>
        <v>320000</v>
      </c>
    </row>
    <row r="27" spans="8:13" x14ac:dyDescent="0.3">
      <c r="H27" s="53" t="s">
        <v>405</v>
      </c>
      <c r="I27" s="119">
        <f>K8</f>
        <v>8000</v>
      </c>
      <c r="J27" s="119">
        <f>L8</f>
        <v>12000</v>
      </c>
      <c r="K27" s="119">
        <f>SUM(I27:J27)</f>
        <v>20000</v>
      </c>
    </row>
    <row r="28" spans="8:13" x14ac:dyDescent="0.3">
      <c r="H28" s="53" t="s">
        <v>406</v>
      </c>
      <c r="I28" s="119">
        <f>I26/I27</f>
        <v>18.5</v>
      </c>
      <c r="J28" s="119">
        <f>J26/J27</f>
        <v>14.333333333333334</v>
      </c>
      <c r="K28" s="119">
        <f>K26/K27</f>
        <v>16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F4957-7168-4D4F-938F-9F83C4AE46CD}">
  <dimension ref="A1:R75"/>
  <sheetViews>
    <sheetView tabSelected="1" workbookViewId="0">
      <selection activeCell="O16" sqref="O16"/>
    </sheetView>
  </sheetViews>
  <sheetFormatPr baseColWidth="10" defaultColWidth="11.44140625" defaultRowHeight="14.4" x14ac:dyDescent="0.3"/>
  <cols>
    <col min="1" max="1" width="27" style="53" customWidth="1"/>
    <col min="2" max="16384" width="11.44140625" style="53"/>
  </cols>
  <sheetData>
    <row r="1" spans="1:18" x14ac:dyDescent="0.3">
      <c r="A1" s="52" t="s">
        <v>141</v>
      </c>
      <c r="H1" s="53" t="s">
        <v>344</v>
      </c>
    </row>
    <row r="2" spans="1:18" x14ac:dyDescent="0.3">
      <c r="H2" s="52" t="s">
        <v>407</v>
      </c>
    </row>
    <row r="3" spans="1:18" x14ac:dyDescent="0.3">
      <c r="H3" s="53" t="s">
        <v>408</v>
      </c>
      <c r="L3" s="117" t="s">
        <v>109</v>
      </c>
      <c r="M3" s="117" t="s">
        <v>109</v>
      </c>
      <c r="N3" s="117" t="s">
        <v>409</v>
      </c>
      <c r="O3" s="117" t="s">
        <v>409</v>
      </c>
      <c r="P3" s="129" t="s">
        <v>314</v>
      </c>
      <c r="Q3" s="129" t="s">
        <v>314</v>
      </c>
    </row>
    <row r="4" spans="1:18" x14ac:dyDescent="0.3">
      <c r="H4" s="53" t="s">
        <v>108</v>
      </c>
      <c r="I4" s="117" t="s">
        <v>410</v>
      </c>
      <c r="J4" s="117" t="s">
        <v>411</v>
      </c>
      <c r="K4" s="53" t="s">
        <v>54</v>
      </c>
      <c r="L4" s="117" t="s">
        <v>412</v>
      </c>
      <c r="M4" s="117" t="s">
        <v>413</v>
      </c>
      <c r="N4" s="117" t="s">
        <v>410</v>
      </c>
      <c r="O4" s="117" t="s">
        <v>411</v>
      </c>
      <c r="P4" s="129" t="s">
        <v>412</v>
      </c>
      <c r="Q4" s="129" t="s">
        <v>413</v>
      </c>
    </row>
    <row r="5" spans="1:18" x14ac:dyDescent="0.3">
      <c r="H5" s="53" t="s">
        <v>414</v>
      </c>
      <c r="I5" s="117">
        <v>2</v>
      </c>
      <c r="J5" s="117">
        <v>0</v>
      </c>
      <c r="K5" s="119">
        <v>5.5</v>
      </c>
      <c r="L5" s="119">
        <f>$K5*I5</f>
        <v>11</v>
      </c>
      <c r="M5" s="119">
        <f>$K5*J5</f>
        <v>0</v>
      </c>
      <c r="N5" s="117">
        <v>700</v>
      </c>
      <c r="O5" s="117">
        <v>880</v>
      </c>
      <c r="P5" s="119">
        <f>L5*N5</f>
        <v>7700</v>
      </c>
      <c r="Q5" s="119">
        <f>M5*O5</f>
        <v>0</v>
      </c>
      <c r="R5" s="117"/>
    </row>
    <row r="6" spans="1:18" x14ac:dyDescent="0.3">
      <c r="H6" s="53" t="s">
        <v>415</v>
      </c>
      <c r="I6" s="117">
        <v>1</v>
      </c>
      <c r="J6" s="117">
        <v>2</v>
      </c>
      <c r="K6" s="119">
        <v>6.5</v>
      </c>
      <c r="L6" s="119">
        <f t="shared" ref="L6:M7" si="0">$K6*I6</f>
        <v>6.5</v>
      </c>
      <c r="M6" s="119">
        <f t="shared" si="0"/>
        <v>13</v>
      </c>
      <c r="N6" s="117">
        <v>700</v>
      </c>
      <c r="O6" s="117">
        <v>880</v>
      </c>
      <c r="P6" s="119">
        <f t="shared" ref="P6:Q7" si="1">L6*N6</f>
        <v>4550</v>
      </c>
      <c r="Q6" s="119">
        <f t="shared" si="1"/>
        <v>11440</v>
      </c>
      <c r="R6" s="117"/>
    </row>
    <row r="7" spans="1:18" x14ac:dyDescent="0.3">
      <c r="H7" s="53" t="s">
        <v>416</v>
      </c>
      <c r="I7" s="117">
        <v>0</v>
      </c>
      <c r="J7" s="117">
        <v>3</v>
      </c>
      <c r="K7" s="119">
        <v>7</v>
      </c>
      <c r="L7" s="119">
        <f t="shared" si="0"/>
        <v>0</v>
      </c>
      <c r="M7" s="119">
        <f t="shared" si="0"/>
        <v>21</v>
      </c>
      <c r="N7" s="117">
        <v>700</v>
      </c>
      <c r="O7" s="117">
        <v>880</v>
      </c>
      <c r="P7" s="119">
        <f t="shared" si="1"/>
        <v>0</v>
      </c>
      <c r="Q7" s="119">
        <f t="shared" si="1"/>
        <v>18480</v>
      </c>
      <c r="R7" s="117"/>
    </row>
    <row r="8" spans="1:18" x14ac:dyDescent="0.3">
      <c r="L8" s="119">
        <f>SUM(L5:L7)</f>
        <v>17.5</v>
      </c>
      <c r="M8" s="119">
        <f>SUM(M5:M7)</f>
        <v>34</v>
      </c>
      <c r="N8" s="117"/>
      <c r="O8" s="117"/>
      <c r="P8" s="130">
        <f>SUM(P5:P7)</f>
        <v>12250</v>
      </c>
      <c r="Q8" s="130">
        <f>SUM(Q5:Q7)</f>
        <v>29920</v>
      </c>
      <c r="R8" s="117"/>
    </row>
    <row r="9" spans="1:18" x14ac:dyDescent="0.3">
      <c r="O9" s="53" t="s">
        <v>417</v>
      </c>
      <c r="P9" s="119">
        <f>P8/N7</f>
        <v>17.5</v>
      </c>
      <c r="Q9" s="119">
        <f>Q8/O7</f>
        <v>34</v>
      </c>
    </row>
    <row r="11" spans="1:18" x14ac:dyDescent="0.3">
      <c r="H11" s="52" t="s">
        <v>418</v>
      </c>
    </row>
    <row r="12" spans="1:18" x14ac:dyDescent="0.3">
      <c r="H12" s="53" t="s">
        <v>419</v>
      </c>
      <c r="L12" s="53" t="s">
        <v>420</v>
      </c>
      <c r="M12" s="53" t="s">
        <v>420</v>
      </c>
    </row>
    <row r="13" spans="1:18" x14ac:dyDescent="0.3">
      <c r="H13" s="53" t="s">
        <v>421</v>
      </c>
      <c r="I13" s="117" t="s">
        <v>410</v>
      </c>
      <c r="J13" s="117" t="s">
        <v>411</v>
      </c>
      <c r="K13" s="53" t="s">
        <v>69</v>
      </c>
      <c r="L13" s="129" t="s">
        <v>412</v>
      </c>
      <c r="M13" s="129" t="s">
        <v>413</v>
      </c>
    </row>
    <row r="14" spans="1:18" x14ac:dyDescent="0.3">
      <c r="H14" s="53" t="s">
        <v>422</v>
      </c>
      <c r="I14" s="119">
        <f>60%*9600</f>
        <v>5760</v>
      </c>
      <c r="J14" s="119">
        <f>40%*9600</f>
        <v>3840</v>
      </c>
      <c r="K14" s="119">
        <v>9</v>
      </c>
      <c r="L14" s="119">
        <f>$K14*I14</f>
        <v>51840</v>
      </c>
      <c r="M14" s="119">
        <f>$K14*J14</f>
        <v>34560</v>
      </c>
    </row>
    <row r="15" spans="1:18" x14ac:dyDescent="0.3">
      <c r="H15" s="53" t="s">
        <v>241</v>
      </c>
      <c r="I15" s="119">
        <f>50%*20000</f>
        <v>10000</v>
      </c>
      <c r="J15" s="119">
        <f>50%*20000</f>
        <v>10000</v>
      </c>
      <c r="K15" s="119">
        <v>8.5</v>
      </c>
      <c r="L15" s="119">
        <f t="shared" ref="L15:M16" si="2">$K15*I15</f>
        <v>85000</v>
      </c>
      <c r="M15" s="119">
        <f t="shared" si="2"/>
        <v>85000</v>
      </c>
    </row>
    <row r="16" spans="1:18" x14ac:dyDescent="0.3">
      <c r="H16" s="53" t="s">
        <v>423</v>
      </c>
      <c r="I16" s="119">
        <f>45%*5800</f>
        <v>2610</v>
      </c>
      <c r="J16" s="119">
        <f>55%*5800</f>
        <v>3190.0000000000005</v>
      </c>
      <c r="K16" s="119">
        <v>8</v>
      </c>
      <c r="L16" s="119">
        <f t="shared" si="2"/>
        <v>20880</v>
      </c>
      <c r="M16" s="119">
        <f t="shared" si="2"/>
        <v>25520.000000000004</v>
      </c>
    </row>
    <row r="17" spans="8:14" x14ac:dyDescent="0.3">
      <c r="I17" s="131"/>
      <c r="J17" s="131"/>
      <c r="K17" s="131"/>
      <c r="L17" s="130">
        <f>SUM(L14:L16)</f>
        <v>157720</v>
      </c>
      <c r="M17" s="130">
        <f>SUM(M14:M16)</f>
        <v>145080</v>
      </c>
    </row>
    <row r="19" spans="8:14" x14ac:dyDescent="0.3">
      <c r="H19" s="52" t="s">
        <v>424</v>
      </c>
    </row>
    <row r="20" spans="8:14" x14ac:dyDescent="0.3">
      <c r="H20" s="53" t="s">
        <v>425</v>
      </c>
    </row>
    <row r="22" spans="8:14" x14ac:dyDescent="0.3">
      <c r="H22" s="53" t="s">
        <v>381</v>
      </c>
    </row>
    <row r="23" spans="8:14" x14ac:dyDescent="0.3">
      <c r="H23" s="53" t="s">
        <v>377</v>
      </c>
      <c r="I23" s="117" t="s">
        <v>83</v>
      </c>
      <c r="J23" s="117" t="s">
        <v>124</v>
      </c>
      <c r="K23" s="117" t="s">
        <v>422</v>
      </c>
      <c r="L23" s="117" t="s">
        <v>383</v>
      </c>
      <c r="M23" s="117" t="s">
        <v>423</v>
      </c>
      <c r="N23" s="117" t="s">
        <v>0</v>
      </c>
    </row>
    <row r="24" spans="8:14" x14ac:dyDescent="0.3">
      <c r="H24" s="53" t="s">
        <v>426</v>
      </c>
      <c r="I24" s="118">
        <v>10500</v>
      </c>
      <c r="J24" s="117" t="s">
        <v>427</v>
      </c>
      <c r="K24" s="118">
        <v>95000</v>
      </c>
      <c r="L24" s="118">
        <v>105000</v>
      </c>
      <c r="M24" s="118">
        <v>35000</v>
      </c>
      <c r="N24" s="118">
        <f>SUM(K24:M24)</f>
        <v>235000</v>
      </c>
    </row>
    <row r="25" spans="8:14" x14ac:dyDescent="0.3">
      <c r="H25" s="53" t="s">
        <v>428</v>
      </c>
      <c r="I25" s="118">
        <v>35500</v>
      </c>
      <c r="J25" s="117" t="s">
        <v>429</v>
      </c>
      <c r="K25" s="118">
        <v>16000</v>
      </c>
      <c r="L25" s="118">
        <v>38000</v>
      </c>
      <c r="M25" s="118">
        <v>15000</v>
      </c>
      <c r="N25" s="118">
        <f>SUM(K25:M25)</f>
        <v>69000</v>
      </c>
    </row>
    <row r="26" spans="8:14" x14ac:dyDescent="0.3">
      <c r="H26" s="53" t="s">
        <v>0</v>
      </c>
      <c r="I26" s="118">
        <f>SUM(I24:I25)</f>
        <v>46000</v>
      </c>
      <c r="J26" s="117"/>
      <c r="K26" s="117"/>
      <c r="L26" s="117"/>
      <c r="M26" s="117"/>
      <c r="N26" s="117"/>
    </row>
    <row r="28" spans="8:14" x14ac:dyDescent="0.3">
      <c r="H28" s="53" t="s">
        <v>430</v>
      </c>
    </row>
    <row r="29" spans="8:14" x14ac:dyDescent="0.3">
      <c r="H29" s="53" t="s">
        <v>377</v>
      </c>
      <c r="I29" s="117" t="s">
        <v>83</v>
      </c>
      <c r="J29" s="117" t="s">
        <v>124</v>
      </c>
      <c r="K29" s="117" t="s">
        <v>422</v>
      </c>
      <c r="L29" s="117" t="s">
        <v>383</v>
      </c>
      <c r="M29" s="117" t="s">
        <v>423</v>
      </c>
      <c r="N29" s="117" t="s">
        <v>0</v>
      </c>
    </row>
    <row r="30" spans="8:14" x14ac:dyDescent="0.3">
      <c r="H30" s="53" t="s">
        <v>426</v>
      </c>
      <c r="I30" s="119">
        <v>10500</v>
      </c>
      <c r="J30" s="117" t="s">
        <v>427</v>
      </c>
      <c r="K30" s="119">
        <f>$I24/$N24*K24</f>
        <v>4244.6808510638302</v>
      </c>
      <c r="L30" s="119">
        <f t="shared" ref="L30:M31" si="3">$I24/$N24*L24</f>
        <v>4691.489361702128</v>
      </c>
      <c r="M30" s="119">
        <f t="shared" si="3"/>
        <v>1563.8297872340427</v>
      </c>
      <c r="N30" s="119">
        <f>SUM(K30:M30)</f>
        <v>10500.000000000002</v>
      </c>
    </row>
    <row r="31" spans="8:14" x14ac:dyDescent="0.3">
      <c r="H31" s="53" t="s">
        <v>428</v>
      </c>
      <c r="I31" s="119">
        <v>35500</v>
      </c>
      <c r="J31" s="117" t="s">
        <v>429</v>
      </c>
      <c r="K31" s="119">
        <f>$I25/$N25*K25</f>
        <v>8231.884057971014</v>
      </c>
      <c r="L31" s="119">
        <f t="shared" si="3"/>
        <v>19550.724637681156</v>
      </c>
      <c r="M31" s="119">
        <f t="shared" si="3"/>
        <v>7717.3913043478251</v>
      </c>
      <c r="N31" s="119">
        <f>SUM(K31:M31)</f>
        <v>35499.999999999993</v>
      </c>
    </row>
    <row r="32" spans="8:14" x14ac:dyDescent="0.3">
      <c r="H32" s="53" t="s">
        <v>0</v>
      </c>
      <c r="I32" s="119">
        <f>SUM(I30:I31)</f>
        <v>46000</v>
      </c>
      <c r="J32" s="117"/>
      <c r="K32" s="119">
        <f t="shared" ref="K32:N32" si="4">SUM(K30:K31)</f>
        <v>12476.564909034845</v>
      </c>
      <c r="L32" s="119">
        <f t="shared" si="4"/>
        <v>24242.213999383282</v>
      </c>
      <c r="M32" s="119">
        <f t="shared" si="4"/>
        <v>9281.2210915818687</v>
      </c>
      <c r="N32" s="119">
        <f t="shared" si="4"/>
        <v>45999.999999999993</v>
      </c>
    </row>
    <row r="34" spans="8:14" x14ac:dyDescent="0.3">
      <c r="H34" s="53" t="s">
        <v>431</v>
      </c>
    </row>
    <row r="35" spans="8:14" x14ac:dyDescent="0.3">
      <c r="H35" s="53" t="s">
        <v>432</v>
      </c>
      <c r="I35" s="117" t="s">
        <v>83</v>
      </c>
      <c r="J35" s="117"/>
      <c r="K35" s="117"/>
      <c r="L35" s="117"/>
      <c r="M35" s="117"/>
      <c r="N35" s="117"/>
    </row>
    <row r="36" spans="8:14" x14ac:dyDescent="0.3">
      <c r="H36" s="53" t="s">
        <v>422</v>
      </c>
      <c r="I36" s="119">
        <f>55700+K32</f>
        <v>68176.564909034845</v>
      </c>
      <c r="J36" s="117"/>
      <c r="K36" s="117"/>
      <c r="L36" s="117"/>
      <c r="M36" s="117"/>
      <c r="N36" s="117"/>
    </row>
    <row r="37" spans="8:14" x14ac:dyDescent="0.3">
      <c r="H37" s="53" t="s">
        <v>383</v>
      </c>
      <c r="I37" s="119">
        <f>25500+L32</f>
        <v>49742.213999383282</v>
      </c>
      <c r="J37" s="117"/>
      <c r="K37" s="117"/>
      <c r="L37" s="117"/>
      <c r="M37" s="117"/>
      <c r="N37" s="117"/>
    </row>
    <row r="38" spans="8:14" x14ac:dyDescent="0.3">
      <c r="H38" s="53" t="s">
        <v>423</v>
      </c>
      <c r="I38" s="119">
        <f>15500+M32</f>
        <v>24781.221091581869</v>
      </c>
      <c r="J38" s="117"/>
      <c r="K38" s="117"/>
      <c r="L38" s="117"/>
      <c r="M38" s="117"/>
      <c r="N38" s="117"/>
    </row>
    <row r="39" spans="8:14" x14ac:dyDescent="0.3">
      <c r="H39" s="53" t="s">
        <v>0</v>
      </c>
      <c r="I39" s="119">
        <f>SUM(I36:I38)</f>
        <v>142700</v>
      </c>
      <c r="J39" s="117"/>
      <c r="K39" s="117"/>
      <c r="L39" s="117"/>
      <c r="M39" s="117"/>
      <c r="N39" s="117"/>
    </row>
    <row r="41" spans="8:14" x14ac:dyDescent="0.3">
      <c r="H41" s="53" t="s">
        <v>433</v>
      </c>
    </row>
    <row r="42" spans="8:14" x14ac:dyDescent="0.3">
      <c r="H42" s="53" t="s">
        <v>381</v>
      </c>
    </row>
    <row r="43" spans="8:14" x14ac:dyDescent="0.3">
      <c r="H43" s="53" t="s">
        <v>432</v>
      </c>
      <c r="I43" s="117" t="s">
        <v>83</v>
      </c>
      <c r="J43" s="53" t="s">
        <v>124</v>
      </c>
      <c r="K43" s="117" t="s">
        <v>410</v>
      </c>
      <c r="L43" s="117" t="s">
        <v>411</v>
      </c>
      <c r="M43" s="117" t="s">
        <v>0</v>
      </c>
    </row>
    <row r="44" spans="8:14" x14ac:dyDescent="0.3">
      <c r="H44" s="53" t="s">
        <v>422</v>
      </c>
      <c r="I44" s="119">
        <f>55700+K39</f>
        <v>55700</v>
      </c>
      <c r="J44" s="53" t="s">
        <v>434</v>
      </c>
      <c r="K44" s="132">
        <f>60%*4500</f>
        <v>2700</v>
      </c>
      <c r="L44" s="132">
        <f>40%*4500</f>
        <v>1800</v>
      </c>
      <c r="M44" s="132">
        <f>SUM(K44:L44)</f>
        <v>4500</v>
      </c>
    </row>
    <row r="45" spans="8:14" x14ac:dyDescent="0.3">
      <c r="H45" s="53" t="s">
        <v>383</v>
      </c>
      <c r="I45" s="119">
        <f>25500+L39</f>
        <v>25500</v>
      </c>
      <c r="J45" s="53" t="s">
        <v>435</v>
      </c>
      <c r="K45" s="132">
        <f>50%*25000</f>
        <v>12500</v>
      </c>
      <c r="L45" s="132">
        <f>50%*25000</f>
        <v>12500</v>
      </c>
      <c r="M45" s="132">
        <f>SUM(K45:L45)</f>
        <v>25000</v>
      </c>
    </row>
    <row r="46" spans="8:14" x14ac:dyDescent="0.3">
      <c r="H46" s="53" t="s">
        <v>423</v>
      </c>
      <c r="I46" s="119">
        <f>15500+M39</f>
        <v>15500</v>
      </c>
      <c r="J46" s="53" t="s">
        <v>435</v>
      </c>
      <c r="K46" s="132">
        <f>45%*6000</f>
        <v>2700</v>
      </c>
      <c r="L46" s="132">
        <f>55%*6000</f>
        <v>3300.0000000000005</v>
      </c>
      <c r="M46" s="132">
        <f>SUM(K46:L46)</f>
        <v>6000</v>
      </c>
    </row>
    <row r="47" spans="8:14" x14ac:dyDescent="0.3">
      <c r="H47" s="53" t="s">
        <v>0</v>
      </c>
      <c r="I47" s="119">
        <f>SUM(I44:I46)</f>
        <v>96700</v>
      </c>
      <c r="K47" s="132"/>
      <c r="L47" s="132"/>
      <c r="M47" s="132"/>
    </row>
    <row r="49" spans="8:15" x14ac:dyDescent="0.3">
      <c r="H49" s="53" t="s">
        <v>400</v>
      </c>
    </row>
    <row r="50" spans="8:15" x14ac:dyDescent="0.3">
      <c r="H50" s="53" t="s">
        <v>432</v>
      </c>
      <c r="I50" s="117" t="s">
        <v>83</v>
      </c>
      <c r="J50" s="53" t="s">
        <v>124</v>
      </c>
      <c r="K50" s="117" t="s">
        <v>412</v>
      </c>
      <c r="L50" s="117" t="s">
        <v>413</v>
      </c>
      <c r="M50" s="117" t="s">
        <v>0</v>
      </c>
    </row>
    <row r="51" spans="8:15" x14ac:dyDescent="0.3">
      <c r="H51" s="53" t="s">
        <v>422</v>
      </c>
      <c r="I51" s="119">
        <f>I44</f>
        <v>55700</v>
      </c>
      <c r="J51" s="53" t="s">
        <v>434</v>
      </c>
      <c r="K51" s="119">
        <f>$I44/$M44*K44</f>
        <v>33420</v>
      </c>
      <c r="L51" s="119">
        <f>$I44/$M44*L44</f>
        <v>22280</v>
      </c>
      <c r="M51" s="119">
        <f>SUM(K51:L51)</f>
        <v>55700</v>
      </c>
    </row>
    <row r="52" spans="8:15" x14ac:dyDescent="0.3">
      <c r="H52" s="53" t="s">
        <v>383</v>
      </c>
      <c r="I52" s="119">
        <f t="shared" ref="I52:I53" si="5">I45</f>
        <v>25500</v>
      </c>
      <c r="J52" s="53" t="s">
        <v>435</v>
      </c>
      <c r="K52" s="119">
        <f t="shared" ref="K52:L53" si="6">$I45/$M45*K45</f>
        <v>12750</v>
      </c>
      <c r="L52" s="119">
        <f t="shared" si="6"/>
        <v>12750</v>
      </c>
      <c r="M52" s="119">
        <f>SUM(K52:L52)</f>
        <v>25500</v>
      </c>
    </row>
    <row r="53" spans="8:15" x14ac:dyDescent="0.3">
      <c r="H53" s="53" t="s">
        <v>423</v>
      </c>
      <c r="I53" s="119">
        <f t="shared" si="5"/>
        <v>15500</v>
      </c>
      <c r="J53" s="53" t="s">
        <v>435</v>
      </c>
      <c r="K53" s="119">
        <f t="shared" si="6"/>
        <v>6975</v>
      </c>
      <c r="L53" s="119">
        <f t="shared" si="6"/>
        <v>8525.0000000000018</v>
      </c>
      <c r="M53" s="119">
        <f>SUM(K53:L53)</f>
        <v>15500.000000000002</v>
      </c>
    </row>
    <row r="54" spans="8:15" x14ac:dyDescent="0.3">
      <c r="H54" s="53" t="s">
        <v>0</v>
      </c>
      <c r="I54" s="119">
        <f>SUM(I51:I53)</f>
        <v>96700</v>
      </c>
      <c r="K54" s="130">
        <f t="shared" ref="K54:M54" si="7">SUM(K51:K53)</f>
        <v>53145</v>
      </c>
      <c r="L54" s="130">
        <f t="shared" si="7"/>
        <v>43555</v>
      </c>
      <c r="M54" s="119">
        <f t="shared" si="7"/>
        <v>96700</v>
      </c>
    </row>
    <row r="57" spans="8:15" x14ac:dyDescent="0.3">
      <c r="H57" s="52" t="s">
        <v>436</v>
      </c>
      <c r="L57" s="52" t="s">
        <v>437</v>
      </c>
    </row>
    <row r="58" spans="8:15" x14ac:dyDescent="0.3">
      <c r="H58" s="52" t="s">
        <v>118</v>
      </c>
      <c r="I58" s="129" t="s">
        <v>412</v>
      </c>
      <c r="J58" s="129" t="s">
        <v>413</v>
      </c>
      <c r="K58" s="129" t="s">
        <v>342</v>
      </c>
      <c r="L58" s="129" t="s">
        <v>438</v>
      </c>
      <c r="M58" s="129" t="s">
        <v>439</v>
      </c>
      <c r="N58" s="129" t="s">
        <v>440</v>
      </c>
    </row>
    <row r="59" spans="8:15" x14ac:dyDescent="0.3">
      <c r="H59" s="53" t="s">
        <v>136</v>
      </c>
      <c r="I59" s="131">
        <f>P8</f>
        <v>12250</v>
      </c>
      <c r="J59" s="131">
        <f>Q8</f>
        <v>29920</v>
      </c>
      <c r="K59" s="131">
        <f>SUM(I59:J59)</f>
        <v>42170</v>
      </c>
      <c r="L59" s="133">
        <f>I59/I$62</f>
        <v>5.4904421486677277E-2</v>
      </c>
      <c r="M59" s="133">
        <f t="shared" ref="M59:N61" si="8">J59/J$62</f>
        <v>0.13689917869643797</v>
      </c>
      <c r="N59" s="133">
        <f t="shared" si="8"/>
        <v>9.5478524690379693E-2</v>
      </c>
    </row>
    <row r="60" spans="8:15" x14ac:dyDescent="0.3">
      <c r="H60" s="53" t="s">
        <v>441</v>
      </c>
      <c r="I60" s="131">
        <f>L17</f>
        <v>157720</v>
      </c>
      <c r="J60" s="131">
        <f>M17</f>
        <v>145080</v>
      </c>
      <c r="K60" s="131">
        <f t="shared" ref="K60:K61" si="9">SUM(I60:J60)</f>
        <v>302800</v>
      </c>
      <c r="L60" s="134">
        <f t="shared" ref="L60:L61" si="10">I60/I$62</f>
        <v>0.70690002913295835</v>
      </c>
      <c r="M60" s="134">
        <f t="shared" si="8"/>
        <v>0.66381460044382423</v>
      </c>
      <c r="N60" s="134">
        <f t="shared" si="8"/>
        <v>0.68557973147372475</v>
      </c>
      <c r="O60" s="53" t="s">
        <v>442</v>
      </c>
    </row>
    <row r="61" spans="8:15" x14ac:dyDescent="0.3">
      <c r="H61" s="53" t="s">
        <v>443</v>
      </c>
      <c r="I61" s="131">
        <f>K54</f>
        <v>53145</v>
      </c>
      <c r="J61" s="131">
        <f>L54</f>
        <v>43555</v>
      </c>
      <c r="K61" s="131">
        <f t="shared" si="9"/>
        <v>96700</v>
      </c>
      <c r="L61" s="134">
        <f t="shared" si="10"/>
        <v>0.23819554938036439</v>
      </c>
      <c r="M61" s="134">
        <f t="shared" si="8"/>
        <v>0.19928622085973782</v>
      </c>
      <c r="N61" s="134">
        <f t="shared" si="8"/>
        <v>0.21894174383589557</v>
      </c>
      <c r="O61" s="53" t="s">
        <v>444</v>
      </c>
    </row>
    <row r="62" spans="8:15" x14ac:dyDescent="0.3">
      <c r="H62" s="52" t="s">
        <v>0</v>
      </c>
      <c r="I62" s="135">
        <f>SUM(I59:I61)</f>
        <v>223115</v>
      </c>
      <c r="J62" s="135">
        <f>SUM(J59:J61)</f>
        <v>218555</v>
      </c>
      <c r="K62" s="135">
        <f>SUM(K59:K61)</f>
        <v>441670</v>
      </c>
      <c r="L62" s="136">
        <f>SUM(L59:L61)</f>
        <v>1</v>
      </c>
      <c r="M62" s="136">
        <f>SUM(M59:M61)</f>
        <v>1</v>
      </c>
      <c r="N62" s="136">
        <f>SUM(N59:N61)</f>
        <v>1</v>
      </c>
    </row>
    <row r="64" spans="8:15" x14ac:dyDescent="0.3">
      <c r="H64" s="52" t="s">
        <v>243</v>
      </c>
      <c r="I64" s="117">
        <v>700</v>
      </c>
      <c r="J64" s="117">
        <v>880</v>
      </c>
    </row>
    <row r="65" spans="8:12" x14ac:dyDescent="0.3">
      <c r="L65" s="53" t="s">
        <v>445</v>
      </c>
    </row>
    <row r="66" spans="8:12" x14ac:dyDescent="0.3">
      <c r="H66" s="52" t="s">
        <v>446</v>
      </c>
      <c r="L66" s="53" t="s">
        <v>447</v>
      </c>
    </row>
    <row r="67" spans="8:12" x14ac:dyDescent="0.3">
      <c r="H67" s="52" t="s">
        <v>118</v>
      </c>
      <c r="I67" s="129" t="s">
        <v>412</v>
      </c>
      <c r="J67" s="129" t="s">
        <v>413</v>
      </c>
      <c r="L67" s="53" t="s">
        <v>448</v>
      </c>
    </row>
    <row r="68" spans="8:12" x14ac:dyDescent="0.3">
      <c r="H68" s="53" t="s">
        <v>136</v>
      </c>
      <c r="I68" s="119">
        <f>I59/$I$64</f>
        <v>17.5</v>
      </c>
      <c r="J68" s="119">
        <f>J59/$J$64</f>
        <v>34</v>
      </c>
      <c r="L68" s="53" t="s">
        <v>449</v>
      </c>
    </row>
    <row r="69" spans="8:12" x14ac:dyDescent="0.3">
      <c r="H69" s="53" t="s">
        <v>441</v>
      </c>
      <c r="I69" s="119">
        <f t="shared" ref="I69:I70" si="11">I60/$I$64</f>
        <v>225.31428571428572</v>
      </c>
      <c r="J69" s="119">
        <f t="shared" ref="J69:J70" si="12">J60/$J$64</f>
        <v>164.86363636363637</v>
      </c>
    </row>
    <row r="70" spans="8:12" x14ac:dyDescent="0.3">
      <c r="H70" s="53" t="s">
        <v>443</v>
      </c>
      <c r="I70" s="119">
        <f t="shared" si="11"/>
        <v>75.921428571428578</v>
      </c>
      <c r="J70" s="119">
        <f t="shared" si="12"/>
        <v>49.49431818181818</v>
      </c>
    </row>
    <row r="71" spans="8:12" x14ac:dyDescent="0.3">
      <c r="H71" s="52" t="s">
        <v>0</v>
      </c>
      <c r="I71" s="130">
        <f>SUM(I68:I70)</f>
        <v>318.73571428571427</v>
      </c>
      <c r="J71" s="130">
        <f>SUM(J68:J70)</f>
        <v>248.35795454545456</v>
      </c>
    </row>
    <row r="73" spans="8:12" x14ac:dyDescent="0.3">
      <c r="H73" s="53" t="s">
        <v>450</v>
      </c>
      <c r="I73" s="137">
        <v>0.45</v>
      </c>
      <c r="J73" s="137">
        <v>0.65</v>
      </c>
    </row>
    <row r="74" spans="8:12" x14ac:dyDescent="0.3">
      <c r="H74" s="53" t="s">
        <v>451</v>
      </c>
      <c r="I74" s="119">
        <f>I71*(1+I73)</f>
        <v>462.16678571428565</v>
      </c>
      <c r="J74" s="119">
        <f>J71*(1+J73)</f>
        <v>409.79062499999998</v>
      </c>
      <c r="K74" s="53" t="s">
        <v>452</v>
      </c>
    </row>
    <row r="75" spans="8:12" x14ac:dyDescent="0.3">
      <c r="H75" s="52" t="s">
        <v>453</v>
      </c>
      <c r="I75" s="130">
        <f>I74*1.18</f>
        <v>545.35680714285706</v>
      </c>
      <c r="J75" s="130">
        <f>J74*1.18</f>
        <v>483.55293749999993</v>
      </c>
      <c r="K75" s="53" t="s">
        <v>454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B4E46-0B8E-44BB-9548-6584F9E8716F}">
  <dimension ref="A1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23.5546875" style="53" customWidth="1"/>
    <col min="2" max="16384" width="11.44140625" style="53"/>
  </cols>
  <sheetData>
    <row r="1" spans="1:1" x14ac:dyDescent="0.3">
      <c r="A1" s="52" t="s">
        <v>142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FAD95-B020-4744-BF89-A7DBF3566B00}">
  <dimension ref="A1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25" style="53" customWidth="1"/>
    <col min="2" max="16384" width="11.44140625" style="53"/>
  </cols>
  <sheetData>
    <row r="1" spans="1:1" x14ac:dyDescent="0.3">
      <c r="A1" s="52" t="s">
        <v>143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412C7-EC92-4B92-9EEF-82888A721AC3}">
  <dimension ref="A1:I85"/>
  <sheetViews>
    <sheetView workbookViewId="0">
      <selection activeCell="A2" sqref="A2"/>
    </sheetView>
  </sheetViews>
  <sheetFormatPr baseColWidth="10" defaultColWidth="11.44140625" defaultRowHeight="13.8" x14ac:dyDescent="0.25"/>
  <cols>
    <col min="1" max="1" width="17.44140625" style="4" customWidth="1"/>
    <col min="2" max="16384" width="11.44140625" style="4"/>
  </cols>
  <sheetData>
    <row r="1" spans="1:8" x14ac:dyDescent="0.25">
      <c r="A1" s="3" t="s">
        <v>151</v>
      </c>
    </row>
    <row r="2" spans="1:8" x14ac:dyDescent="0.25">
      <c r="A2" s="3" t="s">
        <v>98</v>
      </c>
      <c r="C2" s="3" t="s">
        <v>99</v>
      </c>
    </row>
    <row r="3" spans="1:8" x14ac:dyDescent="0.25">
      <c r="A3" s="3" t="s">
        <v>100</v>
      </c>
      <c r="C3" s="3" t="s">
        <v>101</v>
      </c>
    </row>
    <row r="4" spans="1:8" x14ac:dyDescent="0.25">
      <c r="A4" s="5" t="s">
        <v>102</v>
      </c>
      <c r="B4" s="5" t="s">
        <v>103</v>
      </c>
    </row>
    <row r="5" spans="1:8" x14ac:dyDescent="0.25">
      <c r="A5" s="54" t="s">
        <v>104</v>
      </c>
      <c r="B5" s="16">
        <v>150</v>
      </c>
    </row>
    <row r="6" spans="1:8" x14ac:dyDescent="0.25">
      <c r="A6" s="54" t="s">
        <v>105</v>
      </c>
      <c r="B6" s="16">
        <v>210</v>
      </c>
    </row>
    <row r="7" spans="1:8" x14ac:dyDescent="0.25">
      <c r="A7" s="54" t="s">
        <v>106</v>
      </c>
      <c r="B7" s="16">
        <v>89</v>
      </c>
    </row>
    <row r="8" spans="1:8" x14ac:dyDescent="0.25">
      <c r="A8" s="5" t="s">
        <v>0</v>
      </c>
      <c r="B8" s="5">
        <f>SUM(B5:B7)</f>
        <v>449</v>
      </c>
    </row>
    <row r="9" spans="1:8" x14ac:dyDescent="0.25">
      <c r="A9" s="3"/>
    </row>
    <row r="10" spans="1:8" x14ac:dyDescent="0.25">
      <c r="A10" s="3" t="s">
        <v>107</v>
      </c>
    </row>
    <row r="11" spans="1:8" x14ac:dyDescent="0.25">
      <c r="A11" s="15" t="s">
        <v>108</v>
      </c>
      <c r="B11" s="5" t="s">
        <v>104</v>
      </c>
      <c r="C11" s="5" t="s">
        <v>105</v>
      </c>
      <c r="D11" s="5" t="s">
        <v>106</v>
      </c>
      <c r="E11" s="5" t="s">
        <v>109</v>
      </c>
      <c r="F11" s="5" t="s">
        <v>104</v>
      </c>
      <c r="G11" s="5" t="s">
        <v>105</v>
      </c>
      <c r="H11" s="5" t="s">
        <v>106</v>
      </c>
    </row>
    <row r="12" spans="1:8" x14ac:dyDescent="0.25">
      <c r="A12" s="9" t="s">
        <v>110</v>
      </c>
      <c r="B12" s="18">
        <v>560.4</v>
      </c>
      <c r="C12" s="18">
        <v>180.3</v>
      </c>
      <c r="D12" s="18">
        <v>40.6</v>
      </c>
      <c r="E12" s="55"/>
      <c r="F12" s="56"/>
      <c r="G12" s="56"/>
      <c r="H12" s="56"/>
    </row>
    <row r="13" spans="1:8" x14ac:dyDescent="0.25">
      <c r="A13" s="9" t="s">
        <v>111</v>
      </c>
      <c r="B13" s="18"/>
      <c r="C13" s="18">
        <v>380.4</v>
      </c>
      <c r="D13" s="18"/>
      <c r="E13" s="55"/>
      <c r="F13" s="56"/>
      <c r="G13" s="56"/>
      <c r="H13" s="56"/>
    </row>
    <row r="14" spans="1:8" x14ac:dyDescent="0.25">
      <c r="A14" s="9" t="s">
        <v>112</v>
      </c>
      <c r="B14" s="18">
        <v>1120.4000000000001</v>
      </c>
      <c r="C14" s="18"/>
      <c r="D14" s="18">
        <v>780.7</v>
      </c>
      <c r="E14" s="55"/>
      <c r="F14" s="56"/>
      <c r="G14" s="56"/>
      <c r="H14" s="56"/>
    </row>
    <row r="15" spans="1:8" x14ac:dyDescent="0.25">
      <c r="A15" s="15" t="s">
        <v>0</v>
      </c>
      <c r="B15" s="57"/>
      <c r="C15" s="57"/>
      <c r="D15" s="57"/>
      <c r="E15" s="55"/>
      <c r="F15" s="55"/>
      <c r="G15" s="55"/>
      <c r="H15" s="55"/>
    </row>
    <row r="17" spans="1:9" x14ac:dyDescent="0.25">
      <c r="A17" s="3" t="s">
        <v>113</v>
      </c>
    </row>
    <row r="18" spans="1:9" x14ac:dyDescent="0.25">
      <c r="A18" s="15" t="s">
        <v>64</v>
      </c>
      <c r="B18" s="5" t="s">
        <v>104</v>
      </c>
      <c r="C18" s="5" t="s">
        <v>105</v>
      </c>
      <c r="D18" s="5" t="s">
        <v>106</v>
      </c>
      <c r="E18" s="5" t="s">
        <v>69</v>
      </c>
      <c r="F18" s="5" t="s">
        <v>104</v>
      </c>
      <c r="G18" s="5" t="s">
        <v>105</v>
      </c>
      <c r="H18" s="5" t="s">
        <v>106</v>
      </c>
    </row>
    <row r="19" spans="1:9" x14ac:dyDescent="0.25">
      <c r="A19" s="9" t="s">
        <v>114</v>
      </c>
      <c r="B19" s="18">
        <v>85</v>
      </c>
      <c r="C19" s="18">
        <v>75.400000000000006</v>
      </c>
      <c r="D19" s="18">
        <v>20.6</v>
      </c>
      <c r="E19" s="55"/>
      <c r="F19" s="56"/>
      <c r="G19" s="56"/>
      <c r="H19" s="56"/>
    </row>
    <row r="20" spans="1:9" x14ac:dyDescent="0.25">
      <c r="A20" s="9" t="s">
        <v>115</v>
      </c>
      <c r="B20" s="18"/>
      <c r="C20" s="18">
        <v>110.4</v>
      </c>
      <c r="D20" s="18">
        <v>78.900000000000006</v>
      </c>
      <c r="E20" s="55"/>
      <c r="F20" s="56"/>
      <c r="G20" s="56"/>
      <c r="H20" s="56"/>
    </row>
    <row r="21" spans="1:9" x14ac:dyDescent="0.25">
      <c r="A21" s="9" t="s">
        <v>116</v>
      </c>
      <c r="B21" s="18">
        <v>146</v>
      </c>
      <c r="C21" s="18">
        <v>25.4</v>
      </c>
      <c r="D21" s="18">
        <v>18.399999999999999</v>
      </c>
      <c r="E21" s="55"/>
      <c r="F21" s="56"/>
      <c r="G21" s="56"/>
      <c r="H21" s="56"/>
    </row>
    <row r="22" spans="1:9" x14ac:dyDescent="0.25">
      <c r="A22" s="15" t="s">
        <v>0</v>
      </c>
      <c r="B22" s="55">
        <f>SUM(B19:B21)</f>
        <v>231</v>
      </c>
      <c r="C22" s="55">
        <f>SUM(C19:C21)</f>
        <v>211.20000000000002</v>
      </c>
      <c r="D22" s="55">
        <f>SUM(D19:D21)</f>
        <v>117.9</v>
      </c>
      <c r="E22" s="55"/>
      <c r="F22" s="55"/>
      <c r="G22" s="55"/>
      <c r="H22" s="55"/>
    </row>
    <row r="24" spans="1:9" x14ac:dyDescent="0.25">
      <c r="A24" s="3" t="s">
        <v>117</v>
      </c>
    </row>
    <row r="25" spans="1:9" x14ac:dyDescent="0.25">
      <c r="A25" s="15" t="s">
        <v>118</v>
      </c>
      <c r="B25" s="5" t="s">
        <v>83</v>
      </c>
      <c r="C25" s="120" t="s">
        <v>119</v>
      </c>
      <c r="D25" s="120"/>
    </row>
    <row r="26" spans="1:9" x14ac:dyDescent="0.25">
      <c r="A26" s="9" t="s">
        <v>120</v>
      </c>
      <c r="B26" s="18">
        <v>15482.4</v>
      </c>
      <c r="C26" s="128"/>
      <c r="D26" s="128"/>
    </row>
    <row r="27" spans="1:9" x14ac:dyDescent="0.25">
      <c r="A27" s="9" t="s">
        <v>121</v>
      </c>
      <c r="B27" s="18">
        <v>26484.2</v>
      </c>
      <c r="C27" s="128"/>
      <c r="D27" s="128"/>
    </row>
    <row r="28" spans="1:9" x14ac:dyDescent="0.25">
      <c r="A28" s="9" t="s">
        <v>89</v>
      </c>
      <c r="B28" s="18">
        <v>10430.799999999999</v>
      </c>
      <c r="C28" s="128"/>
      <c r="D28" s="128"/>
    </row>
    <row r="29" spans="1:9" x14ac:dyDescent="0.25">
      <c r="A29" s="9" t="s">
        <v>122</v>
      </c>
      <c r="B29" s="18">
        <v>9423.7000000000007</v>
      </c>
      <c r="C29" s="128"/>
      <c r="D29" s="128"/>
    </row>
    <row r="30" spans="1:9" x14ac:dyDescent="0.25">
      <c r="B30" s="58"/>
    </row>
    <row r="31" spans="1:9" x14ac:dyDescent="0.25">
      <c r="A31" s="3" t="s">
        <v>123</v>
      </c>
    </row>
    <row r="32" spans="1:9" x14ac:dyDescent="0.25">
      <c r="A32" s="15" t="s">
        <v>118</v>
      </c>
      <c r="B32" s="122" t="s">
        <v>124</v>
      </c>
      <c r="C32" s="123"/>
      <c r="D32" s="55" t="s">
        <v>125</v>
      </c>
      <c r="E32" s="55" t="s">
        <v>126</v>
      </c>
      <c r="F32" s="55" t="s">
        <v>127</v>
      </c>
      <c r="G32" s="55" t="s">
        <v>96</v>
      </c>
      <c r="H32" s="55" t="s">
        <v>128</v>
      </c>
      <c r="I32" s="55" t="s">
        <v>0</v>
      </c>
    </row>
    <row r="33" spans="1:9" x14ac:dyDescent="0.25">
      <c r="A33" s="9" t="s">
        <v>120</v>
      </c>
      <c r="B33" s="124"/>
      <c r="C33" s="125"/>
      <c r="D33" s="11"/>
      <c r="E33" s="11"/>
      <c r="F33" s="11"/>
      <c r="G33" s="11"/>
      <c r="H33" s="11"/>
      <c r="I33" s="11"/>
    </row>
    <row r="34" spans="1:9" x14ac:dyDescent="0.25">
      <c r="A34" s="9" t="s">
        <v>121</v>
      </c>
      <c r="B34" s="124"/>
      <c r="C34" s="125"/>
      <c r="D34" s="11"/>
      <c r="E34" s="11"/>
      <c r="F34" s="11"/>
      <c r="G34" s="11"/>
      <c r="H34" s="11"/>
      <c r="I34" s="11"/>
    </row>
    <row r="35" spans="1:9" x14ac:dyDescent="0.25">
      <c r="A35" s="9" t="s">
        <v>89</v>
      </c>
      <c r="B35" s="124"/>
      <c r="C35" s="125"/>
      <c r="D35" s="11"/>
      <c r="E35" s="11"/>
      <c r="F35" s="11"/>
      <c r="G35" s="11"/>
      <c r="H35" s="11"/>
      <c r="I35" s="11"/>
    </row>
    <row r="36" spans="1:9" x14ac:dyDescent="0.25">
      <c r="A36" s="9" t="s">
        <v>122</v>
      </c>
      <c r="B36" s="124"/>
      <c r="C36" s="125"/>
      <c r="D36" s="18"/>
      <c r="E36" s="18"/>
      <c r="F36" s="18"/>
      <c r="G36" s="18"/>
      <c r="H36" s="18"/>
      <c r="I36" s="18"/>
    </row>
    <row r="37" spans="1:9" x14ac:dyDescent="0.25">
      <c r="A37" s="59"/>
      <c r="B37" s="122" t="s">
        <v>129</v>
      </c>
      <c r="C37" s="123"/>
      <c r="D37" s="15"/>
      <c r="E37" s="15"/>
      <c r="F37" s="15"/>
      <c r="G37" s="15"/>
      <c r="H37" s="15"/>
      <c r="I37" s="15"/>
    </row>
    <row r="39" spans="1:9" x14ac:dyDescent="0.25">
      <c r="A39" s="3" t="s">
        <v>130</v>
      </c>
    </row>
    <row r="40" spans="1:9" x14ac:dyDescent="0.25">
      <c r="A40" s="60" t="s">
        <v>118</v>
      </c>
      <c r="B40" s="126" t="s">
        <v>131</v>
      </c>
      <c r="C40" s="127"/>
      <c r="D40" s="61" t="s">
        <v>125</v>
      </c>
      <c r="E40" s="61" t="s">
        <v>126</v>
      </c>
      <c r="F40" s="61" t="s">
        <v>127</v>
      </c>
      <c r="G40" s="61" t="s">
        <v>96</v>
      </c>
      <c r="H40" s="61" t="s">
        <v>128</v>
      </c>
      <c r="I40" s="61" t="s">
        <v>0</v>
      </c>
    </row>
    <row r="41" spans="1:9" x14ac:dyDescent="0.25">
      <c r="A41" s="9" t="s">
        <v>120</v>
      </c>
      <c r="B41" s="124"/>
      <c r="C41" s="125"/>
      <c r="D41" s="11"/>
      <c r="E41" s="11"/>
      <c r="F41" s="11"/>
      <c r="G41" s="11"/>
      <c r="H41" s="11"/>
      <c r="I41" s="11"/>
    </row>
    <row r="42" spans="1:9" x14ac:dyDescent="0.25">
      <c r="A42" s="9" t="s">
        <v>121</v>
      </c>
      <c r="B42" s="124"/>
      <c r="C42" s="125"/>
      <c r="D42" s="11"/>
      <c r="E42" s="11"/>
      <c r="F42" s="11"/>
      <c r="G42" s="11"/>
      <c r="H42" s="11"/>
      <c r="I42" s="11"/>
    </row>
    <row r="43" spans="1:9" x14ac:dyDescent="0.25">
      <c r="A43" s="9" t="s">
        <v>89</v>
      </c>
      <c r="B43" s="124"/>
      <c r="C43" s="125"/>
      <c r="D43" s="11"/>
      <c r="E43" s="11"/>
      <c r="F43" s="11"/>
      <c r="G43" s="11"/>
      <c r="H43" s="11"/>
      <c r="I43" s="11"/>
    </row>
    <row r="44" spans="1:9" x14ac:dyDescent="0.25">
      <c r="A44" s="9" t="s">
        <v>122</v>
      </c>
      <c r="B44" s="124"/>
      <c r="C44" s="125"/>
      <c r="D44" s="18"/>
      <c r="E44" s="18"/>
      <c r="F44" s="18"/>
      <c r="G44" s="18"/>
      <c r="H44" s="18"/>
      <c r="I44" s="18"/>
    </row>
    <row r="45" spans="1:9" x14ac:dyDescent="0.25">
      <c r="A45" s="15" t="s">
        <v>129</v>
      </c>
      <c r="B45" s="122"/>
      <c r="C45" s="123"/>
      <c r="D45" s="15"/>
      <c r="E45" s="15"/>
      <c r="F45" s="15"/>
      <c r="G45" s="15"/>
      <c r="H45" s="15"/>
      <c r="I45" s="15"/>
    </row>
    <row r="47" spans="1:9" x14ac:dyDescent="0.25">
      <c r="A47" s="3" t="s">
        <v>132</v>
      </c>
    </row>
    <row r="48" spans="1:9" x14ac:dyDescent="0.25">
      <c r="A48" s="15" t="s">
        <v>118</v>
      </c>
      <c r="B48" s="122" t="s">
        <v>124</v>
      </c>
      <c r="C48" s="123"/>
      <c r="D48" s="55" t="s">
        <v>127</v>
      </c>
      <c r="E48" s="55" t="s">
        <v>96</v>
      </c>
      <c r="F48" s="55" t="s">
        <v>128</v>
      </c>
      <c r="G48" s="55" t="s">
        <v>0</v>
      </c>
    </row>
    <row r="49" spans="1:7" x14ac:dyDescent="0.25">
      <c r="A49" s="9" t="s">
        <v>125</v>
      </c>
      <c r="B49" s="124"/>
      <c r="C49" s="125"/>
      <c r="D49" s="11"/>
      <c r="E49" s="11"/>
      <c r="F49" s="11"/>
      <c r="G49" s="11"/>
    </row>
    <row r="50" spans="1:7" x14ac:dyDescent="0.25">
      <c r="A50" s="9" t="s">
        <v>126</v>
      </c>
      <c r="B50" s="124"/>
      <c r="C50" s="125"/>
      <c r="D50" s="11"/>
      <c r="E50" s="11"/>
      <c r="F50" s="11"/>
      <c r="G50" s="11"/>
    </row>
    <row r="51" spans="1:7" x14ac:dyDescent="0.25">
      <c r="A51" s="59"/>
      <c r="B51" s="122" t="s">
        <v>129</v>
      </c>
      <c r="C51" s="123"/>
      <c r="D51" s="15"/>
      <c r="E51" s="15"/>
      <c r="F51" s="15"/>
      <c r="G51" s="15"/>
    </row>
    <row r="53" spans="1:7" x14ac:dyDescent="0.25">
      <c r="A53" s="3" t="s">
        <v>133</v>
      </c>
    </row>
    <row r="54" spans="1:7" x14ac:dyDescent="0.25">
      <c r="A54" s="15" t="s">
        <v>118</v>
      </c>
      <c r="B54" s="122" t="s">
        <v>83</v>
      </c>
      <c r="C54" s="123"/>
      <c r="D54" s="55" t="s">
        <v>127</v>
      </c>
      <c r="E54" s="55" t="s">
        <v>96</v>
      </c>
      <c r="F54" s="55" t="s">
        <v>128</v>
      </c>
      <c r="G54" s="55" t="s">
        <v>0</v>
      </c>
    </row>
    <row r="55" spans="1:7" x14ac:dyDescent="0.25">
      <c r="A55" s="9" t="s">
        <v>125</v>
      </c>
      <c r="B55" s="124"/>
      <c r="C55" s="125"/>
      <c r="D55" s="11"/>
      <c r="E55" s="11"/>
      <c r="F55" s="11"/>
      <c r="G55" s="11"/>
    </row>
    <row r="56" spans="1:7" x14ac:dyDescent="0.25">
      <c r="A56" s="9" t="s">
        <v>126</v>
      </c>
      <c r="B56" s="124"/>
      <c r="C56" s="125"/>
      <c r="D56" s="11"/>
      <c r="E56" s="11"/>
      <c r="F56" s="11"/>
      <c r="G56" s="11"/>
    </row>
    <row r="57" spans="1:7" x14ac:dyDescent="0.25">
      <c r="A57" s="15" t="s">
        <v>129</v>
      </c>
      <c r="B57" s="122"/>
      <c r="C57" s="123"/>
      <c r="D57" s="15"/>
      <c r="E57" s="15"/>
      <c r="F57" s="15"/>
      <c r="G57" s="15"/>
    </row>
    <row r="59" spans="1:7" x14ac:dyDescent="0.25">
      <c r="A59" s="3" t="s">
        <v>134</v>
      </c>
    </row>
    <row r="60" spans="1:7" x14ac:dyDescent="0.25">
      <c r="A60" s="15" t="s">
        <v>118</v>
      </c>
      <c r="B60" s="122" t="s">
        <v>124</v>
      </c>
      <c r="C60" s="123"/>
      <c r="D60" s="5" t="s">
        <v>104</v>
      </c>
      <c r="E60" s="5" t="s">
        <v>105</v>
      </c>
      <c r="F60" s="5" t="s">
        <v>106</v>
      </c>
      <c r="G60" s="55" t="s">
        <v>0</v>
      </c>
    </row>
    <row r="61" spans="1:7" x14ac:dyDescent="0.25">
      <c r="A61" s="11" t="s">
        <v>127</v>
      </c>
      <c r="B61" s="124"/>
      <c r="C61" s="125"/>
      <c r="D61" s="11"/>
      <c r="E61" s="11"/>
      <c r="F61" s="11"/>
      <c r="G61" s="11"/>
    </row>
    <row r="62" spans="1:7" x14ac:dyDescent="0.25">
      <c r="A62" s="11" t="s">
        <v>96</v>
      </c>
      <c r="B62" s="124"/>
      <c r="C62" s="125"/>
      <c r="D62" s="11"/>
      <c r="E62" s="11"/>
      <c r="F62" s="11"/>
      <c r="G62" s="11"/>
    </row>
    <row r="63" spans="1:7" x14ac:dyDescent="0.25">
      <c r="A63" s="11" t="s">
        <v>128</v>
      </c>
      <c r="B63" s="124"/>
      <c r="C63" s="125"/>
      <c r="D63" s="11"/>
      <c r="E63" s="11"/>
      <c r="F63" s="11"/>
      <c r="G63" s="11"/>
    </row>
    <row r="64" spans="1:7" x14ac:dyDescent="0.25">
      <c r="A64" s="59"/>
      <c r="B64" s="122" t="s">
        <v>129</v>
      </c>
      <c r="C64" s="123"/>
      <c r="D64" s="15"/>
      <c r="E64" s="15"/>
      <c r="F64" s="15"/>
      <c r="G64" s="15"/>
    </row>
    <row r="66" spans="1:7" x14ac:dyDescent="0.25">
      <c r="A66" s="3" t="s">
        <v>130</v>
      </c>
    </row>
    <row r="67" spans="1:7" x14ac:dyDescent="0.25">
      <c r="A67" s="15" t="s">
        <v>118</v>
      </c>
      <c r="B67" s="122" t="s">
        <v>131</v>
      </c>
      <c r="C67" s="123"/>
      <c r="D67" s="5" t="s">
        <v>104</v>
      </c>
      <c r="E67" s="5" t="s">
        <v>105</v>
      </c>
      <c r="F67" s="5" t="s">
        <v>106</v>
      </c>
      <c r="G67" s="55" t="s">
        <v>0</v>
      </c>
    </row>
    <row r="68" spans="1:7" x14ac:dyDescent="0.25">
      <c r="A68" s="11" t="s">
        <v>127</v>
      </c>
      <c r="B68" s="124"/>
      <c r="C68" s="125"/>
      <c r="D68" s="11"/>
      <c r="E68" s="11"/>
      <c r="F68" s="11"/>
      <c r="G68" s="11"/>
    </row>
    <row r="69" spans="1:7" x14ac:dyDescent="0.25">
      <c r="A69" s="11" t="s">
        <v>96</v>
      </c>
      <c r="B69" s="124"/>
      <c r="C69" s="125"/>
      <c r="D69" s="11"/>
      <c r="E69" s="11"/>
      <c r="F69" s="11"/>
      <c r="G69" s="11"/>
    </row>
    <row r="70" spans="1:7" x14ac:dyDescent="0.25">
      <c r="A70" s="11" t="s">
        <v>128</v>
      </c>
      <c r="B70" s="124"/>
      <c r="C70" s="125"/>
      <c r="D70" s="18"/>
      <c r="E70" s="18"/>
      <c r="F70" s="18"/>
      <c r="G70" s="18"/>
    </row>
    <row r="71" spans="1:7" x14ac:dyDescent="0.25">
      <c r="A71" s="15" t="s">
        <v>129</v>
      </c>
      <c r="B71" s="122"/>
      <c r="C71" s="123"/>
      <c r="D71" s="15"/>
      <c r="E71" s="15"/>
      <c r="F71" s="15"/>
      <c r="G71" s="15"/>
    </row>
    <row r="73" spans="1:7" x14ac:dyDescent="0.25">
      <c r="A73" s="3" t="s">
        <v>135</v>
      </c>
    </row>
    <row r="74" spans="1:7" x14ac:dyDescent="0.25">
      <c r="A74" s="15" t="s">
        <v>1</v>
      </c>
      <c r="B74" s="5" t="s">
        <v>104</v>
      </c>
      <c r="C74" s="5" t="s">
        <v>105</v>
      </c>
      <c r="D74" s="5" t="s">
        <v>106</v>
      </c>
    </row>
    <row r="75" spans="1:7" x14ac:dyDescent="0.25">
      <c r="A75" s="9" t="s">
        <v>136</v>
      </c>
      <c r="B75" s="18"/>
      <c r="C75" s="18"/>
      <c r="D75" s="18"/>
    </row>
    <row r="76" spans="1:7" x14ac:dyDescent="0.25">
      <c r="A76" s="9" t="s">
        <v>137</v>
      </c>
      <c r="B76" s="18"/>
      <c r="C76" s="18"/>
      <c r="D76" s="18"/>
    </row>
    <row r="77" spans="1:7" x14ac:dyDescent="0.25">
      <c r="A77" s="9" t="s">
        <v>138</v>
      </c>
      <c r="B77" s="18"/>
      <c r="C77" s="18"/>
      <c r="D77" s="18"/>
    </row>
    <row r="78" spans="1:7" x14ac:dyDescent="0.25">
      <c r="A78" s="15" t="s">
        <v>0</v>
      </c>
      <c r="B78" s="55"/>
      <c r="C78" s="55"/>
      <c r="D78" s="55"/>
      <c r="E78" s="13"/>
    </row>
    <row r="79" spans="1:7" x14ac:dyDescent="0.25">
      <c r="A79" s="8" t="s">
        <v>139</v>
      </c>
      <c r="B79" s="9"/>
      <c r="C79" s="9"/>
      <c r="D79" s="9"/>
      <c r="E79" s="13"/>
    </row>
    <row r="80" spans="1:7" x14ac:dyDescent="0.25">
      <c r="A80" s="3" t="s">
        <v>140</v>
      </c>
    </row>
    <row r="81" spans="1:4" x14ac:dyDescent="0.25">
      <c r="A81" s="15" t="s">
        <v>1</v>
      </c>
      <c r="B81" s="5" t="s">
        <v>104</v>
      </c>
      <c r="C81" s="5" t="s">
        <v>105</v>
      </c>
      <c r="D81" s="5" t="s">
        <v>106</v>
      </c>
    </row>
    <row r="82" spans="1:4" x14ac:dyDescent="0.25">
      <c r="A82" s="9" t="s">
        <v>136</v>
      </c>
      <c r="B82" s="18"/>
      <c r="C82" s="18"/>
      <c r="D82" s="18"/>
    </row>
    <row r="83" spans="1:4" x14ac:dyDescent="0.25">
      <c r="A83" s="9" t="s">
        <v>137</v>
      </c>
      <c r="B83" s="18"/>
      <c r="C83" s="18"/>
      <c r="D83" s="18"/>
    </row>
    <row r="84" spans="1:4" x14ac:dyDescent="0.25">
      <c r="A84" s="9" t="s">
        <v>138</v>
      </c>
      <c r="B84" s="18"/>
      <c r="C84" s="18"/>
      <c r="D84" s="18"/>
    </row>
    <row r="85" spans="1:4" x14ac:dyDescent="0.25">
      <c r="A85" s="15" t="s">
        <v>0</v>
      </c>
      <c r="B85" s="55"/>
      <c r="C85" s="55"/>
      <c r="D85" s="55"/>
    </row>
  </sheetData>
  <mergeCells count="35">
    <mergeCell ref="B32:C32"/>
    <mergeCell ref="C25:D25"/>
    <mergeCell ref="C26:D26"/>
    <mergeCell ref="C27:D27"/>
    <mergeCell ref="C28:D28"/>
    <mergeCell ref="C29:D29"/>
    <mergeCell ref="B48:C48"/>
    <mergeCell ref="B33:C33"/>
    <mergeCell ref="B34:C34"/>
    <mergeCell ref="B35:C35"/>
    <mergeCell ref="B36:C36"/>
    <mergeCell ref="B37:C37"/>
    <mergeCell ref="B40:C40"/>
    <mergeCell ref="B41:C41"/>
    <mergeCell ref="B42:C42"/>
    <mergeCell ref="B43:C43"/>
    <mergeCell ref="B44:C44"/>
    <mergeCell ref="B45:C45"/>
    <mergeCell ref="B64:C64"/>
    <mergeCell ref="B49:C49"/>
    <mergeCell ref="B50:C50"/>
    <mergeCell ref="B51:C51"/>
    <mergeCell ref="B54:C54"/>
    <mergeCell ref="B55:C55"/>
    <mergeCell ref="B56:C56"/>
    <mergeCell ref="B57:C57"/>
    <mergeCell ref="B60:C60"/>
    <mergeCell ref="B61:C61"/>
    <mergeCell ref="B62:C62"/>
    <mergeCell ref="B63:C63"/>
    <mergeCell ref="B67:C67"/>
    <mergeCell ref="B68:C68"/>
    <mergeCell ref="B69:C69"/>
    <mergeCell ref="B70:C70"/>
    <mergeCell ref="B71:C7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APUNTES</vt:lpstr>
      <vt:lpstr>P01</vt:lpstr>
      <vt:lpstr>P02</vt:lpstr>
      <vt:lpstr>P03</vt:lpstr>
      <vt:lpstr>P04</vt:lpstr>
      <vt:lpstr>P05</vt:lpstr>
      <vt:lpstr>P06</vt:lpstr>
      <vt:lpstr>P07</vt:lpstr>
      <vt:lpstr>P08</vt:lpstr>
      <vt:lpstr>P09</vt:lpstr>
      <vt:lpstr>P10</vt:lpstr>
      <vt:lpstr>P11 P01</vt:lpstr>
      <vt:lpstr>P11 P02</vt:lpstr>
      <vt:lpstr>P11 P03</vt:lpstr>
      <vt:lpstr>P12</vt:lpstr>
      <vt:lpstr>P13</vt:lpstr>
      <vt:lpstr>P14</vt:lpstr>
      <vt:lpstr>P15</vt:lpstr>
      <vt:lpstr>P16</vt:lpstr>
      <vt:lpstr>P17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Oria</dc:creator>
  <cp:lastModifiedBy>William Oria</cp:lastModifiedBy>
  <dcterms:created xsi:type="dcterms:W3CDTF">2020-06-08T14:09:21Z</dcterms:created>
  <dcterms:modified xsi:type="dcterms:W3CDTF">2025-10-07T03:08:05Z</dcterms:modified>
</cp:coreProperties>
</file>