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FIIS UNI 2025 01\GE605U 2025 01\Semana 01\"/>
    </mc:Choice>
  </mc:AlternateContent>
  <xr:revisionPtr revIDLastSave="0" documentId="13_ncr:1_{951731D9-7D41-4BD2-9246-201532F817C2}" xr6:coauthVersionLast="47" xr6:coauthVersionMax="47" xr10:uidLastSave="{00000000-0000-0000-0000-000000000000}"/>
  <bookViews>
    <workbookView xWindow="-108" yWindow="-108" windowWidth="23256" windowHeight="12456" xr2:uid="{00000000-000D-0000-FFFF-FFFF00000000}"/>
  </bookViews>
  <sheets>
    <sheet name="P01" sheetId="2" r:id="rId1"/>
    <sheet name="P02" sheetId="3" r:id="rId2"/>
    <sheet name="P03" sheetId="4" r:id="rId3"/>
    <sheet name="P04" sheetId="5" r:id="rId4"/>
    <sheet name="P05" sheetId="6" r:id="rId5"/>
    <sheet name="P06" sheetId="9" r:id="rId6"/>
    <sheet name="P07" sheetId="10" r:id="rId7"/>
    <sheet name="P08" sheetId="11" r:id="rId8"/>
    <sheet name="P09" sheetId="12" r:id="rId9"/>
    <sheet name="P10" sheetId="13" r:id="rId10"/>
    <sheet name="P11" sheetId="14" r:id="rId11"/>
    <sheet name="P12" sheetId="20" r:id="rId12"/>
    <sheet name="P13" sheetId="21" r:id="rId13"/>
    <sheet name="P14" sheetId="22" r:id="rId14"/>
    <sheet name="P15" sheetId="23" r:id="rId15"/>
    <sheet name="P16" sheetId="24" r:id="rId16"/>
    <sheet name="P17" sheetId="25" r:id="rId17"/>
    <sheet name="CC 01" sheetId="26" r:id="rId18"/>
    <sheet name="Layaout" sheetId="27" r:id="rId19"/>
    <sheet name="Areas" sheetId="28" r:id="rId20"/>
    <sheet name="CC 02" sheetId="29" r:id="rId21"/>
    <sheet name="CC 03" sheetId="30" r:id="rId22"/>
  </sheets>
  <externalReferences>
    <externalReference r:id="rId23"/>
    <externalReference r:id="rId24"/>
    <externalReference r:id="rId25"/>
  </externalReferences>
  <definedNames>
    <definedName name="Abr">'[1]Ind. Asociados'!#REF!</definedName>
    <definedName name="anscount" hidden="1">2</definedName>
    <definedName name="COSTO_CAPITAL">#REF!</definedName>
    <definedName name="CPPC">#REF!</definedName>
    <definedName name="Cuota_mercado">[2]Sensibilidad!$B$4</definedName>
    <definedName name="Dic">'[1]Ind. Asociados'!#REF!</definedName>
    <definedName name="Ene">'[1]Ind. Asociados'!#REF!</definedName>
    <definedName name="EVA">#REF!</definedName>
    <definedName name="Feb">'[1]Ind. Asociados'!#REF!</definedName>
    <definedName name="Financiamiento__Colocación">'[1]Ind. Asociados'!#REF!</definedName>
    <definedName name="Flujo_neto">'[1]Ind. Asociados'!#REF!</definedName>
    <definedName name="FlujoAbr">[1]PresCaja!$H$55</definedName>
    <definedName name="FlujoAgo">[1]PresCaja!$L$55</definedName>
    <definedName name="FlujoDic">[1]PresCaja!$P$55</definedName>
    <definedName name="FlujoEne">[1]PresCaja!$E$55</definedName>
    <definedName name="FlujoFeb">[1]PresCaja!$F$55</definedName>
    <definedName name="FlujoJul">[1]PresCaja!$K$55</definedName>
    <definedName name="FlujoJun">[1]PresCaja!$J$55</definedName>
    <definedName name="FlujoMar">[1]PresCaja!$G$55</definedName>
    <definedName name="FlujoMay">[1]PresCaja!$I$55</definedName>
    <definedName name="FlujoNov">[1]PresCaja!$O$55</definedName>
    <definedName name="FlujoOct">[1]PresCaja!$N$55</definedName>
    <definedName name="FlujoSep">[1]PresCaja!$M$55</definedName>
    <definedName name="HTML_CodePage" hidden="1">1252</definedName>
    <definedName name="HTML_Control" localSheetId="17" hidden="1">{"'Sheet1'!$A$1:$G$85"}</definedName>
    <definedName name="HTML_Control" localSheetId="15" hidden="1">{"'Sheet1'!$A$1:$G$85"}</definedName>
    <definedName name="HTML_Control" localSheetId="16" hidden="1">{"'Sheet1'!$A$1:$G$85"}</definedName>
    <definedName name="HTML_Control" hidden="1">{"'Sheet1'!$A$1:$G$85"}</definedName>
    <definedName name="HTML_Description" hidden="1">""</definedName>
    <definedName name="HTML_Email" hidden="1">""</definedName>
    <definedName name="HTML_Header" hidden="1">"Sheet1"</definedName>
    <definedName name="HTML_LastUpdate" hidden="1">"2/24/99"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HD:HomePageStuff:New_Home_Page:datafile:histret.html"</definedName>
    <definedName name="HTML_Title" hidden="1">"Historical Returns on Stocks, Bonds and Bills"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 name="Jun">'[1]Ind. Asociados'!#REF!</definedName>
    <definedName name="limcount" hidden="1">7</definedName>
    <definedName name="Mar">'[1]Ind. Asociados'!#REF!</definedName>
    <definedName name="Master_Centros">#REF!</definedName>
    <definedName name="May">'[1]Ind. Asociados'!#REF!</definedName>
    <definedName name="MiSerie">[1]DistribFrecuenciasSolución!$A$3:$A$43</definedName>
    <definedName name="NOPAT">#REF!</definedName>
    <definedName name="Otraserie">[1]DistribFrecuenciasSolución!$A$4:$A$43</definedName>
    <definedName name="PATRIMONIO_TOTAL">#REF!</definedName>
    <definedName name="PVAbr">[1]PresCaja!$H$27</definedName>
    <definedName name="PVAgo">[1]PresCaja!$L$27</definedName>
    <definedName name="PVDic">[1]PresCaja!$P$27</definedName>
    <definedName name="PVEne">[1]PresCaja!$E$27</definedName>
    <definedName name="PVFeb">[1]PresCaja!$F$27</definedName>
    <definedName name="PVJul">[1]PresCaja!$K$27</definedName>
    <definedName name="PVJun">[1]PresCaja!$J$27</definedName>
    <definedName name="PVMar">[1]PresCaja!$G$27</definedName>
    <definedName name="PVMay">[1]PresCaja!$I$27</definedName>
    <definedName name="PVNov">[1]PresCaja!$O$27</definedName>
    <definedName name="PVOct">[1]PresCaja!$N$27</definedName>
    <definedName name="PVSep">[1]PresCaja!$M$27</definedName>
    <definedName name="Saldo_de_Bancos_después_de_Fin_Col">'[1]Ind. Asociados'!#REF!</definedName>
    <definedName name="Saldo_de_Caja_después_de_Fin_Col">'[1]Ind. Asociados'!#REF!</definedName>
    <definedName name="Saldo_de_Caja_y_Bancos">'[1]Ind. Asociados'!#REF!</definedName>
    <definedName name="SaldoAbr">[1]PresCaja!$H$56</definedName>
    <definedName name="SaldoAgo">[1]PresCaja!$L$56</definedName>
    <definedName name="SaldoDic">[1]PresCaja!$P$56</definedName>
    <definedName name="SaldoEne">[1]PresCaja!$E$56</definedName>
    <definedName name="SaldoFeb">[1]PresCaja!$F$56</definedName>
    <definedName name="SaldoJul">[1]PresCaja!$K$56</definedName>
    <definedName name="SaldoJun">[1]PresCaja!$J$56</definedName>
    <definedName name="SaldoMar">[1]PresCaja!$G$56</definedName>
    <definedName name="SaldoMay">[1]PresCaja!$I$56</definedName>
    <definedName name="SaldoNov">[1]PresCaja!$O$56</definedName>
    <definedName name="SaldoOct">[1]PresCaja!$N$56</definedName>
    <definedName name="SaldoSep">[1]PresCaja!$M$56</definedName>
    <definedName name="sencount" hidden="1">18</definedName>
    <definedName name="Tamaño_mercado">[2]Sensibilidad!$B$3</definedName>
    <definedName name="Tipo_X">'[3]Modelo Formal'!$B$23:$B$24,'[3]Modelo Formal'!$E$23:$E$24</definedName>
    <definedName name="VentasAbr">[1]PresCaja!$H$26</definedName>
    <definedName name="VentasAgo">[1]PresCaja!$L$26</definedName>
    <definedName name="VentasDic">[1]PresCaja!$P$26</definedName>
    <definedName name="VentasEne">[1]PresCaja!$E$26</definedName>
    <definedName name="VentasFeb">[1]PresCaja!$F$26</definedName>
    <definedName name="VentasJul">[1]PresCaja!$K$26</definedName>
    <definedName name="VentasJun">[1]PresCaja!$J$26</definedName>
    <definedName name="VentasMar">[1]PresCaja!$G$26</definedName>
    <definedName name="VentasMay">[1]PresCaja!$I$26</definedName>
    <definedName name="VentasNov">[1]PresCaja!$O$26</definedName>
    <definedName name="VentasOct">[1]PresCaja!$N$26</definedName>
    <definedName name="VentasSep">[1]PresCaja!$M$26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7" i="24" l="1"/>
  <c r="J58" i="24" s="1"/>
  <c r="C53" i="24"/>
  <c r="J59" i="24" l="1"/>
  <c r="J60" i="24" s="1"/>
  <c r="C54" i="24"/>
  <c r="C55" i="24" l="1"/>
  <c r="D54" i="24"/>
  <c r="F54" i="24" l="1"/>
  <c r="F55" i="24"/>
  <c r="F63" i="24" s="1"/>
  <c r="F64" i="24" s="1"/>
  <c r="D55" i="24"/>
  <c r="F65" i="24" l="1"/>
  <c r="F66" i="24" s="1"/>
  <c r="G54" i="24"/>
  <c r="G55" i="24"/>
  <c r="G69" i="24" s="1"/>
  <c r="G70" i="24" s="1"/>
  <c r="G71" i="24" s="1"/>
  <c r="H54" i="24" l="1"/>
  <c r="H55" i="24" s="1"/>
</calcChain>
</file>

<file path=xl/sharedStrings.xml><?xml version="1.0" encoding="utf-8"?>
<sst xmlns="http://schemas.openxmlformats.org/spreadsheetml/2006/main" count="1006" uniqueCount="564">
  <si>
    <t>PREGUNTA 01:</t>
  </si>
  <si>
    <t>PREGUNTA 02:</t>
  </si>
  <si>
    <t>PREGUNTA 03:</t>
  </si>
  <si>
    <t>PREGUNTA 04:</t>
  </si>
  <si>
    <t>PREGUNTA 05:</t>
  </si>
  <si>
    <t>PREGUNTA 06:</t>
  </si>
  <si>
    <t>PREGUNTA 07:</t>
  </si>
  <si>
    <t>PREGUNTA 08:</t>
  </si>
  <si>
    <t>PREGUNTA 09:</t>
  </si>
  <si>
    <t>PREGUNTA 10:</t>
  </si>
  <si>
    <t>PREGUNTA 11:</t>
  </si>
  <si>
    <t>Indicar cuál de los conceptos es Activo (A), Pasivo (P), Patrimonio (T)</t>
  </si>
  <si>
    <t>Concepto</t>
  </si>
  <si>
    <t>A</t>
  </si>
  <si>
    <t>P</t>
  </si>
  <si>
    <t>T</t>
  </si>
  <si>
    <t>Repuestos comprados guardados en el almacen</t>
  </si>
  <si>
    <t>Compra a crédito de uniforme del operario de mantenimiento</t>
  </si>
  <si>
    <t>Utilidades retenidas</t>
  </si>
  <si>
    <t>Valor de maquinaria de producción</t>
  </si>
  <si>
    <t>Combustible almacenado</t>
  </si>
  <si>
    <t>Deuda de CTS a los trabajadores de mantenimiento</t>
  </si>
  <si>
    <t>Impuesto a la renta por pagar</t>
  </si>
  <si>
    <t>Cuenta corriente de la empresa activa en el Banco de Crédito</t>
  </si>
  <si>
    <t>Deuda de un cliente</t>
  </si>
  <si>
    <t>Valor de los equipos de oficina</t>
  </si>
  <si>
    <t>Valor de las computadoras área mantenimiento</t>
  </si>
  <si>
    <t>Compra a crédito de trapo industrial para mantenimiento</t>
  </si>
  <si>
    <t>Valor del montacarga propiedad de la empresa</t>
  </si>
  <si>
    <t>Repuestos recibidos en calidad de muestra</t>
  </si>
  <si>
    <t>Valor de las herramientas utilizadas en el mantenimiento</t>
  </si>
  <si>
    <t>Deuda por un servicio de mantenimiento externo</t>
  </si>
  <si>
    <t>Seguro pendiente de pago de las instalaciones de la empresa</t>
  </si>
  <si>
    <t>No</t>
  </si>
  <si>
    <t>Pago de alquiler de equipo de calibración de equipos</t>
  </si>
  <si>
    <t>Pintura para los tanques de almacenamiento de petroleo</t>
  </si>
  <si>
    <t>Equipo de pruebas de torsión adquirido año pasado</t>
  </si>
  <si>
    <t>Sistema electrónico de evaluación de fallas de máquina</t>
  </si>
  <si>
    <t>Equipos de mantenimiento alquilados a afiliadas</t>
  </si>
  <si>
    <t>Depreciación de equipos usados en el mantenimiento</t>
  </si>
  <si>
    <t>Consumo de repuestos en mantenimiento de torres</t>
  </si>
  <si>
    <t>Servicio por pagar por calibración de máquina alquilada</t>
  </si>
  <si>
    <t xml:space="preserve">Equipos de radio comunicación de los supervisores </t>
  </si>
  <si>
    <t>CTS por pagar al personal de mantenimiento electrico</t>
  </si>
  <si>
    <t>Materiales de utiles de oficina usado en administración</t>
  </si>
  <si>
    <t>Material de limpieza por consumir en el mantenimiento</t>
  </si>
  <si>
    <t>Utilidades Retenidas de años anteriores</t>
  </si>
  <si>
    <t>Vacaciones por pagar al personal de mantenimiento</t>
  </si>
  <si>
    <t>Equipos de protección personal pendiente de pago</t>
  </si>
  <si>
    <t>Intereses pendientes de pago por Leasing de Maquinaria</t>
  </si>
  <si>
    <t>Materiales comprados guardados en el almacen</t>
  </si>
  <si>
    <t>Compra a crédito de utiles de oficina</t>
  </si>
  <si>
    <t>Utilidades retenidas por distribuir</t>
  </si>
  <si>
    <t>Valor de computadoras en el area de contabilidad</t>
  </si>
  <si>
    <t>Combustible recibido de los clientes</t>
  </si>
  <si>
    <t>Deuda al accionista</t>
  </si>
  <si>
    <t>Impuesto a la renta recuperado</t>
  </si>
  <si>
    <t>Capital social</t>
  </si>
  <si>
    <t>Aporte de accionistas por préstamo</t>
  </si>
  <si>
    <t>Deuda a accionistas de dividendos por repartir</t>
  </si>
  <si>
    <t>Cuenta corriente con valor cero en el Banco Interbank</t>
  </si>
  <si>
    <t>Deuda a los bancos</t>
  </si>
  <si>
    <t>Valor de los equipos de producción</t>
  </si>
  <si>
    <t>Valor de las computadoras área de finanzas</t>
  </si>
  <si>
    <t>Compra a crédito de trapo industrial para limpieza</t>
  </si>
  <si>
    <t>Valor del equipo de desinfección de planta</t>
  </si>
  <si>
    <t>Matariales de limpieza custodiados en el almacén</t>
  </si>
  <si>
    <t>Valor de las herramientas utilizadas en la reparación de equipos</t>
  </si>
  <si>
    <t>Deuda por un servicio de fumigación</t>
  </si>
  <si>
    <t>Seguro no pagado a Interbank Seguros</t>
  </si>
  <si>
    <t>G</t>
  </si>
  <si>
    <t>Pago por servicio de terceros</t>
  </si>
  <si>
    <t>Servicio de arenado en una empresa metal mecánica</t>
  </si>
  <si>
    <t>Aceite de máquinas de producción</t>
  </si>
  <si>
    <t>Lapices usado en administración</t>
  </si>
  <si>
    <t>Consultoría para certificación ISO</t>
  </si>
  <si>
    <t>Seguros pagados por adelantado</t>
  </si>
  <si>
    <t>Alquileres devengados</t>
  </si>
  <si>
    <t>Contingencia tributaria</t>
  </si>
  <si>
    <t>Alquiler de almacenes para productos terminados</t>
  </si>
  <si>
    <t>Sueldo del vigilante</t>
  </si>
  <si>
    <t>Practicantes en oficinas administrativas</t>
  </si>
  <si>
    <t>Pago de cuota de leasing</t>
  </si>
  <si>
    <t>Sobrantes de inventarios</t>
  </si>
  <si>
    <t>Comisiones bancarias</t>
  </si>
  <si>
    <t>Intereses bancarios</t>
  </si>
  <si>
    <t>C</t>
  </si>
  <si>
    <t>Marcar con una "X" en donde corresponda: C: Costo; G: Gasto</t>
  </si>
  <si>
    <t>Conceptos</t>
  </si>
  <si>
    <t>Salario de operario de equipo de fábrica</t>
  </si>
  <si>
    <t>Depreciación de equipo de producción</t>
  </si>
  <si>
    <t>Seguro vehículo de gerencia general</t>
  </si>
  <si>
    <t>Suministro usado en ventas</t>
  </si>
  <si>
    <t>Partes usadas en ensamble del producto</t>
  </si>
  <si>
    <t>Combustible vehículo de ventas</t>
  </si>
  <si>
    <t>Alquiler oficinas de administración</t>
  </si>
  <si>
    <t>Servicios públicos de toda la empresa</t>
  </si>
  <si>
    <t>En una empresa de produccion de quimicos. C: costo; G: gasto</t>
  </si>
  <si>
    <t>Comisiones de vendedores</t>
  </si>
  <si>
    <t>Depreciación de edificio de la fábrica</t>
  </si>
  <si>
    <t>Mano de obra directa</t>
  </si>
  <si>
    <t>Alquiler de equipo de producción</t>
  </si>
  <si>
    <t>Impuesto predial de planta</t>
  </si>
  <si>
    <t>Materiales indirectos</t>
  </si>
  <si>
    <t>Servicios públicos de edificio de fábrica</t>
  </si>
  <si>
    <t>Materiales directos</t>
  </si>
  <si>
    <t>Sueldo del gerente general</t>
  </si>
  <si>
    <t>Seguro incendio edificio de producción</t>
  </si>
  <si>
    <t>Empresa Petroquímica. C: costo; G: gasto</t>
  </si>
  <si>
    <t>Alquiler del edificio de la fábrica</t>
  </si>
  <si>
    <t>Salario del jefe de almacén de insumos</t>
  </si>
  <si>
    <t>Lubricantes que consume la planta</t>
  </si>
  <si>
    <t>Salarios operarios equipo de planta</t>
  </si>
  <si>
    <t>Seguro contra roba del equipo de fábrica</t>
  </si>
  <si>
    <t>Depreciación del equipo de fábrica</t>
  </si>
  <si>
    <t>Empresa de producción de Envases de Cartón: C: costo, G: gasto</t>
  </si>
  <si>
    <t>Centro Hospitalario</t>
  </si>
  <si>
    <t>Mantenimiento de la infraestructura</t>
  </si>
  <si>
    <t>Edificios</t>
  </si>
  <si>
    <t>Instalaciones físicas</t>
  </si>
  <si>
    <t>Redes electricas</t>
  </si>
  <si>
    <t>Sistemas de comunicación</t>
  </si>
  <si>
    <t>Mantenimiento de la dotación</t>
  </si>
  <si>
    <t>El equipo industrial de uso hospitalario</t>
  </si>
  <si>
    <t>Plantas eléctricas</t>
  </si>
  <si>
    <t>Equipos de lavanderia y cocina</t>
  </si>
  <si>
    <t>Calderas</t>
  </si>
  <si>
    <t>Bombas de agua</t>
  </si>
  <si>
    <t>Autoclaves y equipos de esterilización</t>
  </si>
  <si>
    <t>Equipos de refrigeración y aire acondicionado</t>
  </si>
  <si>
    <t>Equipos relacionados con servicio de apoyo hospitalario</t>
  </si>
  <si>
    <t>Equipos de seguridad</t>
  </si>
  <si>
    <t>Equipo biomédico</t>
  </si>
  <si>
    <t>Muebles de uso administrativo</t>
  </si>
  <si>
    <t>Equipos de informática</t>
  </si>
  <si>
    <t>Central telefónica</t>
  </si>
  <si>
    <t>Sistemas informáticos</t>
  </si>
  <si>
    <t>Equipos de radiocomunicaciones</t>
  </si>
  <si>
    <t xml:space="preserve">Objeto de Costo: Mantenimiento </t>
  </si>
  <si>
    <t>Empresas en general</t>
  </si>
  <si>
    <t>Especialidades de Mantenimiento</t>
  </si>
  <si>
    <t>Especialidad</t>
  </si>
  <si>
    <t>Sub especialidad</t>
  </si>
  <si>
    <t>Mecanica</t>
  </si>
  <si>
    <t>Máquinas herramientas</t>
  </si>
  <si>
    <t>Montador</t>
  </si>
  <si>
    <t>Ajustador</t>
  </si>
  <si>
    <t>Calderero</t>
  </si>
  <si>
    <t>Soldador</t>
  </si>
  <si>
    <t>Tubero</t>
  </si>
  <si>
    <t>Calorifugador</t>
  </si>
  <si>
    <t>Carpintero</t>
  </si>
  <si>
    <t>Especialista hidráulico</t>
  </si>
  <si>
    <t>Especialista neumático</t>
  </si>
  <si>
    <t>Eléctrica</t>
  </si>
  <si>
    <t>Alta tensión</t>
  </si>
  <si>
    <t>Baja tensión</t>
  </si>
  <si>
    <t>Bobinados</t>
  </si>
  <si>
    <t>Tablero</t>
  </si>
  <si>
    <t>Instrumentista</t>
  </si>
  <si>
    <t>Electrónico</t>
  </si>
  <si>
    <t>Neumático</t>
  </si>
  <si>
    <t>Informático</t>
  </si>
  <si>
    <t>Varias</t>
  </si>
  <si>
    <t>Grúas</t>
  </si>
  <si>
    <t>Movimiento de materiales</t>
  </si>
  <si>
    <t>Pintor</t>
  </si>
  <si>
    <t>Engrasador</t>
  </si>
  <si>
    <t>Limpieza</t>
  </si>
  <si>
    <t>Pescado Sardina</t>
  </si>
  <si>
    <t>Aceite Vegetal</t>
  </si>
  <si>
    <t>Pasta de tomate</t>
  </si>
  <si>
    <t>Pimienta</t>
  </si>
  <si>
    <t>Sal Yodada</t>
  </si>
  <si>
    <t>Sal Granulada</t>
  </si>
  <si>
    <t>Antioxidante</t>
  </si>
  <si>
    <t>Envases metálicos</t>
  </si>
  <si>
    <t>Cajas de cartón</t>
  </si>
  <si>
    <t>Etiquetas</t>
  </si>
  <si>
    <t>Sacos de Polipropileno</t>
  </si>
  <si>
    <t>Conos de hilo</t>
  </si>
  <si>
    <t>Sueldos empleados administrativos</t>
  </si>
  <si>
    <t>Sueldo empleados de planta</t>
  </si>
  <si>
    <t>Leyes sociales de obreros</t>
  </si>
  <si>
    <t>CTS Obreros</t>
  </si>
  <si>
    <t>CTS Empleados del área comercial</t>
  </si>
  <si>
    <t>Producción encargada a terceros</t>
  </si>
  <si>
    <t>Petróleo Diesel</t>
  </si>
  <si>
    <t>Aceites</t>
  </si>
  <si>
    <t>Grasas</t>
  </si>
  <si>
    <t>Aditivos</t>
  </si>
  <si>
    <t>Gasolina</t>
  </si>
  <si>
    <t>Gas</t>
  </si>
  <si>
    <t>Rodajes</t>
  </si>
  <si>
    <t>Retenes</t>
  </si>
  <si>
    <t>Piñones</t>
  </si>
  <si>
    <t>Bujias</t>
  </si>
  <si>
    <t>Chumaceras</t>
  </si>
  <si>
    <t>Fajas</t>
  </si>
  <si>
    <t>Filtros</t>
  </si>
  <si>
    <t>Sello mecánico</t>
  </si>
  <si>
    <t>O´ring</t>
  </si>
  <si>
    <t>Alambre forrado</t>
  </si>
  <si>
    <t>Cable vulcanizado</t>
  </si>
  <si>
    <t>Enchufes</t>
  </si>
  <si>
    <t>Tomacorrientes</t>
  </si>
  <si>
    <t>Fluorescentes</t>
  </si>
  <si>
    <t>Conectores</t>
  </si>
  <si>
    <t>Interruptores</t>
  </si>
  <si>
    <t>Transformadores</t>
  </si>
  <si>
    <t>Relay´s</t>
  </si>
  <si>
    <t>Acido sulfúrico</t>
  </si>
  <si>
    <t>Acido Bórico</t>
  </si>
  <si>
    <t>Amoniaco</t>
  </si>
  <si>
    <t>Fáster</t>
  </si>
  <si>
    <t>Archivadores</t>
  </si>
  <si>
    <t>Boligrafos</t>
  </si>
  <si>
    <t>Grapas</t>
  </si>
  <si>
    <t>Cintas maskintape</t>
  </si>
  <si>
    <t>Cuadernos</t>
  </si>
  <si>
    <t>Pegafán</t>
  </si>
  <si>
    <t>Abrasivos</t>
  </si>
  <si>
    <t>Cables, cadenas, sogas</t>
  </si>
  <si>
    <t>Cerrajería</t>
  </si>
  <si>
    <t>Planchas</t>
  </si>
  <si>
    <t>Soldaduras</t>
  </si>
  <si>
    <t>Material de gasfitería</t>
  </si>
  <si>
    <t>Disolventes</t>
  </si>
  <si>
    <t>Sueldo de Gerente de Fábrica</t>
  </si>
  <si>
    <t>Transporte terrestre</t>
  </si>
  <si>
    <t>Correo y telecomunicaciones</t>
  </si>
  <si>
    <t>Internet</t>
  </si>
  <si>
    <t>Honorarios profesionales</t>
  </si>
  <si>
    <t>Mantenimiento y reparación</t>
  </si>
  <si>
    <t>Alquileres</t>
  </si>
  <si>
    <t>Electricidad y agua</t>
  </si>
  <si>
    <t>Publicaciones</t>
  </si>
  <si>
    <t>Vigilancia</t>
  </si>
  <si>
    <t>Seguros</t>
  </si>
  <si>
    <t>Suscripciones de revistas y periodicos</t>
  </si>
  <si>
    <t>Depreciación de equipos de fábrica</t>
  </si>
  <si>
    <t>Impuestos</t>
  </si>
  <si>
    <t>Depreciación de equipos administrativos</t>
  </si>
  <si>
    <t>Indicar si el concepto es: Costo ( C) o Gasto (G)</t>
  </si>
  <si>
    <t>PREGUNTA 12:</t>
  </si>
  <si>
    <t>1) Según la SUNAT el valor del IGV para el 2018 fue:</t>
  </si>
  <si>
    <t>a) 17%</t>
  </si>
  <si>
    <t>b) 28%</t>
  </si>
  <si>
    <t>c) 30%</t>
  </si>
  <si>
    <t>d) 18%</t>
  </si>
  <si>
    <t>e) NA</t>
  </si>
  <si>
    <t>Respuesta</t>
  </si>
  <si>
    <t>2) Es uno de los datos más importantes que genera la contabilidad</t>
  </si>
  <si>
    <t>Marcar con una "X" cuál es la respuesta correcta:</t>
  </si>
  <si>
    <t>a) La utilidad del negocio</t>
  </si>
  <si>
    <t>b) La cuantificación de los ingresos y egresos</t>
  </si>
  <si>
    <t>c) Las pérdidas del negocio</t>
  </si>
  <si>
    <t>d) La cuantificación de los beneficios netos</t>
  </si>
  <si>
    <t>e) La cuantificación del activo, pasivo y capital</t>
  </si>
  <si>
    <t>3) La contabilidad financiera sirve para:</t>
  </si>
  <si>
    <t>a) Dar cumplimiento a las obligaciones tributarias</t>
  </si>
  <si>
    <t>b) Facilitar la planeación y control</t>
  </si>
  <si>
    <t>c) Expresar en términos cualitativos las transacciones económicas y financieras de una empresa</t>
  </si>
  <si>
    <t>d) La toma de decisiones de los usuarios internos de la empresa</t>
  </si>
  <si>
    <t>e) Solo "c" y "d"</t>
  </si>
  <si>
    <t>4) Responder cuál es verdadero (V) o falso (F)</t>
  </si>
  <si>
    <t>a) Las organizaciones no lucrativas no pueden obtener utilidades</t>
  </si>
  <si>
    <t>b) Las empresas manufactureras o de transformación tienen como actividad principal la prestación de los servicios, la producción de bienes o una combinación de ellas</t>
  </si>
  <si>
    <t>c) Para constituir una empresa se de pedir autorización a CONASEV</t>
  </si>
  <si>
    <t>d) Los socios de una sociedad anónima deben ser como mínimo 2 socios y aportar un capital social menor de S/ 5,000</t>
  </si>
  <si>
    <t>e) La contabilidad financiera provee información futura con el objeto de planear su actividad futura</t>
  </si>
  <si>
    <t>PREGUNTA 13:</t>
  </si>
  <si>
    <t>PREGUNTA 14:</t>
  </si>
  <si>
    <t>PREGUNTA 15:</t>
  </si>
  <si>
    <t>Señale que principios se está violando en cada una de las siguientes situaciones:</t>
  </si>
  <si>
    <t>1. Un médico mezcla sus registros de contabilidad personales con los de la práctica médica.</t>
  </si>
  <si>
    <t>2. Los gastos se presentan cada vez que el tenedor de libros lo registra, en lugar de hacerlo cuando se devengan los correspondientes ingresos.</t>
  </si>
  <si>
    <t>3. Se rebaja el valor del inventario dañado de una tienda de descuento. El Gerente de la Tienda basa el asiento de rebaja en su propia opinión subjetiva con el fin de minimizar el impuesto a la renta.</t>
  </si>
  <si>
    <t>4. Un Centro de Copias rápidas cambia los métodos de contabilidad cada año con el fin de aclarar el importe máximo posible de utilidad neta, de acuerdo a los principios de contabilidad generalmente aceptados.</t>
  </si>
  <si>
    <t>5. Los propietarios de un hospital privado basan sus registros contables en la suposición de que el hospital tuviera tener que cerrar en cualquier momento. El hospital tiene un largo historial de servicios a la comunidad.</t>
  </si>
  <si>
    <t>1) El materia de propiedad del cliente se considera en la contabiidad como:</t>
  </si>
  <si>
    <t>a) Activo</t>
  </si>
  <si>
    <t>b) Pasivo</t>
  </si>
  <si>
    <t>c) Patrimonio</t>
  </si>
  <si>
    <t>d) Cuenta de orden</t>
  </si>
  <si>
    <t>2) Las provisiones por cobranza dudosa a los clientes se registran en las cuentas de:</t>
  </si>
  <si>
    <t>3) El tipo de cambio venta se usa para la conversión de moneda en las operaciones de:</t>
  </si>
  <si>
    <t>Marcar la mejor respuesta</t>
  </si>
  <si>
    <t>a) Compra</t>
  </si>
  <si>
    <t>b) Venta</t>
  </si>
  <si>
    <t>c) Crédito</t>
  </si>
  <si>
    <t>d) Producción</t>
  </si>
  <si>
    <t>Responder con la mejor respuesta</t>
  </si>
  <si>
    <t xml:space="preserve">1) Cuál de las siguientes afirmaciones está más de acuerdo con el concepto de </t>
  </si>
  <si>
    <t>a) Los contadores registran las partidas importantes pero están en contra de registrar las ganancias importantes</t>
  </si>
  <si>
    <t>b) Diferentes empresas tienen diferentes límites de la importancia relativa, dependiendo del tamaño</t>
  </si>
  <si>
    <t>importancia relativa (SI) o (NO)</t>
  </si>
  <si>
    <t>c) La información de segmentos de negocio se expone para cumplir con el concepto de importancia relativa</t>
  </si>
  <si>
    <t>d) Las empresas presentan toda la información necesaria para comunicar una visión importante de la empresa</t>
  </si>
  <si>
    <t xml:space="preserve">Una empresa lo ha contratado a usted para poder darle a conocer si la empresa está registrando su </t>
  </si>
  <si>
    <t>información contable, en base a la información siguiente indique si lo registrado es correcto e</t>
  </si>
  <si>
    <t>indique que debería ser:</t>
  </si>
  <si>
    <t>a) Registro las ventas con un tipo de cambio venta</t>
  </si>
  <si>
    <t>Correcto</t>
  </si>
  <si>
    <t>Incorrecto</t>
  </si>
  <si>
    <t>Debería ser</t>
  </si>
  <si>
    <t>b) Registro de la compra de materiales en cuentas de pasivo solamente</t>
  </si>
  <si>
    <t>c) El aporte de capital se registra en una cuenta de pasivo</t>
  </si>
  <si>
    <t>d) La adquisición de un vehículo para transporte de distribución de productos vendidos se ha considerado como un gasto de ventas</t>
  </si>
  <si>
    <t>e) Los depósitos bancarios por cobranzas de clientesse registra como una salida de caja</t>
  </si>
  <si>
    <t xml:space="preserve">f) El pago al personal se considerá como un activo </t>
  </si>
  <si>
    <t>g) El valor de consumo de los útiles de limpieza por efecto de prevenir el contagio de COVID se está considerado como un pasivo</t>
  </si>
  <si>
    <t>Capital contable (capital social)</t>
  </si>
  <si>
    <t>Aporte de accionistas (capital social)</t>
  </si>
  <si>
    <t>Deuda a accionistas (prestamo)</t>
  </si>
  <si>
    <t>DETERMINACION DELCOSTO DEL ACTIVO FIJO Y SU DEPRECIACION</t>
  </si>
  <si>
    <t>Descripción del Activo:</t>
  </si>
  <si>
    <t>MAQUINA CORTADORA DE LAMINAS DE ACERO</t>
  </si>
  <si>
    <t>Procedencia:</t>
  </si>
  <si>
    <t>CHINA</t>
  </si>
  <si>
    <t>Valor US$</t>
  </si>
  <si>
    <t>TCV</t>
  </si>
  <si>
    <t>Fecha</t>
  </si>
  <si>
    <t>Valor S/</t>
  </si>
  <si>
    <t xml:space="preserve">Valor FOB US$: </t>
  </si>
  <si>
    <t>Flete US$</t>
  </si>
  <si>
    <t>Seguro US$</t>
  </si>
  <si>
    <t>Gastos aduana S/</t>
  </si>
  <si>
    <t>Ad valorem US$</t>
  </si>
  <si>
    <t>Handling S/</t>
  </si>
  <si>
    <t>Transporte interno S/</t>
  </si>
  <si>
    <t>Costo puesto en fábrica</t>
  </si>
  <si>
    <t>Costo de importación</t>
  </si>
  <si>
    <t>Costo adaptación suelo US$</t>
  </si>
  <si>
    <t>Instalaciones auxiliares S/</t>
  </si>
  <si>
    <t>Instalación de maquinaria US$</t>
  </si>
  <si>
    <t>Asistencia Técnica US$</t>
  </si>
  <si>
    <t>Costos de pruebas y setup S/</t>
  </si>
  <si>
    <t>Costo de instalación</t>
  </si>
  <si>
    <t>COSTO DE ACTIVO FIJO</t>
  </si>
  <si>
    <t>Vida útil contable en años o Tasa</t>
  </si>
  <si>
    <t>DEPRECIACION ANUAL</t>
  </si>
  <si>
    <t>DEPRECIACION MENSUAL</t>
  </si>
  <si>
    <t>VALOR DE ACTIVO</t>
  </si>
  <si>
    <t>VIDA UTIL SEGUL EL FABRICANTE</t>
  </si>
  <si>
    <t>AÑOS</t>
  </si>
  <si>
    <t>VIDA FISICA</t>
  </si>
  <si>
    <t>VIDA UTIL ECONOMICA</t>
  </si>
  <si>
    <t>20 ?</t>
  </si>
  <si>
    <t>EL ACTIVO GENERA UTILIDAD</t>
  </si>
  <si>
    <t>VIDA UTIL CONTABLE</t>
  </si>
  <si>
    <t>Año 1</t>
  </si>
  <si>
    <t>Año 2</t>
  </si>
  <si>
    <t>Año 3</t>
  </si>
  <si>
    <t>Año 4</t>
  </si>
  <si>
    <t>Año 5</t>
  </si>
  <si>
    <t>Año 6</t>
  </si>
  <si>
    <t>Año 7</t>
  </si>
  <si>
    <t>Valor del activo</t>
  </si>
  <si>
    <t>Depreciación anual</t>
  </si>
  <si>
    <t>Valor en libros</t>
  </si>
  <si>
    <t>Ingreso por la venta activo</t>
  </si>
  <si>
    <t>Costo activo año 7</t>
  </si>
  <si>
    <t>Utilidad por la venta activo</t>
  </si>
  <si>
    <t>Valor en libro (t) = valor activo - depreciacion acumulada (t)</t>
  </si>
  <si>
    <t>IR 29.5%</t>
  </si>
  <si>
    <t>Valor en libro es el costo contable del activo en el periodo t</t>
  </si>
  <si>
    <t>Utilidad neta</t>
  </si>
  <si>
    <t>Costo activo año 3</t>
  </si>
  <si>
    <t>Costo activo año 4</t>
  </si>
  <si>
    <t>Perdida por la venta activo</t>
  </si>
  <si>
    <t>Escudo tributario</t>
  </si>
  <si>
    <t>SISTEMA DE MEDICION Y PESAJE DE PALLETS</t>
  </si>
  <si>
    <t>USA</t>
  </si>
  <si>
    <t>Instalaciones auxiliares S/.</t>
  </si>
  <si>
    <t>Gastos bancarios S/</t>
  </si>
  <si>
    <t>Caso 06:</t>
  </si>
  <si>
    <t>DEFINICION DE CENTROS DE COSTOS</t>
  </si>
  <si>
    <t>#id</t>
  </si>
  <si>
    <t>Código</t>
  </si>
  <si>
    <t>Descripción</t>
  </si>
  <si>
    <t>Tipo</t>
  </si>
  <si>
    <t>AD01</t>
  </si>
  <si>
    <t>Dirección General</t>
  </si>
  <si>
    <t>PA01</t>
  </si>
  <si>
    <t>Sub Gerencia Producción</t>
  </si>
  <si>
    <t>AP</t>
  </si>
  <si>
    <t>PA02</t>
  </si>
  <si>
    <t>Sub Gerencia Proyectos</t>
  </si>
  <si>
    <t>PA03</t>
  </si>
  <si>
    <t>Calidad</t>
  </si>
  <si>
    <t>PA04</t>
  </si>
  <si>
    <t>Jefatura Producción</t>
  </si>
  <si>
    <t>PA05</t>
  </si>
  <si>
    <t>Mantenimiento</t>
  </si>
  <si>
    <t>PA06</t>
  </si>
  <si>
    <t>SSOMA</t>
  </si>
  <si>
    <t>AD02</t>
  </si>
  <si>
    <t>Recursos Humanos</t>
  </si>
  <si>
    <t>AD03</t>
  </si>
  <si>
    <t>Tecnologia de Información</t>
  </si>
  <si>
    <t>PA07</t>
  </si>
  <si>
    <t>Logistica</t>
  </si>
  <si>
    <t>VE01</t>
  </si>
  <si>
    <t>Ventas</t>
  </si>
  <si>
    <t>V</t>
  </si>
  <si>
    <t>VE02</t>
  </si>
  <si>
    <t>Almacén Productos Terminados</t>
  </si>
  <si>
    <t>VE03</t>
  </si>
  <si>
    <t>Marketing</t>
  </si>
  <si>
    <t>Almacén Materiales</t>
  </si>
  <si>
    <t>PR01</t>
  </si>
  <si>
    <t>Corte</t>
  </si>
  <si>
    <t>PR</t>
  </si>
  <si>
    <t>PR02</t>
  </si>
  <si>
    <t>Soldadura</t>
  </si>
  <si>
    <t>CASO:</t>
  </si>
  <si>
    <t>CENTROS DE COSTOS</t>
  </si>
  <si>
    <t>DISPOSICION DE LA PLANTA DE PRODUCCION</t>
  </si>
  <si>
    <t>AREAS ADMINISTRATIVAS:</t>
  </si>
  <si>
    <t>CONTABILIDAD</t>
  </si>
  <si>
    <t>SISTEMAS</t>
  </si>
  <si>
    <t>GERENCIA ADMINISTRATIVA FINANCIERA</t>
  </si>
  <si>
    <t>GERENCIA GENERAL</t>
  </si>
  <si>
    <t>AREAS COMERCIALES</t>
  </si>
  <si>
    <t>VENTAS</t>
  </si>
  <si>
    <t>GERENCIA COMERCIAL</t>
  </si>
  <si>
    <t>MARKETING</t>
  </si>
  <si>
    <t>AREAS SEGUN LAYOUT DE PRODUCCION</t>
  </si>
  <si>
    <t>Muestras</t>
  </si>
  <si>
    <t>Produccion</t>
  </si>
  <si>
    <t>Apoyo</t>
  </si>
  <si>
    <t>Control de Calidad</t>
  </si>
  <si>
    <t>Tintoreria Hilos</t>
  </si>
  <si>
    <t>Productivo</t>
  </si>
  <si>
    <t>Tintoreria Telas</t>
  </si>
  <si>
    <t>Enconado</t>
  </si>
  <si>
    <t>Acabados</t>
  </si>
  <si>
    <t>Mercerizado</t>
  </si>
  <si>
    <t>Embalaje</t>
  </si>
  <si>
    <t>Almacen Productos Terminados</t>
  </si>
  <si>
    <t>Comercial</t>
  </si>
  <si>
    <t>Tejeduría</t>
  </si>
  <si>
    <t>Almacen de telas</t>
  </si>
  <si>
    <t>Oficina despacho</t>
  </si>
  <si>
    <t>Gerencia Operaciones</t>
  </si>
  <si>
    <t>Departamento de RRHH</t>
  </si>
  <si>
    <t>Administrativa</t>
  </si>
  <si>
    <t>Planeamiento Producción</t>
  </si>
  <si>
    <t>Desarrollo de Producto</t>
  </si>
  <si>
    <t>Deposito</t>
  </si>
  <si>
    <t xml:space="preserve">Coneras </t>
  </si>
  <si>
    <t>Almacén crudo hilos</t>
  </si>
  <si>
    <t>Contabilidad</t>
  </si>
  <si>
    <t>Administrativo</t>
  </si>
  <si>
    <t>Sistemas</t>
  </si>
  <si>
    <t>Gerencia Administrativa Financiera</t>
  </si>
  <si>
    <t>Gerencia General</t>
  </si>
  <si>
    <t>Gerencia Comercial</t>
  </si>
  <si>
    <t>DEFINICION DE LOS CENTROS DE COSTOS</t>
  </si>
  <si>
    <t>Codigo</t>
  </si>
  <si>
    <t>Area</t>
  </si>
  <si>
    <t>Grupos de Costo</t>
  </si>
  <si>
    <t>Clase de costo (gasto)</t>
  </si>
  <si>
    <t>Elementos de Costos</t>
  </si>
  <si>
    <t>Tipos Costos</t>
  </si>
  <si>
    <t>Cuentas Contable</t>
  </si>
  <si>
    <t>Administracion</t>
  </si>
  <si>
    <t>Remun / controlados / distribuibles</t>
  </si>
  <si>
    <t>Gasto administrativo</t>
  </si>
  <si>
    <t>GA</t>
  </si>
  <si>
    <t>D, I, F, V</t>
  </si>
  <si>
    <t>94…</t>
  </si>
  <si>
    <t>Departamento RRHH</t>
  </si>
  <si>
    <t>Gasto de ventas</t>
  </si>
  <si>
    <t>GV</t>
  </si>
  <si>
    <t>93…</t>
  </si>
  <si>
    <t>Producción - apoyo</t>
  </si>
  <si>
    <t>Costos indirectos</t>
  </si>
  <si>
    <t>CI</t>
  </si>
  <si>
    <t>91…</t>
  </si>
  <si>
    <t>Control de calidad</t>
  </si>
  <si>
    <t>Producción - productivo</t>
  </si>
  <si>
    <t>Costos directos / indirectos</t>
  </si>
  <si>
    <t>CMD, CMOD, CSD, CI</t>
  </si>
  <si>
    <t>90… / 91… / 92…</t>
  </si>
  <si>
    <t>Enconado Hilo teñido</t>
  </si>
  <si>
    <t>Coneras Hilo Crudo</t>
  </si>
  <si>
    <t>Leyenda:</t>
  </si>
  <si>
    <t>94… Gasto Administrativo</t>
  </si>
  <si>
    <t>93… Gastos Comerciales</t>
  </si>
  <si>
    <t>91… Costos indirectos de producción</t>
  </si>
  <si>
    <t>92… Costos directos de producción</t>
  </si>
  <si>
    <t>COD_COMPANIA</t>
  </si>
  <si>
    <t>COD_CENTRO_COSTO</t>
  </si>
  <si>
    <t>Lugar</t>
  </si>
  <si>
    <t>DESCRIPCION_CENTRO_COSTO</t>
  </si>
  <si>
    <t>DESCRIPCION_ABREVIADA</t>
  </si>
  <si>
    <t>GRUPO_CENTRO_COSTO</t>
  </si>
  <si>
    <t>RECURSO_HUMANO</t>
  </si>
  <si>
    <t>SIN CC</t>
  </si>
  <si>
    <t>N</t>
  </si>
  <si>
    <t>Huachipa</t>
  </si>
  <si>
    <t>GER GEN</t>
  </si>
  <si>
    <t>ADMINISTRACION</t>
  </si>
  <si>
    <t>S</t>
  </si>
  <si>
    <t>GERENCIA ADMINISTRACION Y FINANZAS</t>
  </si>
  <si>
    <t>GER AYF</t>
  </si>
  <si>
    <t>CONTAB</t>
  </si>
  <si>
    <t>LOGISTICA</t>
  </si>
  <si>
    <t>LOGIST</t>
  </si>
  <si>
    <t>RECURSOS HUMANOS</t>
  </si>
  <si>
    <t>RRRHHH</t>
  </si>
  <si>
    <t>TESORERIA</t>
  </si>
  <si>
    <t>TESORE</t>
  </si>
  <si>
    <t>CREDITOS Y COBRANZAS</t>
  </si>
  <si>
    <t>CRECOB</t>
  </si>
  <si>
    <t xml:space="preserve">GERENCIA COMERCIAL </t>
  </si>
  <si>
    <t>GER COM</t>
  </si>
  <si>
    <t>ALMACEN DE MERCADERIAS</t>
  </si>
  <si>
    <t>ALM MER</t>
  </si>
  <si>
    <t>ALMACEN DE PRODUCTOS TERMINADOS</t>
  </si>
  <si>
    <t>ALM PRT</t>
  </si>
  <si>
    <t>GERENCIA DE OPERACIONES</t>
  </si>
  <si>
    <t>GER OPE</t>
  </si>
  <si>
    <t>APOYOPRODUCC</t>
  </si>
  <si>
    <t>JEFATURA DE PRODUCCION HUACHIPA</t>
  </si>
  <si>
    <t>JEPRHU</t>
  </si>
  <si>
    <t>Rimac</t>
  </si>
  <si>
    <t>JEFATURA DE PRODUCCION RIMAC</t>
  </si>
  <si>
    <t>JEPRRI</t>
  </si>
  <si>
    <t>TRANSPORTE</t>
  </si>
  <si>
    <t>TRANSP</t>
  </si>
  <si>
    <t>ALMACEN DE PERFILERIA RIMAC</t>
  </si>
  <si>
    <t>ALPERI</t>
  </si>
  <si>
    <t>ALMACEN DE BAYETAS RIMAC</t>
  </si>
  <si>
    <t>ALBARI</t>
  </si>
  <si>
    <t>ALMACEN DE BAYETAS HUACHIPA</t>
  </si>
  <si>
    <t>ALBAHU</t>
  </si>
  <si>
    <t>ALMACEN DE FLEJES RIMAC</t>
  </si>
  <si>
    <t>ALFLRI</t>
  </si>
  <si>
    <t>ALMACEN DE MATERIALES RIMAC</t>
  </si>
  <si>
    <t>ALMARI</t>
  </si>
  <si>
    <t>ALMACEN DE MATERIALES HUACHIPA</t>
  </si>
  <si>
    <t>ALMAHU</t>
  </si>
  <si>
    <t>ALMACEN DE APLICACIONES</t>
  </si>
  <si>
    <t>ALMAPL</t>
  </si>
  <si>
    <t>TALLER ELECTRICO</t>
  </si>
  <si>
    <t>TAELE</t>
  </si>
  <si>
    <t>PRODUCCION</t>
  </si>
  <si>
    <t>BALLETEADO RIMAC</t>
  </si>
  <si>
    <t>BALRIM</t>
  </si>
  <si>
    <t>PRENSADO RIMAC</t>
  </si>
  <si>
    <t>PRERIM</t>
  </si>
  <si>
    <t>GALVANIZADO</t>
  </si>
  <si>
    <t>GALVAN</t>
  </si>
  <si>
    <t>PINTADO</t>
  </si>
  <si>
    <t>PINTAD</t>
  </si>
  <si>
    <t>ARMADO HUACHIPA</t>
  </si>
  <si>
    <t>ARMHUA</t>
  </si>
  <si>
    <t>INSTALACION</t>
  </si>
  <si>
    <t>INSTAL</t>
  </si>
  <si>
    <t>APLICACIONES</t>
  </si>
  <si>
    <t>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</si>
</sst>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_ ;[Red]\-#,##0.00\ "/>
    <numFmt numFmtId="165" formatCode="#,##0.000"/>
    <numFmt numFmtId="166" formatCode="#,##0_ ;[Red]\-#,##0\ "/>
    <numFmt numFmtId="167" formatCode="dd/mm/yy;@"/>
  </numFmts>
  <fonts count="11" x14ac:knownFonts="1">
    <font>
      <sz val="11"/>
      <color theme="1"/>
      <name val="Calibri"/>
      <family val="2"/>
      <scheme val="minor"/>
    </font>
    <font>
      <b/>
      <sz val="11"/>
      <color theme="0"/>
      <name val="Calibri"/>
      <family val="2"/>
      <scheme val="minor"/>
    </font>
    <font>
      <b/>
      <sz val="11"/>
      <color theme="1"/>
      <name val="Calibri"/>
      <family val="2"/>
      <scheme val="minor"/>
    </font>
    <font>
      <b/>
      <sz val="11"/>
      <color theme="1"/>
      <name val="Arial"/>
      <family val="2"/>
    </font>
    <font>
      <b/>
      <sz val="11"/>
      <color theme="0"/>
      <name val="Arial"/>
      <family val="2"/>
    </font>
    <font>
      <sz val="11"/>
      <color theme="1"/>
      <name val="Arial"/>
      <family val="2"/>
    </font>
    <font>
      <sz val="11"/>
      <color theme="1"/>
      <name val="Calibri"/>
      <family val="2"/>
      <scheme val="minor"/>
    </font>
    <font>
      <sz val="10"/>
      <name val="Arial"/>
      <family val="2"/>
    </font>
    <font>
      <b/>
      <sz val="10"/>
      <name val="Arial"/>
      <family val="2"/>
    </font>
    <font>
      <b/>
      <sz val="14"/>
      <name val="Arial"/>
      <family val="2"/>
    </font>
    <font>
      <b/>
      <sz val="9"/>
      <color theme="1"/>
      <name val="Arial"/>
      <family val="2"/>
    </font>
  </fonts>
  <fills count="10">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4"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s>
  <cellStyleXfs count="6">
    <xf numFmtId="0" fontId="0" fillId="0" borderId="0"/>
    <xf numFmtId="0" fontId="5" fillId="0" borderId="0"/>
    <xf numFmtId="0" fontId="5" fillId="0" borderId="0"/>
    <xf numFmtId="9" fontId="5" fillId="0" borderId="0" applyFont="0" applyFill="0" applyBorder="0" applyAlignment="0" applyProtection="0"/>
    <xf numFmtId="0" fontId="7" fillId="0" borderId="0"/>
    <xf numFmtId="0" fontId="6" fillId="0" borderId="0"/>
  </cellStyleXfs>
  <cellXfs count="140">
    <xf numFmtId="0" fontId="0" fillId="0" borderId="0" xfId="0"/>
    <xf numFmtId="0" fontId="2" fillId="2" borderId="0" xfId="0" applyFont="1" applyFill="1"/>
    <xf numFmtId="0" fontId="0" fillId="2" borderId="0" xfId="0" applyFill="1"/>
    <xf numFmtId="0" fontId="0" fillId="0" borderId="1" xfId="0" applyBorder="1" applyAlignment="1">
      <alignment horizontal="left"/>
    </xf>
    <xf numFmtId="0" fontId="0" fillId="0" borderId="1" xfId="0" applyBorder="1" applyAlignment="1">
      <alignment horizontal="center"/>
    </xf>
    <xf numFmtId="0" fontId="4" fillId="3" borderId="1" xfId="0" applyFont="1" applyFill="1" applyBorder="1" applyAlignment="1">
      <alignment horizontal="center"/>
    </xf>
    <xf numFmtId="0" fontId="0" fillId="0" borderId="1" xfId="0" applyBorder="1" applyAlignment="1">
      <alignment horizontal="center" vertical="center"/>
    </xf>
    <xf numFmtId="0" fontId="0" fillId="0" borderId="1" xfId="0" applyBorder="1"/>
    <xf numFmtId="0" fontId="0" fillId="0" borderId="2" xfId="0" applyBorder="1"/>
    <xf numFmtId="0" fontId="1" fillId="3" borderId="1" xfId="0" applyFont="1" applyFill="1" applyBorder="1" applyAlignment="1">
      <alignment horizontal="center" vertical="center"/>
    </xf>
    <xf numFmtId="0" fontId="1" fillId="3" borderId="1" xfId="0" applyFont="1" applyFill="1" applyBorder="1"/>
    <xf numFmtId="0" fontId="1" fillId="3" borderId="1" xfId="0" applyFont="1" applyFill="1" applyBorder="1" applyAlignment="1">
      <alignment horizontal="center"/>
    </xf>
    <xf numFmtId="0" fontId="5" fillId="0" borderId="0" xfId="1"/>
    <xf numFmtId="0" fontId="5" fillId="0" borderId="1" xfId="1" applyBorder="1" applyAlignment="1">
      <alignment horizontal="left" vertical="center" wrapText="1"/>
    </xf>
    <xf numFmtId="0" fontId="5" fillId="0" borderId="1" xfId="1" applyBorder="1" applyAlignment="1">
      <alignment horizontal="center" vertical="center" wrapText="1"/>
    </xf>
    <xf numFmtId="0" fontId="4" fillId="3" borderId="1" xfId="1" applyFont="1" applyFill="1" applyBorder="1"/>
    <xf numFmtId="0" fontId="4" fillId="3" borderId="1" xfId="1" applyFont="1" applyFill="1" applyBorder="1" applyAlignment="1">
      <alignment horizontal="center"/>
    </xf>
    <xf numFmtId="0" fontId="5" fillId="0" borderId="0" xfId="0" applyFont="1"/>
    <xf numFmtId="0" fontId="4" fillId="3" borderId="1" xfId="0" applyFont="1" applyFill="1" applyBorder="1"/>
    <xf numFmtId="0" fontId="3" fillId="0" borderId="0" xfId="2" applyFont="1"/>
    <xf numFmtId="0" fontId="5" fillId="0" borderId="0" xfId="2"/>
    <xf numFmtId="0" fontId="5" fillId="0" borderId="1" xfId="2" applyBorder="1"/>
    <xf numFmtId="0" fontId="5" fillId="0" borderId="1" xfId="2" applyBorder="1" applyAlignment="1">
      <alignment horizontal="center"/>
    </xf>
    <xf numFmtId="0" fontId="4" fillId="3" borderId="1" xfId="2" applyFont="1" applyFill="1" applyBorder="1"/>
    <xf numFmtId="0" fontId="4" fillId="3" borderId="1" xfId="2" applyFont="1" applyFill="1" applyBorder="1" applyAlignment="1">
      <alignment horizontal="center"/>
    </xf>
    <xf numFmtId="0" fontId="5" fillId="2" borderId="0" xfId="2" applyFill="1"/>
    <xf numFmtId="0" fontId="3" fillId="2" borderId="0" xfId="2" applyFont="1" applyFill="1"/>
    <xf numFmtId="0" fontId="5" fillId="0" borderId="1" xfId="2" applyBorder="1" applyAlignment="1">
      <alignment horizontal="center" vertical="center"/>
    </xf>
    <xf numFmtId="0" fontId="3" fillId="0" borderId="0" xfId="2" applyFont="1" applyAlignment="1">
      <alignment horizontal="center" vertical="center"/>
    </xf>
    <xf numFmtId="0" fontId="4" fillId="3" borderId="1" xfId="2" applyFont="1" applyFill="1" applyBorder="1" applyAlignment="1">
      <alignment horizontal="center" vertical="center"/>
    </xf>
    <xf numFmtId="0" fontId="2" fillId="2" borderId="0" xfId="0" applyFont="1" applyFill="1" applyAlignment="1">
      <alignment horizontal="center"/>
    </xf>
    <xf numFmtId="0" fontId="0" fillId="2" borderId="1" xfId="0" applyFill="1" applyBorder="1" applyAlignment="1">
      <alignment horizontal="center"/>
    </xf>
    <xf numFmtId="0" fontId="0" fillId="2" borderId="0" xfId="0" applyFill="1" applyAlignment="1">
      <alignment wrapText="1"/>
    </xf>
    <xf numFmtId="0" fontId="0" fillId="2" borderId="0" xfId="0" applyFill="1" applyAlignment="1">
      <alignment vertical="center" wrapText="1"/>
    </xf>
    <xf numFmtId="0" fontId="0" fillId="2" borderId="1" xfId="0" applyFill="1" applyBorder="1" applyAlignment="1">
      <alignment horizontal="center" vertical="center"/>
    </xf>
    <xf numFmtId="0" fontId="0" fillId="2" borderId="0" xfId="0" applyFill="1" applyAlignment="1">
      <alignment horizontal="left" vertical="center" wrapText="1"/>
    </xf>
    <xf numFmtId="0" fontId="0" fillId="2" borderId="1" xfId="0" applyFill="1" applyBorder="1" applyAlignment="1">
      <alignment horizontal="center" vertical="center" wrapText="1"/>
    </xf>
    <xf numFmtId="0" fontId="2" fillId="0" borderId="0" xfId="2" applyFont="1"/>
    <xf numFmtId="0" fontId="6" fillId="0" borderId="0" xfId="2" applyFont="1"/>
    <xf numFmtId="3" fontId="2" fillId="4" borderId="1" xfId="2" applyNumberFormat="1" applyFont="1" applyFill="1" applyBorder="1" applyAlignment="1">
      <alignment horizontal="center"/>
    </xf>
    <xf numFmtId="0" fontId="2" fillId="4" borderId="1" xfId="2" applyFont="1" applyFill="1" applyBorder="1" applyAlignment="1">
      <alignment horizontal="center"/>
    </xf>
    <xf numFmtId="0" fontId="2" fillId="4" borderId="1" xfId="2" applyFont="1" applyFill="1" applyBorder="1" applyAlignment="1">
      <alignment horizontal="center" vertical="center"/>
    </xf>
    <xf numFmtId="164" fontId="6" fillId="0" borderId="1" xfId="2" applyNumberFormat="1" applyFont="1" applyBorder="1"/>
    <xf numFmtId="165" fontId="6" fillId="0" borderId="1" xfId="2" applyNumberFormat="1" applyFont="1" applyBorder="1" applyAlignment="1">
      <alignment horizontal="center"/>
    </xf>
    <xf numFmtId="167" fontId="6" fillId="0" borderId="1" xfId="2" applyNumberFormat="1" applyFont="1" applyBorder="1" applyAlignment="1">
      <alignment horizontal="center"/>
    </xf>
    <xf numFmtId="164" fontId="6" fillId="0" borderId="1" xfId="2" applyNumberFormat="1" applyFont="1" applyBorder="1" applyAlignment="1">
      <alignment horizontal="center" vertical="center"/>
    </xf>
    <xf numFmtId="0" fontId="6" fillId="0" borderId="3" xfId="2" applyFont="1" applyBorder="1" applyAlignment="1">
      <alignment horizontal="left"/>
    </xf>
    <xf numFmtId="0" fontId="6" fillId="0" borderId="4" xfId="2" applyFont="1" applyBorder="1" applyAlignment="1">
      <alignment horizontal="left"/>
    </xf>
    <xf numFmtId="164" fontId="6" fillId="0" borderId="4" xfId="2" applyNumberFormat="1" applyFont="1" applyBorder="1"/>
    <xf numFmtId="0" fontId="2" fillId="0" borderId="1" xfId="2" applyFont="1" applyBorder="1"/>
    <xf numFmtId="0" fontId="6" fillId="0" borderId="1" xfId="2" applyFont="1" applyBorder="1"/>
    <xf numFmtId="164" fontId="2" fillId="0" borderId="1" xfId="2" applyNumberFormat="1" applyFont="1" applyBorder="1"/>
    <xf numFmtId="164" fontId="2" fillId="0" borderId="1" xfId="2" applyNumberFormat="1" applyFont="1" applyBorder="1" applyAlignment="1">
      <alignment horizontal="center"/>
    </xf>
    <xf numFmtId="0" fontId="6" fillId="0" borderId="0" xfId="2" applyFont="1" applyAlignment="1">
      <alignment horizontal="center"/>
    </xf>
    <xf numFmtId="166" fontId="6" fillId="0" borderId="0" xfId="2" applyNumberFormat="1" applyFont="1" applyAlignment="1">
      <alignment horizontal="center"/>
    </xf>
    <xf numFmtId="164" fontId="6" fillId="0" borderId="0" xfId="2" applyNumberFormat="1" applyFont="1"/>
    <xf numFmtId="165" fontId="6" fillId="0" borderId="0" xfId="2" applyNumberFormat="1" applyFont="1"/>
    <xf numFmtId="9" fontId="2" fillId="0" borderId="1" xfId="3" applyFont="1" applyBorder="1" applyAlignment="1">
      <alignment horizontal="center"/>
    </xf>
    <xf numFmtId="166" fontId="2" fillId="0" borderId="1" xfId="3" applyNumberFormat="1" applyFont="1" applyBorder="1" applyAlignment="1">
      <alignment horizontal="center"/>
    </xf>
    <xf numFmtId="164" fontId="2" fillId="0" borderId="0" xfId="2" applyNumberFormat="1" applyFont="1"/>
    <xf numFmtId="3" fontId="6" fillId="0" borderId="0" xfId="2" applyNumberFormat="1" applyFont="1"/>
    <xf numFmtId="0" fontId="6" fillId="5" borderId="0" xfId="2" applyFont="1" applyFill="1"/>
    <xf numFmtId="9" fontId="6" fillId="0" borderId="0" xfId="2" applyNumberFormat="1" applyFont="1"/>
    <xf numFmtId="3" fontId="6" fillId="0" borderId="0" xfId="2" applyNumberFormat="1" applyFont="1" applyAlignment="1">
      <alignment horizontal="center"/>
    </xf>
    <xf numFmtId="0" fontId="3" fillId="4" borderId="1" xfId="2" applyFont="1" applyFill="1" applyBorder="1" applyAlignment="1">
      <alignment horizontal="center"/>
    </xf>
    <xf numFmtId="0" fontId="5" fillId="2" borderId="1" xfId="2" applyFill="1" applyBorder="1" applyAlignment="1">
      <alignment horizontal="center"/>
    </xf>
    <xf numFmtId="0" fontId="5" fillId="2" borderId="1" xfId="2" applyFill="1" applyBorder="1"/>
    <xf numFmtId="0" fontId="5" fillId="5" borderId="1" xfId="2" applyFill="1" applyBorder="1" applyAlignment="1">
      <alignment horizontal="center"/>
    </xf>
    <xf numFmtId="0" fontId="5" fillId="5" borderId="1" xfId="2" applyFill="1" applyBorder="1"/>
    <xf numFmtId="0" fontId="8" fillId="0" borderId="0" xfId="4" applyFont="1"/>
    <xf numFmtId="0" fontId="7" fillId="0" borderId="0" xfId="4"/>
    <xf numFmtId="0" fontId="9" fillId="0" borderId="0" xfId="4" applyFont="1"/>
    <xf numFmtId="0" fontId="9" fillId="2" borderId="0" xfId="4" applyFont="1" applyFill="1"/>
    <xf numFmtId="0" fontId="7" fillId="2" borderId="0" xfId="4" applyFill="1"/>
    <xf numFmtId="0" fontId="8" fillId="2" borderId="0" xfId="4" applyFont="1" applyFill="1"/>
    <xf numFmtId="0" fontId="8" fillId="5" borderId="7" xfId="4" applyFont="1" applyFill="1" applyBorder="1"/>
    <xf numFmtId="0" fontId="8" fillId="5" borderId="8" xfId="4" applyFont="1" applyFill="1" applyBorder="1"/>
    <xf numFmtId="0" fontId="8" fillId="5" borderId="9" xfId="4" applyFont="1" applyFill="1" applyBorder="1"/>
    <xf numFmtId="0" fontId="7" fillId="6" borderId="10" xfId="4" applyFill="1" applyBorder="1"/>
    <xf numFmtId="0" fontId="7" fillId="6" borderId="11" xfId="4" applyFill="1" applyBorder="1"/>
    <xf numFmtId="0" fontId="7" fillId="6" borderId="12" xfId="4" applyFill="1" applyBorder="1"/>
    <xf numFmtId="0" fontId="7" fillId="6" borderId="12" xfId="4" applyFill="1" applyBorder="1" applyAlignment="1">
      <alignment horizontal="center"/>
    </xf>
    <xf numFmtId="0" fontId="7" fillId="6" borderId="13" xfId="4" applyFill="1" applyBorder="1"/>
    <xf numFmtId="0" fontId="7" fillId="6" borderId="0" xfId="4" applyFill="1"/>
    <xf numFmtId="0" fontId="7" fillId="6" borderId="14" xfId="4" applyFill="1" applyBorder="1"/>
    <xf numFmtId="0" fontId="7" fillId="6" borderId="14" xfId="4" applyFill="1" applyBorder="1" applyAlignment="1">
      <alignment horizontal="center"/>
    </xf>
    <xf numFmtId="0" fontId="7" fillId="6" borderId="15" xfId="4" applyFill="1" applyBorder="1"/>
    <xf numFmtId="0" fontId="7" fillId="6" borderId="16" xfId="4" applyFill="1" applyBorder="1"/>
    <xf numFmtId="0" fontId="7" fillId="6" borderId="17" xfId="4" applyFill="1" applyBorder="1"/>
    <xf numFmtId="0" fontId="7" fillId="6" borderId="17" xfId="4" applyFill="1" applyBorder="1" applyAlignment="1">
      <alignment horizontal="center"/>
    </xf>
    <xf numFmtId="0" fontId="7" fillId="7" borderId="10" xfId="4" applyFill="1" applyBorder="1"/>
    <xf numFmtId="0" fontId="7" fillId="7" borderId="11" xfId="4" applyFill="1" applyBorder="1"/>
    <xf numFmtId="0" fontId="7" fillId="7" borderId="12" xfId="4" applyFill="1" applyBorder="1"/>
    <xf numFmtId="0" fontId="7" fillId="7" borderId="12" xfId="4" applyFill="1" applyBorder="1" applyAlignment="1">
      <alignment horizontal="center"/>
    </xf>
    <xf numFmtId="0" fontId="7" fillId="7" borderId="13" xfId="4" applyFill="1" applyBorder="1"/>
    <xf numFmtId="0" fontId="7" fillId="7" borderId="0" xfId="4" applyFill="1"/>
    <xf numFmtId="0" fontId="7" fillId="7" borderId="14" xfId="4" applyFill="1" applyBorder="1"/>
    <xf numFmtId="0" fontId="7" fillId="7" borderId="14" xfId="4" applyFill="1" applyBorder="1" applyAlignment="1">
      <alignment horizontal="center"/>
    </xf>
    <xf numFmtId="0" fontId="7" fillId="7" borderId="15" xfId="4" applyFill="1" applyBorder="1"/>
    <xf numFmtId="0" fontId="7" fillId="7" borderId="16" xfId="4" applyFill="1" applyBorder="1"/>
    <xf numFmtId="0" fontId="7" fillId="7" borderId="17" xfId="4" applyFill="1" applyBorder="1"/>
    <xf numFmtId="0" fontId="7" fillId="7" borderId="17" xfId="4" applyFill="1" applyBorder="1" applyAlignment="1">
      <alignment horizontal="center"/>
    </xf>
    <xf numFmtId="0" fontId="7" fillId="8" borderId="0" xfId="4" applyFill="1"/>
    <xf numFmtId="0" fontId="7" fillId="8" borderId="14" xfId="4" applyFill="1" applyBorder="1"/>
    <xf numFmtId="0" fontId="7" fillId="8" borderId="14" xfId="4" applyFill="1" applyBorder="1" applyAlignment="1">
      <alignment horizontal="center"/>
    </xf>
    <xf numFmtId="0" fontId="7" fillId="8" borderId="13" xfId="4" applyFill="1" applyBorder="1"/>
    <xf numFmtId="0" fontId="7" fillId="8" borderId="15" xfId="4" applyFill="1" applyBorder="1"/>
    <xf numFmtId="0" fontId="7" fillId="8" borderId="16" xfId="4" applyFill="1" applyBorder="1"/>
    <xf numFmtId="0" fontId="7" fillId="8" borderId="17" xfId="4" applyFill="1" applyBorder="1"/>
    <xf numFmtId="0" fontId="7" fillId="8" borderId="17" xfId="4" applyFill="1" applyBorder="1" applyAlignment="1">
      <alignment horizontal="center"/>
    </xf>
    <xf numFmtId="0" fontId="7" fillId="9" borderId="10" xfId="4" applyFill="1" applyBorder="1"/>
    <xf numFmtId="0" fontId="7" fillId="9" borderId="11" xfId="4" applyFill="1" applyBorder="1"/>
    <xf numFmtId="0" fontId="7" fillId="9" borderId="12" xfId="4" applyFill="1" applyBorder="1"/>
    <xf numFmtId="0" fontId="7" fillId="9" borderId="0" xfId="4" applyFill="1"/>
    <xf numFmtId="0" fontId="7" fillId="9" borderId="12" xfId="4" applyFill="1" applyBorder="1" applyAlignment="1">
      <alignment horizontal="center"/>
    </xf>
    <xf numFmtId="0" fontId="7" fillId="9" borderId="13" xfId="4" applyFill="1" applyBorder="1"/>
    <xf numFmtId="0" fontId="7" fillId="9" borderId="14" xfId="4" applyFill="1" applyBorder="1"/>
    <xf numFmtId="0" fontId="7" fillId="9" borderId="14" xfId="4" applyFill="1" applyBorder="1" applyAlignment="1">
      <alignment horizontal="center"/>
    </xf>
    <xf numFmtId="0" fontId="7" fillId="9" borderId="15" xfId="4" applyFill="1" applyBorder="1"/>
    <xf numFmtId="0" fontId="7" fillId="9" borderId="16" xfId="4" applyFill="1" applyBorder="1"/>
    <xf numFmtId="0" fontId="7" fillId="9" borderId="17" xfId="4" applyFill="1" applyBorder="1"/>
    <xf numFmtId="0" fontId="7" fillId="9" borderId="17" xfId="4" applyFill="1" applyBorder="1" applyAlignment="1">
      <alignment horizontal="center"/>
    </xf>
    <xf numFmtId="0" fontId="10" fillId="5" borderId="1" xfId="5" applyFont="1" applyFill="1" applyBorder="1" applyAlignment="1">
      <alignment vertical="center" wrapText="1"/>
    </xf>
    <xf numFmtId="0" fontId="10" fillId="5" borderId="1" xfId="5" applyFont="1" applyFill="1" applyBorder="1" applyAlignment="1">
      <alignment horizontal="center" vertical="center" wrapText="1"/>
    </xf>
    <xf numFmtId="0" fontId="10" fillId="5" borderId="1" xfId="5" applyFont="1" applyFill="1" applyBorder="1" applyAlignment="1">
      <alignment horizontal="left" vertical="center" wrapText="1"/>
    </xf>
    <xf numFmtId="0" fontId="5" fillId="0" borderId="0" xfId="5" applyFont="1" applyAlignment="1">
      <alignment vertical="center"/>
    </xf>
    <xf numFmtId="0" fontId="5" fillId="0" borderId="1" xfId="5" applyFont="1" applyBorder="1" applyAlignment="1">
      <alignment horizontal="center" vertical="center"/>
    </xf>
    <xf numFmtId="0" fontId="5" fillId="0" borderId="1" xfId="5" applyFont="1" applyBorder="1" applyAlignment="1">
      <alignment horizontal="left" vertical="center"/>
    </xf>
    <xf numFmtId="0" fontId="5" fillId="0" borderId="1" xfId="5" applyFont="1" applyBorder="1" applyAlignment="1">
      <alignment vertical="center"/>
    </xf>
    <xf numFmtId="0" fontId="5" fillId="0" borderId="0" xfId="5" applyFont="1" applyAlignment="1">
      <alignment horizontal="left" vertical="center"/>
    </xf>
    <xf numFmtId="0" fontId="5" fillId="0" borderId="0" xfId="5" applyFont="1" applyAlignment="1">
      <alignment horizontal="center" vertical="center"/>
    </xf>
    <xf numFmtId="0" fontId="0" fillId="5" borderId="1" xfId="0" applyFill="1" applyBorder="1" applyAlignment="1">
      <alignment horizontal="center"/>
    </xf>
    <xf numFmtId="0" fontId="6" fillId="0" borderId="3" xfId="2" applyFont="1" applyBorder="1" applyAlignment="1">
      <alignment horizontal="left"/>
    </xf>
    <xf numFmtId="0" fontId="6" fillId="0" borderId="4" xfId="2" applyFont="1" applyBorder="1" applyAlignment="1">
      <alignment horizontal="left"/>
    </xf>
    <xf numFmtId="0" fontId="2" fillId="4" borderId="3" xfId="2" applyFont="1" applyFill="1" applyBorder="1" applyAlignment="1">
      <alignment horizontal="center"/>
    </xf>
    <xf numFmtId="0" fontId="2" fillId="4" borderId="4" xfId="2" applyFont="1" applyFill="1" applyBorder="1" applyAlignment="1">
      <alignment horizontal="center"/>
    </xf>
    <xf numFmtId="0" fontId="6" fillId="0" borderId="5" xfId="2" applyFont="1" applyBorder="1" applyAlignment="1">
      <alignment horizontal="left"/>
    </xf>
    <xf numFmtId="0" fontId="6" fillId="0" borderId="6" xfId="2" applyFont="1" applyBorder="1" applyAlignment="1">
      <alignment horizontal="left"/>
    </xf>
    <xf numFmtId="0" fontId="2" fillId="0" borderId="3" xfId="2" applyFont="1" applyBorder="1" applyAlignment="1">
      <alignment horizontal="left"/>
    </xf>
    <xf numFmtId="0" fontId="2" fillId="0" borderId="4" xfId="2" applyFont="1" applyBorder="1" applyAlignment="1">
      <alignment horizontal="left"/>
    </xf>
  </cellXfs>
  <cellStyles count="6">
    <cellStyle name="Normal" xfId="0" builtinId="0"/>
    <cellStyle name="Normal 2 2" xfId="4" xr:uid="{D699691B-62DD-408F-BC17-86A9205C6BD4}"/>
    <cellStyle name="Normal 3" xfId="2" xr:uid="{00000000-0005-0000-0000-000001000000}"/>
    <cellStyle name="Normal 3 2" xfId="5" xr:uid="{004FFCF3-2761-4F8D-834C-F33BABE0134C}"/>
    <cellStyle name="Normal 4 2" xfId="1" xr:uid="{00000000-0005-0000-0000-000002000000}"/>
    <cellStyle name="Porcentaje 2" xfId="3" xr:uid="{617C1D17-D7B2-4311-914F-F963ED097EDC}"/>
  </cellStyles>
  <dxfs count="0"/>
  <tableStyles count="1" defaultTableStyle="TableStyleMedium2" defaultPivotStyle="PivotStyleLight16">
    <tableStyle name="Invisible" pivot="0" table="0" count="0" xr9:uid="{F4389963-BFA7-4EB3-8885-1646A399368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1</xdr:row>
      <xdr:rowOff>9525</xdr:rowOff>
    </xdr:from>
    <xdr:to>
      <xdr:col>9</xdr:col>
      <xdr:colOff>390525</xdr:colOff>
      <xdr:row>23</xdr:row>
      <xdr:rowOff>66675</xdr:rowOff>
    </xdr:to>
    <xdr:pic>
      <xdr:nvPicPr>
        <xdr:cNvPr id="2" name="Imagen 1">
          <a:extLst>
            <a:ext uri="{FF2B5EF4-FFF2-40B4-BE49-F238E27FC236}">
              <a16:creationId xmlns:a16="http://schemas.microsoft.com/office/drawing/2014/main" id="{0A7188FC-BDB7-4EA6-A1E3-1E56CAA77A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84785"/>
          <a:ext cx="7924800" cy="391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3</xdr:row>
      <xdr:rowOff>47625</xdr:rowOff>
    </xdr:from>
    <xdr:to>
      <xdr:col>10</xdr:col>
      <xdr:colOff>161925</xdr:colOff>
      <xdr:row>29</xdr:row>
      <xdr:rowOff>9525</xdr:rowOff>
    </xdr:to>
    <xdr:pic>
      <xdr:nvPicPr>
        <xdr:cNvPr id="2" name="1 Imagen" descr="Plano Textil.jpeg">
          <a:extLst>
            <a:ext uri="{FF2B5EF4-FFF2-40B4-BE49-F238E27FC236}">
              <a16:creationId xmlns:a16="http://schemas.microsoft.com/office/drawing/2014/main" id="{BB141E4C-B019-4C75-8B86-1C2A58C450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7632" t="13158" r="5663"/>
        <a:stretch>
          <a:fillRect/>
        </a:stretch>
      </xdr:blipFill>
      <xdr:spPr bwMode="auto">
        <a:xfrm>
          <a:off x="28575" y="603885"/>
          <a:ext cx="7981950" cy="4320540"/>
        </a:xfrm>
        <a:prstGeom prst="rect">
          <a:avLst/>
        </a:prstGeom>
        <a:noFill/>
        <a:ln w="9525">
          <a:solidFill>
            <a:srgbClr val="1F497D"/>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Disco%20D\Cursos\Excel\Solpr&#225;ctica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isco%20duro%20de%2030%20GB\Disco%20D\Cursos\Excel\Solpr&#225;ctica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_\d\Libros\LibInvOper\CasoSuz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áctica 1"/>
      <sheetName val="Lógicas"/>
      <sheetName val="SumarSi"/>
      <sheetName val="Késimo.menor"/>
      <sheetName val="Ind. Asociados"/>
      <sheetName val="Mibebé"/>
      <sheetName val="Lidel"/>
      <sheetName val="LidelPlantilla"/>
      <sheetName val="PresCapital"/>
      <sheetName val="Tropisur"/>
      <sheetName val="Tropisur Plantilla"/>
      <sheetName val="Informe de respuestas 3"/>
      <sheetName val="Caso Gamma"/>
      <sheetName val="Práctica 5"/>
      <sheetName val="LineaDelHogar"/>
      <sheetName val="Figura 1.1"/>
      <sheetName val="PE Modelo 1"/>
      <sheetName val="PE Modelo 2"/>
      <sheetName val="PE Modelo 3"/>
      <sheetName val="PE Modelo 4"/>
      <sheetName val="PE Modelo 5"/>
      <sheetName val="Leasing"/>
      <sheetName val="Canalizaciones"/>
      <sheetName val="Proyectos"/>
      <sheetName val="Regresión"/>
      <sheetName val="PresCaja"/>
      <sheetName val="Media"/>
      <sheetName val="DistribFrecuenciaseEjercicio"/>
      <sheetName val="DistribFrecuenciasSolución"/>
      <sheetName val="Oak Products"/>
      <sheetName val="Protrac"/>
      <sheetName val="Informe de respuestas 1"/>
      <sheetName val="Informe de sensibilidad 1"/>
      <sheetName val="Informe de límites 1"/>
      <sheetName val="Crawler Tread"/>
      <sheetName val="Informe de respuestas 2"/>
      <sheetName val="Informe de sensibilidad 2"/>
      <sheetName val="Informe de límites 2"/>
      <sheetName val="CF yCVar."/>
      <sheetName val="Astro y Cosmo"/>
      <sheetName val="Blendig Gruel"/>
      <sheetName val="Vigilancia"/>
      <sheetName val="Transporte"/>
      <sheetName val="Winston"/>
      <sheetName val="Longer Boats"/>
      <sheetName val="Bumles"/>
      <sheetName val="Práctica 3 Informática"/>
      <sheetName val="Listas"/>
      <sheetName val="Filtros"/>
      <sheetName val="Romas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6">
          <cell r="E26">
            <v>2100</v>
          </cell>
          <cell r="F26">
            <v>2300</v>
          </cell>
          <cell r="G26">
            <v>2500</v>
          </cell>
          <cell r="H26">
            <v>2550</v>
          </cell>
          <cell r="I26">
            <v>2620</v>
          </cell>
          <cell r="J26">
            <v>2740</v>
          </cell>
          <cell r="K26">
            <v>2760</v>
          </cell>
          <cell r="L26">
            <v>2760</v>
          </cell>
          <cell r="M26">
            <v>2790</v>
          </cell>
          <cell r="N26">
            <v>2800</v>
          </cell>
          <cell r="O26">
            <v>2850</v>
          </cell>
          <cell r="P26">
            <v>3100</v>
          </cell>
        </row>
        <row r="27">
          <cell r="E27">
            <v>42</v>
          </cell>
          <cell r="F27">
            <v>43</v>
          </cell>
          <cell r="G27">
            <v>43</v>
          </cell>
          <cell r="H27">
            <v>43</v>
          </cell>
          <cell r="I27">
            <v>43</v>
          </cell>
          <cell r="J27">
            <v>44</v>
          </cell>
          <cell r="K27">
            <v>44</v>
          </cell>
          <cell r="L27">
            <v>44</v>
          </cell>
          <cell r="M27">
            <v>44</v>
          </cell>
          <cell r="N27">
            <v>44</v>
          </cell>
          <cell r="O27">
            <v>44</v>
          </cell>
          <cell r="P27">
            <v>45</v>
          </cell>
        </row>
        <row r="55">
          <cell r="E55">
            <v>4312</v>
          </cell>
          <cell r="F55">
            <v>-5808.8999999999942</v>
          </cell>
          <cell r="G55">
            <v>12106.199999999997</v>
          </cell>
          <cell r="H55">
            <v>-4782.8000000000029</v>
          </cell>
          <cell r="I55">
            <v>2229.5799999999872</v>
          </cell>
          <cell r="J55">
            <v>-10703.800000000017</v>
          </cell>
          <cell r="K55">
            <v>2471.8399999999965</v>
          </cell>
          <cell r="L55">
            <v>-12288.799999999988</v>
          </cell>
          <cell r="M55">
            <v>3645.7600000000093</v>
          </cell>
          <cell r="N55">
            <v>-10683.679999999993</v>
          </cell>
          <cell r="O55">
            <v>5993.6000000000058</v>
          </cell>
          <cell r="P55">
            <v>14074.799999999988</v>
          </cell>
        </row>
        <row r="56">
          <cell r="E56">
            <v>8312</v>
          </cell>
          <cell r="F56">
            <v>2503.1000000000058</v>
          </cell>
          <cell r="G56">
            <v>14609.300000000003</v>
          </cell>
          <cell r="H56">
            <v>9826.5</v>
          </cell>
          <cell r="I56">
            <v>12056.079999999987</v>
          </cell>
          <cell r="J56">
            <v>1352.2799999999697</v>
          </cell>
          <cell r="K56">
            <v>3824.1199999999662</v>
          </cell>
          <cell r="L56">
            <v>-8464.6800000000221</v>
          </cell>
          <cell r="M56">
            <v>-4818.9200000000128</v>
          </cell>
          <cell r="N56">
            <v>-15502.600000000006</v>
          </cell>
          <cell r="O56">
            <v>-9509</v>
          </cell>
          <cell r="P56">
            <v>4565.7999999999884</v>
          </cell>
        </row>
      </sheetData>
      <sheetData sheetId="26"/>
      <sheetData sheetId="27"/>
      <sheetData sheetId="28">
        <row r="3">
          <cell r="A3" t="str">
            <v>Serie original</v>
          </cell>
        </row>
        <row r="4">
          <cell r="A4">
            <v>600</v>
          </cell>
        </row>
        <row r="5">
          <cell r="A5">
            <v>1500</v>
          </cell>
        </row>
        <row r="6">
          <cell r="A6">
            <v>880</v>
          </cell>
        </row>
        <row r="7">
          <cell r="A7">
            <v>520</v>
          </cell>
        </row>
        <row r="8">
          <cell r="A8">
            <v>640</v>
          </cell>
        </row>
        <row r="9">
          <cell r="A9">
            <v>800</v>
          </cell>
        </row>
        <row r="10">
          <cell r="A10">
            <v>1200</v>
          </cell>
        </row>
        <row r="11">
          <cell r="A11">
            <v>1300</v>
          </cell>
        </row>
        <row r="12">
          <cell r="A12">
            <v>700</v>
          </cell>
        </row>
        <row r="13">
          <cell r="A13">
            <v>680</v>
          </cell>
        </row>
        <row r="14">
          <cell r="A14">
            <v>450</v>
          </cell>
        </row>
        <row r="15">
          <cell r="A15">
            <v>580</v>
          </cell>
        </row>
        <row r="16">
          <cell r="A16">
            <v>720</v>
          </cell>
        </row>
        <row r="17">
          <cell r="A17">
            <v>750</v>
          </cell>
        </row>
        <row r="18">
          <cell r="A18">
            <v>1300</v>
          </cell>
        </row>
        <row r="19">
          <cell r="A19">
            <v>2500</v>
          </cell>
        </row>
        <row r="20">
          <cell r="A20">
            <v>900</v>
          </cell>
        </row>
        <row r="21">
          <cell r="A21">
            <v>1200</v>
          </cell>
        </row>
        <row r="22">
          <cell r="A22">
            <v>1100</v>
          </cell>
        </row>
        <row r="23">
          <cell r="A23">
            <v>950</v>
          </cell>
        </row>
        <row r="24">
          <cell r="A24">
            <v>1800</v>
          </cell>
        </row>
        <row r="25">
          <cell r="A25">
            <v>870</v>
          </cell>
        </row>
        <row r="26">
          <cell r="A26">
            <v>800</v>
          </cell>
        </row>
        <row r="27">
          <cell r="A27">
            <v>450</v>
          </cell>
        </row>
        <row r="28">
          <cell r="A28">
            <v>520</v>
          </cell>
        </row>
        <row r="29">
          <cell r="A29">
            <v>630</v>
          </cell>
        </row>
        <row r="30">
          <cell r="A30">
            <v>990</v>
          </cell>
        </row>
        <row r="31">
          <cell r="A31">
            <v>1200</v>
          </cell>
        </row>
        <row r="32">
          <cell r="A32">
            <v>1300</v>
          </cell>
        </row>
        <row r="33">
          <cell r="A33">
            <v>690</v>
          </cell>
        </row>
        <row r="34">
          <cell r="A34">
            <v>720</v>
          </cell>
        </row>
        <row r="35">
          <cell r="A35">
            <v>820</v>
          </cell>
        </row>
        <row r="36">
          <cell r="A36">
            <v>630</v>
          </cell>
        </row>
        <row r="37">
          <cell r="A37">
            <v>980</v>
          </cell>
        </row>
        <row r="38">
          <cell r="A38">
            <v>1000</v>
          </cell>
        </row>
        <row r="39">
          <cell r="A39">
            <v>1400</v>
          </cell>
        </row>
        <row r="40">
          <cell r="A40">
            <v>1100</v>
          </cell>
        </row>
        <row r="41">
          <cell r="A41">
            <v>920</v>
          </cell>
        </row>
        <row r="42">
          <cell r="A42">
            <v>690</v>
          </cell>
        </row>
        <row r="43">
          <cell r="A43">
            <v>780</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áctica 1"/>
      <sheetName val="Lógicas"/>
      <sheetName val="SumarSi"/>
      <sheetName val="Késimo.menor"/>
      <sheetName val="Ind. Asociados"/>
      <sheetName val="Mibebé"/>
      <sheetName val="Lidel"/>
      <sheetName val="PresCapital"/>
      <sheetName val="Tropisur"/>
      <sheetName val="Tropisur Plantilla"/>
      <sheetName val="Caso Gamma"/>
      <sheetName val="Sensibilidad"/>
      <sheetName val="Práctica 5"/>
      <sheetName val="LineaDelHogar"/>
      <sheetName val="Figura 1.1"/>
      <sheetName val="PE Modelo 1"/>
      <sheetName val="PE Modelo 2"/>
      <sheetName val="PE Modelo 3"/>
      <sheetName val="PE Modelo 4"/>
      <sheetName val="PE Modelo 5"/>
      <sheetName val="Leasing"/>
      <sheetName val="Canalizaciones"/>
      <sheetName val="Proyectos"/>
      <sheetName val="Regresión"/>
      <sheetName val="PresCaja"/>
      <sheetName val="Media"/>
      <sheetName val="DistribFrecuenciaseEjercicio"/>
      <sheetName val="DistribFrecuenciasSolución"/>
      <sheetName val="Oak Products"/>
      <sheetName val="Protrac"/>
      <sheetName val="Informe de respuestas 1"/>
      <sheetName val="Informe de sensibilidad 1"/>
      <sheetName val="Crawler Tread"/>
      <sheetName val="CF yCVar."/>
      <sheetName val="Astro y Cosmo"/>
      <sheetName val="Blendig Gruel"/>
      <sheetName val="Vigilancia"/>
      <sheetName val="Transporte"/>
      <sheetName val="Winston"/>
      <sheetName val="Longer Boats"/>
      <sheetName val="Bumles"/>
      <sheetName val="Práctica 3 Informática"/>
      <sheetName val="Listas"/>
      <sheetName val="Filtros"/>
      <sheetName val="Romasa"/>
      <sheetName val="AnaEEFF"/>
      <sheetName val="PCQ"/>
    </sheetNames>
    <sheetDataSet>
      <sheetData sheetId="0"/>
      <sheetData sheetId="1"/>
      <sheetData sheetId="2"/>
      <sheetData sheetId="3"/>
      <sheetData sheetId="4"/>
      <sheetData sheetId="5"/>
      <sheetData sheetId="6"/>
      <sheetData sheetId="7"/>
      <sheetData sheetId="8"/>
      <sheetData sheetId="9"/>
      <sheetData sheetId="10"/>
      <sheetData sheetId="11">
        <row r="3">
          <cell r="B3">
            <v>10000</v>
          </cell>
        </row>
        <row r="4">
          <cell r="B4">
            <v>0.01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o Formal"/>
      <sheetName val="Solver"/>
    </sheetNames>
    <sheetDataSet>
      <sheetData sheetId="0">
        <row r="23">
          <cell r="B23">
            <v>2</v>
          </cell>
          <cell r="E23">
            <v>20</v>
          </cell>
        </row>
        <row r="24">
          <cell r="B24">
            <v>4</v>
          </cell>
          <cell r="E24">
            <v>100</v>
          </cell>
        </row>
      </sheetData>
      <sheetData sheetId="1"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tabSelected="1" zoomScale="150" zoomScaleNormal="150" workbookViewId="0">
      <pane ySplit="3" topLeftCell="A4" activePane="bottomLeft" state="frozen"/>
      <selection pane="bottomLeft" activeCell="E5" sqref="E5"/>
    </sheetView>
  </sheetViews>
  <sheetFormatPr baseColWidth="10" defaultColWidth="11.44140625" defaultRowHeight="14.4" x14ac:dyDescent="0.3"/>
  <cols>
    <col min="1" max="1" width="55.88671875" style="2" customWidth="1"/>
    <col min="2" max="16384" width="11.44140625" style="2"/>
  </cols>
  <sheetData>
    <row r="1" spans="1:4" x14ac:dyDescent="0.3">
      <c r="A1" s="1" t="s">
        <v>0</v>
      </c>
    </row>
    <row r="2" spans="1:4" x14ac:dyDescent="0.3">
      <c r="A2" t="s">
        <v>11</v>
      </c>
      <c r="B2"/>
      <c r="C2"/>
      <c r="D2"/>
    </row>
    <row r="3" spans="1:4" x14ac:dyDescent="0.3">
      <c r="A3" s="5" t="s">
        <v>12</v>
      </c>
      <c r="B3" s="5" t="s">
        <v>13</v>
      </c>
      <c r="C3" s="5" t="s">
        <v>14</v>
      </c>
      <c r="D3" s="5" t="s">
        <v>15</v>
      </c>
    </row>
    <row r="4" spans="1:4" x14ac:dyDescent="0.3">
      <c r="A4" s="3" t="s">
        <v>16</v>
      </c>
      <c r="B4" s="4"/>
      <c r="C4" s="4"/>
      <c r="D4" s="4"/>
    </row>
    <row r="5" spans="1:4" x14ac:dyDescent="0.3">
      <c r="A5" s="3" t="s">
        <v>17</v>
      </c>
      <c r="B5" s="4"/>
      <c r="C5" s="4"/>
      <c r="D5" s="4"/>
    </row>
    <row r="6" spans="1:4" x14ac:dyDescent="0.3">
      <c r="A6" s="3" t="s">
        <v>18</v>
      </c>
      <c r="B6" s="4"/>
      <c r="C6" s="4"/>
      <c r="D6" s="4"/>
    </row>
    <row r="7" spans="1:4" x14ac:dyDescent="0.3">
      <c r="A7" s="3" t="s">
        <v>19</v>
      </c>
      <c r="B7" s="4"/>
      <c r="C7" s="4"/>
      <c r="D7" s="4"/>
    </row>
    <row r="8" spans="1:4" x14ac:dyDescent="0.3">
      <c r="A8" s="3" t="s">
        <v>20</v>
      </c>
      <c r="B8" s="4"/>
      <c r="C8" s="4"/>
      <c r="D8" s="4"/>
    </row>
    <row r="9" spans="1:4" x14ac:dyDescent="0.3">
      <c r="A9" s="3" t="s">
        <v>21</v>
      </c>
      <c r="B9" s="4"/>
      <c r="C9" s="4"/>
      <c r="D9" s="4"/>
    </row>
    <row r="10" spans="1:4" x14ac:dyDescent="0.3">
      <c r="A10" s="3" t="s">
        <v>22</v>
      </c>
      <c r="B10" s="4"/>
      <c r="C10" s="4"/>
      <c r="D10" s="4"/>
    </row>
    <row r="11" spans="1:4" x14ac:dyDescent="0.3">
      <c r="A11" s="3" t="s">
        <v>312</v>
      </c>
      <c r="B11" s="4"/>
      <c r="C11" s="4"/>
      <c r="D11" s="4"/>
    </row>
    <row r="12" spans="1:4" x14ac:dyDescent="0.3">
      <c r="A12" s="3" t="s">
        <v>313</v>
      </c>
      <c r="B12" s="4"/>
      <c r="C12" s="4"/>
      <c r="D12" s="4"/>
    </row>
    <row r="13" spans="1:4" x14ac:dyDescent="0.3">
      <c r="A13" s="3" t="s">
        <v>314</v>
      </c>
      <c r="B13" s="4"/>
      <c r="C13" s="4"/>
      <c r="D13" s="4"/>
    </row>
    <row r="14" spans="1:4" x14ac:dyDescent="0.3">
      <c r="A14" s="3" t="s">
        <v>23</v>
      </c>
      <c r="B14" s="4"/>
      <c r="C14" s="4"/>
      <c r="D14" s="4"/>
    </row>
    <row r="15" spans="1:4" x14ac:dyDescent="0.3">
      <c r="A15" s="3" t="s">
        <v>24</v>
      </c>
      <c r="B15" s="4"/>
      <c r="C15" s="4"/>
      <c r="D15" s="4"/>
    </row>
    <row r="16" spans="1:4" x14ac:dyDescent="0.3">
      <c r="A16" s="3" t="s">
        <v>25</v>
      </c>
      <c r="B16" s="4"/>
      <c r="C16" s="4"/>
      <c r="D16" s="4"/>
    </row>
    <row r="17" spans="1:4" x14ac:dyDescent="0.3">
      <c r="A17" s="3" t="s">
        <v>26</v>
      </c>
      <c r="B17" s="4"/>
      <c r="C17" s="4"/>
      <c r="D17" s="4"/>
    </row>
    <row r="18" spans="1:4" x14ac:dyDescent="0.3">
      <c r="A18" s="3" t="s">
        <v>27</v>
      </c>
      <c r="B18" s="4"/>
      <c r="C18" s="4"/>
      <c r="D18" s="4"/>
    </row>
    <row r="19" spans="1:4" x14ac:dyDescent="0.3">
      <c r="A19" s="3" t="s">
        <v>28</v>
      </c>
      <c r="B19" s="4"/>
      <c r="C19" s="4"/>
      <c r="D19" s="4"/>
    </row>
    <row r="20" spans="1:4" x14ac:dyDescent="0.3">
      <c r="A20" s="3" t="s">
        <v>29</v>
      </c>
      <c r="B20" s="131"/>
      <c r="C20" s="131"/>
      <c r="D20" s="131"/>
    </row>
    <row r="21" spans="1:4" x14ac:dyDescent="0.3">
      <c r="A21" s="3" t="s">
        <v>30</v>
      </c>
      <c r="B21" s="4"/>
      <c r="C21" s="4"/>
      <c r="D21" s="4"/>
    </row>
    <row r="22" spans="1:4" x14ac:dyDescent="0.3">
      <c r="A22" s="3" t="s">
        <v>31</v>
      </c>
      <c r="B22" s="4"/>
      <c r="C22" s="4"/>
      <c r="D22" s="4"/>
    </row>
    <row r="23" spans="1:4" x14ac:dyDescent="0.3">
      <c r="A23" s="3" t="s">
        <v>32</v>
      </c>
      <c r="B23" s="4"/>
      <c r="C23" s="4"/>
      <c r="D23"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zoomScale="110" zoomScaleNormal="110" workbookViewId="0">
      <pane ySplit="3" topLeftCell="A4" activePane="bottomLeft" state="frozen"/>
      <selection pane="bottomLeft" activeCell="B15" sqref="B15"/>
    </sheetView>
  </sheetViews>
  <sheetFormatPr baseColWidth="10" defaultColWidth="9.109375" defaultRowHeight="14.4" x14ac:dyDescent="0.3"/>
  <cols>
    <col min="1" max="1" width="9.109375" style="2"/>
    <col min="2" max="2" width="52.33203125" style="2" bestFit="1" customWidth="1"/>
    <col min="3" max="16384" width="9.109375" style="2"/>
  </cols>
  <sheetData>
    <row r="1" spans="1:5" x14ac:dyDescent="0.3">
      <c r="A1" s="1" t="s">
        <v>1</v>
      </c>
    </row>
    <row r="2" spans="1:5" x14ac:dyDescent="0.3">
      <c r="A2" t="s">
        <v>11</v>
      </c>
    </row>
    <row r="3" spans="1:5" x14ac:dyDescent="0.3">
      <c r="A3" s="9" t="s">
        <v>33</v>
      </c>
      <c r="B3" s="10" t="s">
        <v>12</v>
      </c>
      <c r="C3" s="11" t="s">
        <v>13</v>
      </c>
      <c r="D3" s="11" t="s">
        <v>14</v>
      </c>
      <c r="E3" s="11" t="s">
        <v>15</v>
      </c>
    </row>
    <row r="4" spans="1:5" x14ac:dyDescent="0.3">
      <c r="A4" s="6">
        <v>1</v>
      </c>
      <c r="B4" s="7" t="s">
        <v>34</v>
      </c>
      <c r="C4" s="4"/>
      <c r="D4" s="4"/>
      <c r="E4" s="4"/>
    </row>
    <row r="5" spans="1:5" x14ac:dyDescent="0.3">
      <c r="A5" s="6">
        <v>2</v>
      </c>
      <c r="B5" s="7" t="s">
        <v>35</v>
      </c>
      <c r="C5" s="4"/>
      <c r="D5" s="4"/>
      <c r="E5" s="4"/>
    </row>
    <row r="6" spans="1:5" x14ac:dyDescent="0.3">
      <c r="A6" s="6">
        <v>3</v>
      </c>
      <c r="B6" s="7" t="s">
        <v>36</v>
      </c>
      <c r="C6" s="4"/>
      <c r="D6" s="4"/>
      <c r="E6" s="4"/>
    </row>
    <row r="7" spans="1:5" x14ac:dyDescent="0.3">
      <c r="A7" s="6">
        <v>4</v>
      </c>
      <c r="B7" s="7" t="s">
        <v>37</v>
      </c>
      <c r="C7" s="4"/>
      <c r="D7" s="4"/>
      <c r="E7" s="4"/>
    </row>
    <row r="8" spans="1:5" x14ac:dyDescent="0.3">
      <c r="A8" s="6">
        <v>5</v>
      </c>
      <c r="B8" s="7" t="s">
        <v>38</v>
      </c>
      <c r="C8" s="4"/>
      <c r="D8" s="4"/>
      <c r="E8" s="4"/>
    </row>
    <row r="9" spans="1:5" x14ac:dyDescent="0.3">
      <c r="A9" s="6">
        <v>6</v>
      </c>
      <c r="B9" s="7" t="s">
        <v>39</v>
      </c>
      <c r="C9" s="4"/>
      <c r="D9" s="4"/>
      <c r="E9" s="4"/>
    </row>
    <row r="10" spans="1:5" x14ac:dyDescent="0.3">
      <c r="A10" s="6">
        <v>7</v>
      </c>
      <c r="B10" s="7" t="s">
        <v>40</v>
      </c>
      <c r="C10" s="4"/>
      <c r="D10" s="4"/>
      <c r="E10" s="4"/>
    </row>
    <row r="11" spans="1:5" x14ac:dyDescent="0.3">
      <c r="A11" s="6">
        <v>8</v>
      </c>
      <c r="B11" s="7" t="s">
        <v>41</v>
      </c>
      <c r="C11" s="4"/>
      <c r="D11" s="4"/>
      <c r="E11" s="4"/>
    </row>
    <row r="12" spans="1:5" x14ac:dyDescent="0.3">
      <c r="A12" s="6">
        <v>9</v>
      </c>
      <c r="B12" s="7" t="s">
        <v>42</v>
      </c>
      <c r="C12" s="4"/>
      <c r="D12" s="4"/>
      <c r="E12" s="4"/>
    </row>
    <row r="13" spans="1:5" x14ac:dyDescent="0.3">
      <c r="A13" s="6">
        <v>10</v>
      </c>
      <c r="B13" s="7" t="s">
        <v>43</v>
      </c>
      <c r="C13" s="4"/>
      <c r="D13" s="4"/>
      <c r="E13" s="4"/>
    </row>
    <row r="14" spans="1:5" x14ac:dyDescent="0.3">
      <c r="A14" s="6">
        <v>11</v>
      </c>
      <c r="B14" s="7" t="s">
        <v>44</v>
      </c>
      <c r="C14" s="4"/>
      <c r="D14" s="4"/>
      <c r="E14" s="4"/>
    </row>
    <row r="15" spans="1:5" x14ac:dyDescent="0.3">
      <c r="A15" s="6">
        <v>12</v>
      </c>
      <c r="B15" s="7" t="s">
        <v>45</v>
      </c>
      <c r="C15" s="4"/>
      <c r="D15" s="4"/>
      <c r="E15" s="4"/>
    </row>
    <row r="16" spans="1:5" x14ac:dyDescent="0.3">
      <c r="A16" s="6">
        <v>13</v>
      </c>
      <c r="B16" s="7" t="s">
        <v>46</v>
      </c>
      <c r="C16" s="4"/>
      <c r="D16" s="4"/>
      <c r="E16" s="4"/>
    </row>
    <row r="17" spans="1:5" x14ac:dyDescent="0.3">
      <c r="A17" s="6">
        <v>14</v>
      </c>
      <c r="B17" s="7" t="s">
        <v>47</v>
      </c>
      <c r="C17" s="4"/>
      <c r="D17" s="4"/>
      <c r="E17" s="4"/>
    </row>
    <row r="18" spans="1:5" x14ac:dyDescent="0.3">
      <c r="A18" s="6">
        <v>15</v>
      </c>
      <c r="B18" s="8" t="s">
        <v>48</v>
      </c>
      <c r="C18" s="4"/>
      <c r="D18" s="4"/>
      <c r="E18" s="4"/>
    </row>
    <row r="19" spans="1:5" x14ac:dyDescent="0.3">
      <c r="A19" s="6">
        <v>16</v>
      </c>
      <c r="B19" s="7" t="s">
        <v>49</v>
      </c>
      <c r="C19" s="4"/>
      <c r="D19" s="4"/>
      <c r="E19"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3"/>
  <sheetViews>
    <sheetView workbookViewId="0">
      <selection activeCell="A29" sqref="A29"/>
    </sheetView>
  </sheetViews>
  <sheetFormatPr baseColWidth="10" defaultColWidth="11.44140625" defaultRowHeight="14.4" x14ac:dyDescent="0.3"/>
  <cols>
    <col min="1" max="1" width="62.5546875" style="2" bestFit="1" customWidth="1"/>
    <col min="2" max="16384" width="11.44140625" style="2"/>
  </cols>
  <sheetData>
    <row r="1" spans="1:4" x14ac:dyDescent="0.3">
      <c r="A1" s="1" t="s">
        <v>2</v>
      </c>
    </row>
    <row r="2" spans="1:4" x14ac:dyDescent="0.3">
      <c r="A2" t="s">
        <v>11</v>
      </c>
      <c r="B2"/>
      <c r="C2"/>
      <c r="D2"/>
    </row>
    <row r="3" spans="1:4" x14ac:dyDescent="0.3">
      <c r="A3" s="5" t="s">
        <v>12</v>
      </c>
      <c r="B3" s="5" t="s">
        <v>13</v>
      </c>
      <c r="C3" s="5" t="s">
        <v>14</v>
      </c>
      <c r="D3" s="5" t="s">
        <v>15</v>
      </c>
    </row>
    <row r="4" spans="1:4" x14ac:dyDescent="0.3">
      <c r="A4" s="3" t="s">
        <v>50</v>
      </c>
      <c r="B4" s="4"/>
      <c r="C4" s="4"/>
      <c r="D4" s="4"/>
    </row>
    <row r="5" spans="1:4" x14ac:dyDescent="0.3">
      <c r="A5" s="3" t="s">
        <v>51</v>
      </c>
      <c r="B5" s="4"/>
      <c r="C5" s="4"/>
      <c r="D5" s="4"/>
    </row>
    <row r="6" spans="1:4" x14ac:dyDescent="0.3">
      <c r="A6" s="3" t="s">
        <v>52</v>
      </c>
      <c r="B6" s="4"/>
      <c r="C6" s="4"/>
      <c r="D6" s="4"/>
    </row>
    <row r="7" spans="1:4" x14ac:dyDescent="0.3">
      <c r="A7" s="3" t="s">
        <v>53</v>
      </c>
      <c r="B7" s="4"/>
      <c r="C7" s="4"/>
      <c r="D7" s="4"/>
    </row>
    <row r="8" spans="1:4" x14ac:dyDescent="0.3">
      <c r="A8" s="3" t="s">
        <v>54</v>
      </c>
      <c r="B8" s="4"/>
      <c r="C8" s="4"/>
      <c r="D8" s="4"/>
    </row>
    <row r="9" spans="1:4" x14ac:dyDescent="0.3">
      <c r="A9" s="3" t="s">
        <v>55</v>
      </c>
      <c r="B9" s="4"/>
      <c r="C9" s="4"/>
      <c r="D9" s="4"/>
    </row>
    <row r="10" spans="1:4" x14ac:dyDescent="0.3">
      <c r="A10" s="3" t="s">
        <v>56</v>
      </c>
      <c r="B10" s="4"/>
      <c r="C10" s="4"/>
      <c r="D10" s="4"/>
    </row>
    <row r="11" spans="1:4" x14ac:dyDescent="0.3">
      <c r="A11" s="3" t="s">
        <v>57</v>
      </c>
      <c r="B11" s="4"/>
      <c r="C11" s="4"/>
      <c r="D11" s="4"/>
    </row>
    <row r="12" spans="1:4" x14ac:dyDescent="0.3">
      <c r="A12" s="3" t="s">
        <v>58</v>
      </c>
      <c r="B12" s="4"/>
      <c r="C12" s="4"/>
      <c r="D12" s="4"/>
    </row>
    <row r="13" spans="1:4" x14ac:dyDescent="0.3">
      <c r="A13" s="3" t="s">
        <v>59</v>
      </c>
      <c r="B13" s="4"/>
      <c r="C13" s="4"/>
      <c r="D13" s="4"/>
    </row>
    <row r="14" spans="1:4" x14ac:dyDescent="0.3">
      <c r="A14" s="3" t="s">
        <v>60</v>
      </c>
      <c r="B14" s="4"/>
      <c r="C14" s="4"/>
      <c r="D14" s="4"/>
    </row>
    <row r="15" spans="1:4" x14ac:dyDescent="0.3">
      <c r="A15" s="3" t="s">
        <v>61</v>
      </c>
      <c r="B15" s="4"/>
      <c r="C15" s="4"/>
      <c r="D15" s="4"/>
    </row>
    <row r="16" spans="1:4" x14ac:dyDescent="0.3">
      <c r="A16" s="3" t="s">
        <v>62</v>
      </c>
      <c r="B16" s="4"/>
      <c r="C16" s="4"/>
      <c r="D16" s="4"/>
    </row>
    <row r="17" spans="1:4" x14ac:dyDescent="0.3">
      <c r="A17" s="3" t="s">
        <v>63</v>
      </c>
      <c r="B17" s="4"/>
      <c r="C17" s="4"/>
      <c r="D17" s="4"/>
    </row>
    <row r="18" spans="1:4" x14ac:dyDescent="0.3">
      <c r="A18" s="3" t="s">
        <v>64</v>
      </c>
      <c r="B18" s="4"/>
      <c r="C18" s="4"/>
      <c r="D18" s="4"/>
    </row>
    <row r="19" spans="1:4" x14ac:dyDescent="0.3">
      <c r="A19" s="3" t="s">
        <v>65</v>
      </c>
      <c r="B19" s="4"/>
      <c r="C19" s="4"/>
      <c r="D19" s="4"/>
    </row>
    <row r="20" spans="1:4" x14ac:dyDescent="0.3">
      <c r="A20" s="3" t="s">
        <v>66</v>
      </c>
      <c r="B20" s="4"/>
      <c r="C20" s="4"/>
      <c r="D20" s="4"/>
    </row>
    <row r="21" spans="1:4" x14ac:dyDescent="0.3">
      <c r="A21" s="3" t="s">
        <v>67</v>
      </c>
      <c r="B21" s="4"/>
      <c r="C21" s="4"/>
      <c r="D21" s="4"/>
    </row>
    <row r="22" spans="1:4" x14ac:dyDescent="0.3">
      <c r="A22" s="3" t="s">
        <v>68</v>
      </c>
      <c r="B22" s="4"/>
      <c r="C22" s="4"/>
      <c r="D22" s="4"/>
    </row>
    <row r="23" spans="1:4" x14ac:dyDescent="0.3">
      <c r="A23" s="3" t="s">
        <v>69</v>
      </c>
      <c r="B23" s="4"/>
      <c r="C23" s="4"/>
      <c r="D23"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8"/>
  <sheetViews>
    <sheetView workbookViewId="0">
      <selection activeCell="B22" sqref="B22"/>
    </sheetView>
  </sheetViews>
  <sheetFormatPr baseColWidth="10" defaultColWidth="11.44140625" defaultRowHeight="14.4" x14ac:dyDescent="0.3"/>
  <cols>
    <col min="1" max="1" width="53" style="2" customWidth="1"/>
    <col min="2" max="16384" width="11.44140625" style="2"/>
  </cols>
  <sheetData>
    <row r="1" spans="1:3" x14ac:dyDescent="0.3">
      <c r="A1" s="1" t="s">
        <v>3</v>
      </c>
    </row>
    <row r="2" spans="1:3" x14ac:dyDescent="0.3">
      <c r="A2" s="12" t="s">
        <v>87</v>
      </c>
      <c r="B2" s="12"/>
      <c r="C2" s="12"/>
    </row>
    <row r="3" spans="1:3" x14ac:dyDescent="0.3">
      <c r="A3" s="15" t="s">
        <v>12</v>
      </c>
      <c r="B3" s="16" t="s">
        <v>86</v>
      </c>
      <c r="C3" s="16" t="s">
        <v>70</v>
      </c>
    </row>
    <row r="4" spans="1:3" x14ac:dyDescent="0.3">
      <c r="A4" s="13" t="s">
        <v>71</v>
      </c>
      <c r="B4" s="14"/>
      <c r="C4" s="14"/>
    </row>
    <row r="5" spans="1:3" x14ac:dyDescent="0.3">
      <c r="A5" s="13" t="s">
        <v>72</v>
      </c>
      <c r="B5" s="14"/>
      <c r="C5" s="14"/>
    </row>
    <row r="6" spans="1:3" x14ac:dyDescent="0.3">
      <c r="A6" s="13" t="s">
        <v>73</v>
      </c>
      <c r="B6" s="14"/>
      <c r="C6" s="14"/>
    </row>
    <row r="7" spans="1:3" x14ac:dyDescent="0.3">
      <c r="A7" s="13" t="s">
        <v>74</v>
      </c>
      <c r="B7" s="14"/>
      <c r="C7" s="14"/>
    </row>
    <row r="8" spans="1:3" x14ac:dyDescent="0.3">
      <c r="A8" s="13" t="s">
        <v>75</v>
      </c>
      <c r="B8" s="14"/>
      <c r="C8" s="14"/>
    </row>
    <row r="9" spans="1:3" x14ac:dyDescent="0.3">
      <c r="A9" s="13" t="s">
        <v>76</v>
      </c>
      <c r="B9" s="14"/>
      <c r="C9" s="14"/>
    </row>
    <row r="10" spans="1:3" x14ac:dyDescent="0.3">
      <c r="A10" s="13" t="s">
        <v>77</v>
      </c>
      <c r="B10" s="14"/>
      <c r="C10" s="14"/>
    </row>
    <row r="11" spans="1:3" x14ac:dyDescent="0.3">
      <c r="A11" s="13" t="s">
        <v>78</v>
      </c>
      <c r="B11" s="14"/>
      <c r="C11" s="14"/>
    </row>
    <row r="12" spans="1:3" x14ac:dyDescent="0.3">
      <c r="A12" s="13" t="s">
        <v>79</v>
      </c>
      <c r="B12" s="14"/>
      <c r="C12" s="14"/>
    </row>
    <row r="13" spans="1:3" x14ac:dyDescent="0.3">
      <c r="A13" s="13" t="s">
        <v>80</v>
      </c>
      <c r="B13" s="14"/>
      <c r="C13" s="14"/>
    </row>
    <row r="14" spans="1:3" x14ac:dyDescent="0.3">
      <c r="A14" s="13" t="s">
        <v>81</v>
      </c>
      <c r="B14" s="14"/>
      <c r="C14" s="14"/>
    </row>
    <row r="15" spans="1:3" x14ac:dyDescent="0.3">
      <c r="A15" s="13" t="s">
        <v>82</v>
      </c>
      <c r="B15" s="14"/>
      <c r="C15" s="14"/>
    </row>
    <row r="16" spans="1:3" x14ac:dyDescent="0.3">
      <c r="A16" s="13" t="s">
        <v>83</v>
      </c>
      <c r="B16" s="14"/>
      <c r="C16" s="14"/>
    </row>
    <row r="17" spans="1:3" x14ac:dyDescent="0.3">
      <c r="A17" s="13" t="s">
        <v>84</v>
      </c>
      <c r="B17" s="14"/>
      <c r="C17" s="14"/>
    </row>
    <row r="18" spans="1:3" x14ac:dyDescent="0.3">
      <c r="A18" s="13" t="s">
        <v>85</v>
      </c>
      <c r="B18" s="14"/>
      <c r="C18"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
  <sheetViews>
    <sheetView workbookViewId="0">
      <selection activeCell="B19" sqref="B19"/>
    </sheetView>
  </sheetViews>
  <sheetFormatPr baseColWidth="10" defaultColWidth="11.44140625" defaultRowHeight="14.4" x14ac:dyDescent="0.3"/>
  <cols>
    <col min="1" max="1" width="40.109375" style="2" customWidth="1"/>
    <col min="2" max="16384" width="11.44140625" style="2"/>
  </cols>
  <sheetData>
    <row r="1" spans="1:3" x14ac:dyDescent="0.3">
      <c r="A1" s="1" t="s">
        <v>4</v>
      </c>
    </row>
    <row r="2" spans="1:3" x14ac:dyDescent="0.3">
      <c r="A2" s="17" t="s">
        <v>97</v>
      </c>
    </row>
    <row r="3" spans="1:3" x14ac:dyDescent="0.3">
      <c r="A3" s="18" t="s">
        <v>88</v>
      </c>
      <c r="B3" s="5" t="s">
        <v>86</v>
      </c>
      <c r="C3" s="5" t="s">
        <v>70</v>
      </c>
    </row>
    <row r="4" spans="1:3" x14ac:dyDescent="0.3">
      <c r="A4" s="7" t="s">
        <v>89</v>
      </c>
      <c r="B4" s="4"/>
      <c r="C4" s="4"/>
    </row>
    <row r="5" spans="1:3" x14ac:dyDescent="0.3">
      <c r="A5" s="7" t="s">
        <v>90</v>
      </c>
      <c r="B5" s="4"/>
      <c r="C5" s="4"/>
    </row>
    <row r="6" spans="1:3" x14ac:dyDescent="0.3">
      <c r="A6" s="7" t="s">
        <v>91</v>
      </c>
      <c r="B6" s="4"/>
      <c r="C6" s="4"/>
    </row>
    <row r="7" spans="1:3" x14ac:dyDescent="0.3">
      <c r="A7" s="7" t="s">
        <v>92</v>
      </c>
      <c r="B7" s="4"/>
      <c r="C7" s="4"/>
    </row>
    <row r="8" spans="1:3" x14ac:dyDescent="0.3">
      <c r="A8" s="7" t="s">
        <v>93</v>
      </c>
      <c r="B8" s="4"/>
      <c r="C8" s="4"/>
    </row>
    <row r="9" spans="1:3" x14ac:dyDescent="0.3">
      <c r="A9" s="7" t="s">
        <v>94</v>
      </c>
      <c r="B9" s="4"/>
      <c r="C9" s="4"/>
    </row>
    <row r="10" spans="1:3" x14ac:dyDescent="0.3">
      <c r="A10" s="7" t="s">
        <v>95</v>
      </c>
      <c r="B10" s="4"/>
      <c r="C10" s="4"/>
    </row>
    <row r="11" spans="1:3" x14ac:dyDescent="0.3">
      <c r="A11" s="7" t="s">
        <v>96</v>
      </c>
      <c r="B11" s="4"/>
      <c r="C11"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3"/>
  <sheetViews>
    <sheetView workbookViewId="0">
      <selection activeCell="G11" sqref="G11"/>
    </sheetView>
  </sheetViews>
  <sheetFormatPr baseColWidth="10" defaultColWidth="11.44140625" defaultRowHeight="14.4" x14ac:dyDescent="0.3"/>
  <cols>
    <col min="1" max="1" width="36.33203125" style="2" bestFit="1" customWidth="1"/>
    <col min="2" max="16384" width="11.44140625" style="2"/>
  </cols>
  <sheetData>
    <row r="1" spans="1:3" x14ac:dyDescent="0.3">
      <c r="A1" s="1" t="s">
        <v>5</v>
      </c>
    </row>
    <row r="2" spans="1:3" x14ac:dyDescent="0.3">
      <c r="A2" t="s">
        <v>108</v>
      </c>
      <c r="B2"/>
      <c r="C2"/>
    </row>
    <row r="3" spans="1:3" x14ac:dyDescent="0.3">
      <c r="A3" s="18" t="s">
        <v>88</v>
      </c>
      <c r="B3" s="5" t="s">
        <v>86</v>
      </c>
      <c r="C3" s="5" t="s">
        <v>70</v>
      </c>
    </row>
    <row r="4" spans="1:3" x14ac:dyDescent="0.3">
      <c r="A4" s="7" t="s">
        <v>98</v>
      </c>
      <c r="B4" s="4"/>
      <c r="C4" s="4"/>
    </row>
    <row r="5" spans="1:3" x14ac:dyDescent="0.3">
      <c r="A5" s="7" t="s">
        <v>99</v>
      </c>
      <c r="B5" s="4"/>
      <c r="C5" s="4"/>
    </row>
    <row r="6" spans="1:3" x14ac:dyDescent="0.3">
      <c r="A6" s="7" t="s">
        <v>100</v>
      </c>
      <c r="B6" s="4"/>
      <c r="C6" s="4"/>
    </row>
    <row r="7" spans="1:3" x14ac:dyDescent="0.3">
      <c r="A7" s="7" t="s">
        <v>101</v>
      </c>
      <c r="B7" s="4"/>
      <c r="C7" s="4"/>
    </row>
    <row r="8" spans="1:3" x14ac:dyDescent="0.3">
      <c r="A8" s="7" t="s">
        <v>102</v>
      </c>
      <c r="B8" s="4"/>
      <c r="C8" s="4"/>
    </row>
    <row r="9" spans="1:3" x14ac:dyDescent="0.3">
      <c r="A9" s="7" t="s">
        <v>103</v>
      </c>
      <c r="B9" s="4"/>
      <c r="C9" s="4"/>
    </row>
    <row r="10" spans="1:3" x14ac:dyDescent="0.3">
      <c r="A10" s="7" t="s">
        <v>104</v>
      </c>
      <c r="B10" s="4"/>
      <c r="C10" s="4"/>
    </row>
    <row r="11" spans="1:3" x14ac:dyDescent="0.3">
      <c r="A11" s="7" t="s">
        <v>105</v>
      </c>
      <c r="B11" s="4"/>
      <c r="C11" s="4"/>
    </row>
    <row r="12" spans="1:3" x14ac:dyDescent="0.3">
      <c r="A12" s="7" t="s">
        <v>106</v>
      </c>
      <c r="B12" s="4"/>
      <c r="C12" s="4"/>
    </row>
    <row r="13" spans="1:3" x14ac:dyDescent="0.3">
      <c r="A13" s="7" t="s">
        <v>107</v>
      </c>
      <c r="B13" s="4"/>
      <c r="C13"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2"/>
  <sheetViews>
    <sheetView workbookViewId="0">
      <selection activeCell="B46" sqref="B46"/>
    </sheetView>
  </sheetViews>
  <sheetFormatPr baseColWidth="10" defaultColWidth="11.44140625" defaultRowHeight="14.4" x14ac:dyDescent="0.3"/>
  <cols>
    <col min="1" max="1" width="49" style="2" bestFit="1" customWidth="1"/>
    <col min="2" max="16384" width="11.44140625" style="2"/>
  </cols>
  <sheetData>
    <row r="1" spans="1:3" x14ac:dyDescent="0.3">
      <c r="A1" s="1" t="s">
        <v>6</v>
      </c>
    </row>
    <row r="2" spans="1:3" x14ac:dyDescent="0.3">
      <c r="A2" s="17" t="s">
        <v>115</v>
      </c>
      <c r="B2"/>
      <c r="C2"/>
    </row>
    <row r="3" spans="1:3" x14ac:dyDescent="0.3">
      <c r="A3" s="18" t="s">
        <v>88</v>
      </c>
      <c r="B3" s="5" t="s">
        <v>86</v>
      </c>
      <c r="C3" s="5" t="s">
        <v>70</v>
      </c>
    </row>
    <row r="4" spans="1:3" x14ac:dyDescent="0.3">
      <c r="A4" s="7" t="s">
        <v>109</v>
      </c>
      <c r="B4" s="4"/>
      <c r="C4" s="4"/>
    </row>
    <row r="5" spans="1:3" x14ac:dyDescent="0.3">
      <c r="A5" s="7" t="s">
        <v>110</v>
      </c>
      <c r="B5" s="4"/>
      <c r="C5" s="4"/>
    </row>
    <row r="6" spans="1:3" x14ac:dyDescent="0.3">
      <c r="A6" s="7" t="s">
        <v>111</v>
      </c>
      <c r="B6" s="4"/>
      <c r="C6" s="4"/>
    </row>
    <row r="7" spans="1:3" x14ac:dyDescent="0.3">
      <c r="A7" s="7" t="s">
        <v>112</v>
      </c>
      <c r="B7" s="4"/>
      <c r="C7" s="4"/>
    </row>
    <row r="8" spans="1:3" x14ac:dyDescent="0.3">
      <c r="A8" s="7" t="s">
        <v>113</v>
      </c>
      <c r="B8" s="4"/>
      <c r="C8" s="4"/>
    </row>
    <row r="9" spans="1:3" x14ac:dyDescent="0.3">
      <c r="A9" s="7" t="s">
        <v>114</v>
      </c>
      <c r="B9" s="4"/>
      <c r="C9" s="4"/>
    </row>
    <row r="11" spans="1:3" x14ac:dyDescent="0.3">
      <c r="A11" s="2" t="s">
        <v>253</v>
      </c>
    </row>
    <row r="12" spans="1:3" x14ac:dyDescent="0.3">
      <c r="A12" s="1" t="s">
        <v>245</v>
      </c>
    </row>
    <row r="13" spans="1:3" x14ac:dyDescent="0.3">
      <c r="B13" s="30" t="s">
        <v>251</v>
      </c>
    </row>
    <row r="14" spans="1:3" x14ac:dyDescent="0.3">
      <c r="A14" s="2" t="s">
        <v>246</v>
      </c>
      <c r="B14" s="31"/>
    </row>
    <row r="15" spans="1:3" x14ac:dyDescent="0.3">
      <c r="A15" s="2" t="s">
        <v>247</v>
      </c>
      <c r="B15" s="31"/>
    </row>
    <row r="16" spans="1:3" x14ac:dyDescent="0.3">
      <c r="A16" s="2" t="s">
        <v>248</v>
      </c>
      <c r="B16" s="31"/>
    </row>
    <row r="17" spans="1:2" x14ac:dyDescent="0.3">
      <c r="A17" s="2" t="s">
        <v>249</v>
      </c>
      <c r="B17" s="31"/>
    </row>
    <row r="18" spans="1:2" x14ac:dyDescent="0.3">
      <c r="A18" s="2" t="s">
        <v>250</v>
      </c>
      <c r="B18" s="31"/>
    </row>
    <row r="20" spans="1:2" x14ac:dyDescent="0.3">
      <c r="A20" s="1" t="s">
        <v>252</v>
      </c>
    </row>
    <row r="21" spans="1:2" x14ac:dyDescent="0.3">
      <c r="B21" s="30" t="s">
        <v>251</v>
      </c>
    </row>
    <row r="22" spans="1:2" x14ac:dyDescent="0.3">
      <c r="A22" s="2" t="s">
        <v>254</v>
      </c>
      <c r="B22" s="31"/>
    </row>
    <row r="23" spans="1:2" x14ac:dyDescent="0.3">
      <c r="A23" s="2" t="s">
        <v>255</v>
      </c>
      <c r="B23" s="31"/>
    </row>
    <row r="24" spans="1:2" x14ac:dyDescent="0.3">
      <c r="A24" s="2" t="s">
        <v>256</v>
      </c>
      <c r="B24" s="31"/>
    </row>
    <row r="25" spans="1:2" x14ac:dyDescent="0.3">
      <c r="A25" s="2" t="s">
        <v>257</v>
      </c>
      <c r="B25" s="31"/>
    </row>
    <row r="26" spans="1:2" x14ac:dyDescent="0.3">
      <c r="A26" s="2" t="s">
        <v>258</v>
      </c>
      <c r="B26" s="31"/>
    </row>
    <row r="28" spans="1:2" x14ac:dyDescent="0.3">
      <c r="A28" s="1" t="s">
        <v>259</v>
      </c>
    </row>
    <row r="29" spans="1:2" x14ac:dyDescent="0.3">
      <c r="B29" s="30" t="s">
        <v>251</v>
      </c>
    </row>
    <row r="30" spans="1:2" x14ac:dyDescent="0.3">
      <c r="A30" s="2" t="s">
        <v>260</v>
      </c>
      <c r="B30" s="31"/>
    </row>
    <row r="31" spans="1:2" x14ac:dyDescent="0.3">
      <c r="A31" s="2" t="s">
        <v>261</v>
      </c>
      <c r="B31" s="31"/>
    </row>
    <row r="32" spans="1:2" ht="28.8" x14ac:dyDescent="0.3">
      <c r="A32" s="33" t="s">
        <v>262</v>
      </c>
      <c r="B32" s="34"/>
    </row>
    <row r="33" spans="1:2" ht="28.8" x14ac:dyDescent="0.3">
      <c r="A33" s="35" t="s">
        <v>263</v>
      </c>
      <c r="B33" s="34"/>
    </row>
    <row r="34" spans="1:2" x14ac:dyDescent="0.3">
      <c r="A34" s="2" t="s">
        <v>264</v>
      </c>
      <c r="B34" s="31"/>
    </row>
    <row r="36" spans="1:2" x14ac:dyDescent="0.3">
      <c r="A36" s="1" t="s">
        <v>265</v>
      </c>
    </row>
    <row r="37" spans="1:2" x14ac:dyDescent="0.3">
      <c r="B37" s="30" t="s">
        <v>251</v>
      </c>
    </row>
    <row r="38" spans="1:2" ht="28.8" x14ac:dyDescent="0.3">
      <c r="A38" s="33" t="s">
        <v>266</v>
      </c>
      <c r="B38" s="34"/>
    </row>
    <row r="39" spans="1:2" ht="57.6" x14ac:dyDescent="0.3">
      <c r="A39" s="32" t="s">
        <v>267</v>
      </c>
      <c r="B39" s="36"/>
    </row>
    <row r="40" spans="1:2" ht="28.8" x14ac:dyDescent="0.3">
      <c r="A40" s="33" t="s">
        <v>268</v>
      </c>
      <c r="B40" s="36"/>
    </row>
    <row r="41" spans="1:2" ht="43.2" x14ac:dyDescent="0.3">
      <c r="A41" s="35" t="s">
        <v>269</v>
      </c>
      <c r="B41" s="36"/>
    </row>
    <row r="42" spans="1:2" ht="28.8" x14ac:dyDescent="0.3">
      <c r="A42" s="32" t="s">
        <v>270</v>
      </c>
      <c r="B42" s="3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5"/>
  <sheetViews>
    <sheetView workbookViewId="0">
      <selection activeCell="F7" sqref="F7"/>
    </sheetView>
  </sheetViews>
  <sheetFormatPr baseColWidth="10" defaultColWidth="11.44140625" defaultRowHeight="14.4" x14ac:dyDescent="0.3"/>
  <cols>
    <col min="1" max="1" width="54" style="2" bestFit="1" customWidth="1"/>
    <col min="2" max="16384" width="11.44140625" style="2"/>
  </cols>
  <sheetData>
    <row r="1" spans="1:3" x14ac:dyDescent="0.3">
      <c r="A1" s="1" t="s">
        <v>7</v>
      </c>
    </row>
    <row r="2" spans="1:3" x14ac:dyDescent="0.3">
      <c r="A2" s="25" t="s">
        <v>116</v>
      </c>
      <c r="B2" s="26"/>
      <c r="C2" s="25"/>
    </row>
    <row r="3" spans="1:3" x14ac:dyDescent="0.3">
      <c r="A3" s="25" t="s">
        <v>117</v>
      </c>
      <c r="B3" s="26"/>
      <c r="C3" s="25"/>
    </row>
    <row r="4" spans="1:3" x14ac:dyDescent="0.3">
      <c r="A4" s="23" t="s">
        <v>12</v>
      </c>
      <c r="B4" s="24" t="s">
        <v>86</v>
      </c>
      <c r="C4" s="24" t="s">
        <v>70</v>
      </c>
    </row>
    <row r="5" spans="1:3" x14ac:dyDescent="0.3">
      <c r="A5" s="21" t="s">
        <v>118</v>
      </c>
      <c r="B5" s="22"/>
      <c r="C5" s="22"/>
    </row>
    <row r="6" spans="1:3" x14ac:dyDescent="0.3">
      <c r="A6" s="21" t="s">
        <v>119</v>
      </c>
      <c r="B6" s="22"/>
      <c r="C6" s="22"/>
    </row>
    <row r="7" spans="1:3" x14ac:dyDescent="0.3">
      <c r="A7" s="21" t="s">
        <v>120</v>
      </c>
      <c r="B7" s="22"/>
      <c r="C7" s="22"/>
    </row>
    <row r="8" spans="1:3" x14ac:dyDescent="0.3">
      <c r="A8" s="21" t="s">
        <v>121</v>
      </c>
      <c r="B8" s="22"/>
      <c r="C8" s="22"/>
    </row>
    <row r="9" spans="1:3" x14ac:dyDescent="0.3">
      <c r="A9" s="20" t="s">
        <v>122</v>
      </c>
      <c r="B9" s="19"/>
      <c r="C9" s="20"/>
    </row>
    <row r="10" spans="1:3" x14ac:dyDescent="0.3">
      <c r="A10" s="23" t="s">
        <v>12</v>
      </c>
      <c r="B10" s="24" t="s">
        <v>86</v>
      </c>
      <c r="C10" s="24" t="s">
        <v>70</v>
      </c>
    </row>
    <row r="11" spans="1:3" x14ac:dyDescent="0.3">
      <c r="A11" s="21" t="s">
        <v>123</v>
      </c>
      <c r="B11" s="22"/>
      <c r="C11" s="22"/>
    </row>
    <row r="12" spans="1:3" x14ac:dyDescent="0.3">
      <c r="A12" s="21" t="s">
        <v>124</v>
      </c>
      <c r="B12" s="22"/>
      <c r="C12" s="22"/>
    </row>
    <row r="13" spans="1:3" x14ac:dyDescent="0.3">
      <c r="A13" s="21" t="s">
        <v>125</v>
      </c>
      <c r="B13" s="22"/>
      <c r="C13" s="22"/>
    </row>
    <row r="14" spans="1:3" x14ac:dyDescent="0.3">
      <c r="A14" s="21" t="s">
        <v>126</v>
      </c>
      <c r="B14" s="22"/>
      <c r="C14" s="22"/>
    </row>
    <row r="15" spans="1:3" x14ac:dyDescent="0.3">
      <c r="A15" s="21" t="s">
        <v>127</v>
      </c>
      <c r="B15" s="22"/>
      <c r="C15" s="22"/>
    </row>
    <row r="16" spans="1:3" x14ac:dyDescent="0.3">
      <c r="A16" s="21" t="s">
        <v>128</v>
      </c>
      <c r="B16" s="22"/>
      <c r="C16" s="22"/>
    </row>
    <row r="17" spans="1:3" x14ac:dyDescent="0.3">
      <c r="A17" s="21" t="s">
        <v>129</v>
      </c>
      <c r="B17" s="22"/>
      <c r="C17" s="22"/>
    </row>
    <row r="18" spans="1:3" x14ac:dyDescent="0.3">
      <c r="A18" s="21" t="s">
        <v>130</v>
      </c>
      <c r="B18" s="22"/>
      <c r="C18" s="22"/>
    </row>
    <row r="19" spans="1:3" x14ac:dyDescent="0.3">
      <c r="A19" s="21" t="s">
        <v>131</v>
      </c>
      <c r="B19" s="22"/>
      <c r="C19" s="22"/>
    </row>
    <row r="20" spans="1:3" x14ac:dyDescent="0.3">
      <c r="A20" s="21" t="s">
        <v>132</v>
      </c>
      <c r="B20" s="22"/>
      <c r="C20" s="22"/>
    </row>
    <row r="21" spans="1:3" x14ac:dyDescent="0.3">
      <c r="A21" s="21" t="s">
        <v>133</v>
      </c>
      <c r="B21" s="22"/>
      <c r="C21" s="22"/>
    </row>
    <row r="22" spans="1:3" x14ac:dyDescent="0.3">
      <c r="A22" s="21" t="s">
        <v>134</v>
      </c>
      <c r="B22" s="22"/>
      <c r="C22" s="22"/>
    </row>
    <row r="23" spans="1:3" x14ac:dyDescent="0.3">
      <c r="A23" s="21" t="s">
        <v>135</v>
      </c>
      <c r="B23" s="22"/>
      <c r="C23" s="22"/>
    </row>
    <row r="24" spans="1:3" x14ac:dyDescent="0.3">
      <c r="A24" s="21" t="s">
        <v>136</v>
      </c>
      <c r="B24" s="22"/>
      <c r="C24" s="22"/>
    </row>
    <row r="25" spans="1:3" x14ac:dyDescent="0.3">
      <c r="A25" s="21" t="s">
        <v>137</v>
      </c>
      <c r="B25" s="22"/>
      <c r="C25"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3"/>
  <sheetViews>
    <sheetView workbookViewId="0">
      <selection activeCell="H26" sqref="H26"/>
    </sheetView>
  </sheetViews>
  <sheetFormatPr baseColWidth="10" defaultColWidth="11.44140625" defaultRowHeight="14.4" x14ac:dyDescent="0.3"/>
  <cols>
    <col min="1" max="1" width="14.5546875" style="2" customWidth="1"/>
    <col min="2" max="2" width="24.88671875" style="2" bestFit="1" customWidth="1"/>
    <col min="3" max="16384" width="11.44140625" style="2"/>
  </cols>
  <sheetData>
    <row r="1" spans="1:4" x14ac:dyDescent="0.3">
      <c r="A1" s="1" t="s">
        <v>8</v>
      </c>
    </row>
    <row r="2" spans="1:4" x14ac:dyDescent="0.3">
      <c r="A2" s="25" t="s">
        <v>138</v>
      </c>
      <c r="B2" s="26"/>
      <c r="C2" s="26"/>
      <c r="D2" s="25"/>
    </row>
    <row r="3" spans="1:4" x14ac:dyDescent="0.3">
      <c r="A3" s="25" t="s">
        <v>139</v>
      </c>
      <c r="B3" s="26"/>
      <c r="C3" s="26"/>
      <c r="D3" s="25"/>
    </row>
    <row r="4" spans="1:4" x14ac:dyDescent="0.3">
      <c r="A4" s="25" t="s">
        <v>140</v>
      </c>
      <c r="B4" s="26"/>
      <c r="C4" s="26"/>
      <c r="D4" s="25"/>
    </row>
    <row r="5" spans="1:4" x14ac:dyDescent="0.3">
      <c r="A5" s="23" t="s">
        <v>141</v>
      </c>
      <c r="B5" s="23" t="s">
        <v>142</v>
      </c>
      <c r="C5" s="29" t="s">
        <v>86</v>
      </c>
      <c r="D5" s="29" t="s">
        <v>70</v>
      </c>
    </row>
    <row r="6" spans="1:4" x14ac:dyDescent="0.3">
      <c r="A6" s="21" t="s">
        <v>143</v>
      </c>
      <c r="B6" s="21" t="s">
        <v>144</v>
      </c>
      <c r="C6" s="27"/>
      <c r="D6" s="27"/>
    </row>
    <row r="7" spans="1:4" x14ac:dyDescent="0.3">
      <c r="A7" s="21"/>
      <c r="B7" s="21" t="s">
        <v>145</v>
      </c>
      <c r="C7" s="27"/>
      <c r="D7" s="27"/>
    </row>
    <row r="8" spans="1:4" x14ac:dyDescent="0.3">
      <c r="A8" s="21"/>
      <c r="B8" s="21" t="s">
        <v>146</v>
      </c>
      <c r="C8" s="27"/>
      <c r="D8" s="27"/>
    </row>
    <row r="9" spans="1:4" x14ac:dyDescent="0.3">
      <c r="A9" s="21"/>
      <c r="B9" s="21" t="s">
        <v>147</v>
      </c>
      <c r="C9" s="27"/>
      <c r="D9" s="27"/>
    </row>
    <row r="10" spans="1:4" x14ac:dyDescent="0.3">
      <c r="A10" s="21"/>
      <c r="B10" s="21" t="s">
        <v>148</v>
      </c>
      <c r="C10" s="27"/>
      <c r="D10" s="27"/>
    </row>
    <row r="11" spans="1:4" x14ac:dyDescent="0.3">
      <c r="A11" s="21"/>
      <c r="B11" s="21" t="s">
        <v>149</v>
      </c>
      <c r="C11" s="27"/>
      <c r="D11" s="27"/>
    </row>
    <row r="12" spans="1:4" x14ac:dyDescent="0.3">
      <c r="A12" s="21"/>
      <c r="B12" s="21" t="s">
        <v>150</v>
      </c>
      <c r="C12" s="27"/>
      <c r="D12" s="27"/>
    </row>
    <row r="13" spans="1:4" x14ac:dyDescent="0.3">
      <c r="A13" s="21"/>
      <c r="B13" s="21" t="s">
        <v>151</v>
      </c>
      <c r="C13" s="27"/>
      <c r="D13" s="27"/>
    </row>
    <row r="14" spans="1:4" x14ac:dyDescent="0.3">
      <c r="A14" s="21"/>
      <c r="B14" s="21" t="s">
        <v>152</v>
      </c>
      <c r="C14" s="27"/>
      <c r="D14" s="27"/>
    </row>
    <row r="15" spans="1:4" x14ac:dyDescent="0.3">
      <c r="A15" s="21"/>
      <c r="B15" s="21" t="s">
        <v>153</v>
      </c>
      <c r="C15" s="27"/>
      <c r="D15" s="27"/>
    </row>
    <row r="16" spans="1:4" x14ac:dyDescent="0.3">
      <c r="A16" s="19"/>
      <c r="B16" s="19"/>
      <c r="C16" s="28"/>
      <c r="D16" s="28"/>
    </row>
    <row r="17" spans="1:4" x14ac:dyDescent="0.3">
      <c r="A17" s="23" t="s">
        <v>141</v>
      </c>
      <c r="B17" s="23" t="s">
        <v>142</v>
      </c>
      <c r="C17" s="29" t="s">
        <v>86</v>
      </c>
      <c r="D17" s="29" t="s">
        <v>70</v>
      </c>
    </row>
    <row r="18" spans="1:4" x14ac:dyDescent="0.3">
      <c r="A18" s="21" t="s">
        <v>154</v>
      </c>
      <c r="B18" s="21" t="s">
        <v>155</v>
      </c>
      <c r="C18" s="27"/>
      <c r="D18" s="27"/>
    </row>
    <row r="19" spans="1:4" x14ac:dyDescent="0.3">
      <c r="A19" s="21"/>
      <c r="B19" s="21" t="s">
        <v>156</v>
      </c>
      <c r="C19" s="27"/>
      <c r="D19" s="27"/>
    </row>
    <row r="20" spans="1:4" x14ac:dyDescent="0.3">
      <c r="A20" s="21"/>
      <c r="B20" s="21" t="s">
        <v>157</v>
      </c>
      <c r="C20" s="27"/>
      <c r="D20" s="27"/>
    </row>
    <row r="21" spans="1:4" x14ac:dyDescent="0.3">
      <c r="A21" s="21"/>
      <c r="B21" s="21" t="s">
        <v>158</v>
      </c>
      <c r="C21" s="27"/>
      <c r="D21" s="27"/>
    </row>
    <row r="22" spans="1:4" x14ac:dyDescent="0.3">
      <c r="A22" s="19"/>
      <c r="B22" s="19"/>
      <c r="C22" s="28"/>
      <c r="D22" s="28"/>
    </row>
    <row r="23" spans="1:4" x14ac:dyDescent="0.3">
      <c r="A23" s="23" t="s">
        <v>141</v>
      </c>
      <c r="B23" s="23" t="s">
        <v>142</v>
      </c>
      <c r="C23" s="29" t="s">
        <v>86</v>
      </c>
      <c r="D23" s="29" t="s">
        <v>70</v>
      </c>
    </row>
    <row r="24" spans="1:4" x14ac:dyDescent="0.3">
      <c r="A24" s="21" t="s">
        <v>159</v>
      </c>
      <c r="B24" s="21" t="s">
        <v>160</v>
      </c>
      <c r="C24" s="27"/>
      <c r="D24" s="27"/>
    </row>
    <row r="25" spans="1:4" x14ac:dyDescent="0.3">
      <c r="A25" s="21"/>
      <c r="B25" s="21" t="s">
        <v>161</v>
      </c>
      <c r="C25" s="27"/>
      <c r="D25" s="27"/>
    </row>
    <row r="26" spans="1:4" x14ac:dyDescent="0.3">
      <c r="A26" s="21"/>
      <c r="B26" s="21" t="s">
        <v>162</v>
      </c>
      <c r="C26" s="27"/>
      <c r="D26" s="27"/>
    </row>
    <row r="27" spans="1:4" x14ac:dyDescent="0.3">
      <c r="A27" s="19"/>
      <c r="B27" s="19"/>
      <c r="C27" s="28"/>
      <c r="D27" s="28"/>
    </row>
    <row r="28" spans="1:4" x14ac:dyDescent="0.3">
      <c r="A28" s="23" t="s">
        <v>141</v>
      </c>
      <c r="B28" s="23" t="s">
        <v>142</v>
      </c>
      <c r="C28" s="29" t="s">
        <v>86</v>
      </c>
      <c r="D28" s="29" t="s">
        <v>70</v>
      </c>
    </row>
    <row r="29" spans="1:4" x14ac:dyDescent="0.3">
      <c r="A29" s="21" t="s">
        <v>163</v>
      </c>
      <c r="B29" s="21" t="s">
        <v>164</v>
      </c>
      <c r="C29" s="27"/>
      <c r="D29" s="27"/>
    </row>
    <row r="30" spans="1:4" x14ac:dyDescent="0.3">
      <c r="A30" s="21"/>
      <c r="B30" s="21" t="s">
        <v>165</v>
      </c>
      <c r="C30" s="27"/>
      <c r="D30" s="27"/>
    </row>
    <row r="31" spans="1:4" x14ac:dyDescent="0.3">
      <c r="A31" s="21"/>
      <c r="B31" s="21" t="s">
        <v>166</v>
      </c>
      <c r="C31" s="27"/>
      <c r="D31" s="27"/>
    </row>
    <row r="32" spans="1:4" x14ac:dyDescent="0.3">
      <c r="A32" s="21"/>
      <c r="B32" s="21" t="s">
        <v>167</v>
      </c>
      <c r="C32" s="27"/>
      <c r="D32" s="27"/>
    </row>
    <row r="33" spans="1:4" x14ac:dyDescent="0.3">
      <c r="A33" s="21"/>
      <c r="B33" s="21" t="s">
        <v>168</v>
      </c>
      <c r="C33" s="27"/>
      <c r="D33" s="2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36"/>
  <sheetViews>
    <sheetView workbookViewId="0">
      <selection activeCell="C38" sqref="C38"/>
    </sheetView>
  </sheetViews>
  <sheetFormatPr baseColWidth="10" defaultColWidth="11.44140625" defaultRowHeight="14.4" x14ac:dyDescent="0.3"/>
  <cols>
    <col min="1" max="1" width="39.33203125" style="2" bestFit="1" customWidth="1"/>
    <col min="2" max="16384" width="11.44140625" style="2"/>
  </cols>
  <sheetData>
    <row r="1" spans="1:3" x14ac:dyDescent="0.3">
      <c r="A1" s="1" t="s">
        <v>9</v>
      </c>
    </row>
    <row r="2" spans="1:3" x14ac:dyDescent="0.3">
      <c r="A2" s="2" t="s">
        <v>243</v>
      </c>
    </row>
    <row r="3" spans="1:3" x14ac:dyDescent="0.3">
      <c r="A3" s="23" t="s">
        <v>12</v>
      </c>
      <c r="B3" s="24" t="s">
        <v>86</v>
      </c>
      <c r="C3" s="24" t="s">
        <v>70</v>
      </c>
    </row>
    <row r="4" spans="1:3" x14ac:dyDescent="0.3">
      <c r="A4" s="21" t="s">
        <v>169</v>
      </c>
      <c r="B4" s="22"/>
      <c r="C4" s="22"/>
    </row>
    <row r="5" spans="1:3" x14ac:dyDescent="0.3">
      <c r="A5" s="21" t="s">
        <v>170</v>
      </c>
      <c r="B5" s="22"/>
      <c r="C5" s="22"/>
    </row>
    <row r="6" spans="1:3" x14ac:dyDescent="0.3">
      <c r="A6" s="21" t="s">
        <v>171</v>
      </c>
      <c r="B6" s="22"/>
      <c r="C6" s="22"/>
    </row>
    <row r="7" spans="1:3" x14ac:dyDescent="0.3">
      <c r="A7" s="21" t="s">
        <v>172</v>
      </c>
      <c r="B7" s="22"/>
      <c r="C7" s="22"/>
    </row>
    <row r="8" spans="1:3" x14ac:dyDescent="0.3">
      <c r="A8" s="21" t="s">
        <v>173</v>
      </c>
      <c r="B8" s="22"/>
      <c r="C8" s="22"/>
    </row>
    <row r="9" spans="1:3" x14ac:dyDescent="0.3">
      <c r="A9" s="21" t="s">
        <v>174</v>
      </c>
      <c r="B9" s="22"/>
      <c r="C9" s="22"/>
    </row>
    <row r="10" spans="1:3" x14ac:dyDescent="0.3">
      <c r="A10" s="21" t="s">
        <v>175</v>
      </c>
      <c r="B10" s="22"/>
      <c r="C10" s="22"/>
    </row>
    <row r="11" spans="1:3" x14ac:dyDescent="0.3">
      <c r="A11" s="21" t="s">
        <v>176</v>
      </c>
      <c r="B11" s="22"/>
      <c r="C11" s="22"/>
    </row>
    <row r="12" spans="1:3" x14ac:dyDescent="0.3">
      <c r="A12" s="21" t="s">
        <v>177</v>
      </c>
      <c r="B12" s="22"/>
      <c r="C12" s="22"/>
    </row>
    <row r="13" spans="1:3" x14ac:dyDescent="0.3">
      <c r="A13" s="21" t="s">
        <v>178</v>
      </c>
      <c r="B13" s="22"/>
      <c r="C13" s="22"/>
    </row>
    <row r="14" spans="1:3" x14ac:dyDescent="0.3">
      <c r="A14" s="21" t="s">
        <v>179</v>
      </c>
      <c r="B14" s="22"/>
      <c r="C14" s="22"/>
    </row>
    <row r="15" spans="1:3" x14ac:dyDescent="0.3">
      <c r="A15" s="21" t="s">
        <v>180</v>
      </c>
      <c r="B15" s="22"/>
      <c r="C15" s="22"/>
    </row>
    <row r="16" spans="1:3" x14ac:dyDescent="0.3">
      <c r="A16" s="21" t="s">
        <v>181</v>
      </c>
      <c r="B16" s="22"/>
      <c r="C16" s="22"/>
    </row>
    <row r="17" spans="1:3" x14ac:dyDescent="0.3">
      <c r="A17" s="21" t="s">
        <v>182</v>
      </c>
      <c r="B17" s="22"/>
      <c r="C17" s="22"/>
    </row>
    <row r="18" spans="1:3" x14ac:dyDescent="0.3">
      <c r="A18" s="21" t="s">
        <v>183</v>
      </c>
      <c r="B18" s="22"/>
      <c r="C18" s="22"/>
    </row>
    <row r="19" spans="1:3" x14ac:dyDescent="0.3">
      <c r="A19" s="21" t="s">
        <v>184</v>
      </c>
      <c r="B19" s="22"/>
      <c r="C19" s="22"/>
    </row>
    <row r="20" spans="1:3" x14ac:dyDescent="0.3">
      <c r="A20" s="21" t="s">
        <v>185</v>
      </c>
      <c r="B20" s="22"/>
      <c r="C20" s="22"/>
    </row>
    <row r="21" spans="1:3" x14ac:dyDescent="0.3">
      <c r="A21" s="21" t="s">
        <v>186</v>
      </c>
      <c r="B21" s="22"/>
      <c r="C21" s="22"/>
    </row>
    <row r="22" spans="1:3" x14ac:dyDescent="0.3">
      <c r="A22" s="21" t="s">
        <v>187</v>
      </c>
      <c r="B22" s="22"/>
      <c r="C22" s="22"/>
    </row>
    <row r="23" spans="1:3" x14ac:dyDescent="0.3">
      <c r="A23" s="21" t="s">
        <v>188</v>
      </c>
      <c r="B23" s="22"/>
      <c r="C23" s="22"/>
    </row>
    <row r="24" spans="1:3" x14ac:dyDescent="0.3">
      <c r="A24" s="21" t="s">
        <v>189</v>
      </c>
      <c r="B24" s="22"/>
      <c r="C24" s="22"/>
    </row>
    <row r="25" spans="1:3" x14ac:dyDescent="0.3">
      <c r="A25" s="21" t="s">
        <v>190</v>
      </c>
      <c r="B25" s="22"/>
      <c r="C25" s="22"/>
    </row>
    <row r="26" spans="1:3" x14ac:dyDescent="0.3">
      <c r="A26" s="21" t="s">
        <v>191</v>
      </c>
      <c r="B26" s="22"/>
      <c r="C26" s="22"/>
    </row>
    <row r="27" spans="1:3" x14ac:dyDescent="0.3">
      <c r="A27" s="21" t="s">
        <v>192</v>
      </c>
      <c r="B27" s="22"/>
      <c r="C27" s="22"/>
    </row>
    <row r="28" spans="1:3" x14ac:dyDescent="0.3">
      <c r="A28" s="21" t="s">
        <v>193</v>
      </c>
      <c r="B28" s="22"/>
      <c r="C28" s="22"/>
    </row>
    <row r="29" spans="1:3" x14ac:dyDescent="0.3">
      <c r="A29" s="21" t="s">
        <v>194</v>
      </c>
      <c r="B29" s="22"/>
      <c r="C29" s="22"/>
    </row>
    <row r="30" spans="1:3" x14ac:dyDescent="0.3">
      <c r="A30" s="21" t="s">
        <v>195</v>
      </c>
      <c r="B30" s="22"/>
      <c r="C30" s="22"/>
    </row>
    <row r="31" spans="1:3" x14ac:dyDescent="0.3">
      <c r="A31" s="21" t="s">
        <v>196</v>
      </c>
      <c r="B31" s="22"/>
      <c r="C31" s="22"/>
    </row>
    <row r="32" spans="1:3" x14ac:dyDescent="0.3">
      <c r="A32" s="21" t="s">
        <v>197</v>
      </c>
      <c r="B32" s="22"/>
      <c r="C32" s="22"/>
    </row>
    <row r="33" spans="1:3" x14ac:dyDescent="0.3">
      <c r="A33" s="21" t="s">
        <v>198</v>
      </c>
      <c r="B33" s="22"/>
      <c r="C33" s="22"/>
    </row>
    <row r="34" spans="1:3" x14ac:dyDescent="0.3">
      <c r="A34" s="21" t="s">
        <v>199</v>
      </c>
      <c r="B34" s="22"/>
      <c r="C34" s="22"/>
    </row>
    <row r="35" spans="1:3" x14ac:dyDescent="0.3">
      <c r="A35" s="21" t="s">
        <v>200</v>
      </c>
      <c r="B35" s="22"/>
      <c r="C35" s="22"/>
    </row>
    <row r="36" spans="1:3" x14ac:dyDescent="0.3">
      <c r="A36" s="21" t="s">
        <v>201</v>
      </c>
      <c r="B36" s="22"/>
      <c r="C36" s="2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45"/>
  <sheetViews>
    <sheetView workbookViewId="0">
      <selection activeCell="A6" sqref="A6"/>
    </sheetView>
  </sheetViews>
  <sheetFormatPr baseColWidth="10" defaultColWidth="11.44140625" defaultRowHeight="14.4" x14ac:dyDescent="0.3"/>
  <cols>
    <col min="1" max="1" width="42.44140625" style="2" bestFit="1" customWidth="1"/>
    <col min="2" max="16384" width="11.44140625" style="2"/>
  </cols>
  <sheetData>
    <row r="1" spans="1:3" x14ac:dyDescent="0.3">
      <c r="A1" s="1" t="s">
        <v>10</v>
      </c>
    </row>
    <row r="2" spans="1:3" x14ac:dyDescent="0.3">
      <c r="A2" s="2" t="s">
        <v>243</v>
      </c>
    </row>
    <row r="3" spans="1:3" x14ac:dyDescent="0.3">
      <c r="A3" s="23" t="s">
        <v>12</v>
      </c>
      <c r="B3" s="24" t="s">
        <v>86</v>
      </c>
      <c r="C3" s="24" t="s">
        <v>70</v>
      </c>
    </row>
    <row r="4" spans="1:3" x14ac:dyDescent="0.3">
      <c r="A4" s="21" t="s">
        <v>202</v>
      </c>
      <c r="B4" s="22"/>
      <c r="C4" s="22"/>
    </row>
    <row r="5" spans="1:3" x14ac:dyDescent="0.3">
      <c r="A5" s="21" t="s">
        <v>203</v>
      </c>
      <c r="B5" s="22"/>
      <c r="C5" s="22"/>
    </row>
    <row r="6" spans="1:3" x14ac:dyDescent="0.3">
      <c r="A6" s="21" t="s">
        <v>204</v>
      </c>
      <c r="B6" s="22"/>
      <c r="C6" s="22"/>
    </row>
    <row r="7" spans="1:3" x14ac:dyDescent="0.3">
      <c r="A7" s="21" t="s">
        <v>205</v>
      </c>
      <c r="B7" s="22"/>
      <c r="C7" s="22"/>
    </row>
    <row r="8" spans="1:3" x14ac:dyDescent="0.3">
      <c r="A8" s="21" t="s">
        <v>206</v>
      </c>
      <c r="B8" s="22"/>
      <c r="C8" s="22"/>
    </row>
    <row r="9" spans="1:3" x14ac:dyDescent="0.3">
      <c r="A9" s="21" t="s">
        <v>207</v>
      </c>
      <c r="B9" s="22"/>
      <c r="C9" s="22"/>
    </row>
    <row r="10" spans="1:3" x14ac:dyDescent="0.3">
      <c r="A10" s="21" t="s">
        <v>208</v>
      </c>
      <c r="B10" s="22"/>
      <c r="C10" s="22"/>
    </row>
    <row r="11" spans="1:3" x14ac:dyDescent="0.3">
      <c r="A11" s="21" t="s">
        <v>209</v>
      </c>
      <c r="B11" s="22"/>
      <c r="C11" s="22"/>
    </row>
    <row r="12" spans="1:3" x14ac:dyDescent="0.3">
      <c r="A12" s="21" t="s">
        <v>210</v>
      </c>
      <c r="B12" s="22"/>
      <c r="C12" s="22"/>
    </row>
    <row r="13" spans="1:3" x14ac:dyDescent="0.3">
      <c r="A13" s="21" t="s">
        <v>211</v>
      </c>
      <c r="B13" s="22"/>
      <c r="C13" s="22"/>
    </row>
    <row r="14" spans="1:3" x14ac:dyDescent="0.3">
      <c r="A14" s="21" t="s">
        <v>212</v>
      </c>
      <c r="B14" s="22"/>
      <c r="C14" s="22"/>
    </row>
    <row r="15" spans="1:3" x14ac:dyDescent="0.3">
      <c r="A15" s="21" t="s">
        <v>213</v>
      </c>
      <c r="B15" s="22"/>
      <c r="C15" s="22"/>
    </row>
    <row r="16" spans="1:3" x14ac:dyDescent="0.3">
      <c r="A16" s="21" t="s">
        <v>214</v>
      </c>
      <c r="B16" s="22"/>
      <c r="C16" s="22"/>
    </row>
    <row r="17" spans="1:3" x14ac:dyDescent="0.3">
      <c r="A17" s="21" t="s">
        <v>215</v>
      </c>
      <c r="B17" s="22"/>
      <c r="C17" s="22"/>
    </row>
    <row r="18" spans="1:3" x14ac:dyDescent="0.3">
      <c r="A18" s="21" t="s">
        <v>216</v>
      </c>
      <c r="B18" s="22"/>
      <c r="C18" s="22"/>
    </row>
    <row r="19" spans="1:3" x14ac:dyDescent="0.3">
      <c r="A19" s="21" t="s">
        <v>217</v>
      </c>
      <c r="B19" s="22"/>
      <c r="C19" s="22"/>
    </row>
    <row r="20" spans="1:3" x14ac:dyDescent="0.3">
      <c r="A20" s="21" t="s">
        <v>218</v>
      </c>
      <c r="B20" s="22"/>
      <c r="C20" s="22"/>
    </row>
    <row r="21" spans="1:3" x14ac:dyDescent="0.3">
      <c r="A21" s="21" t="s">
        <v>219</v>
      </c>
      <c r="B21" s="22"/>
      <c r="C21" s="22"/>
    </row>
    <row r="22" spans="1:3" x14ac:dyDescent="0.3">
      <c r="A22" s="21" t="s">
        <v>220</v>
      </c>
      <c r="B22" s="22"/>
      <c r="C22" s="22"/>
    </row>
    <row r="23" spans="1:3" x14ac:dyDescent="0.3">
      <c r="A23" s="21" t="s">
        <v>221</v>
      </c>
      <c r="B23" s="22"/>
      <c r="C23" s="22"/>
    </row>
    <row r="24" spans="1:3" x14ac:dyDescent="0.3">
      <c r="A24" s="21" t="s">
        <v>222</v>
      </c>
      <c r="B24" s="22"/>
      <c r="C24" s="22"/>
    </row>
    <row r="25" spans="1:3" x14ac:dyDescent="0.3">
      <c r="A25" s="21" t="s">
        <v>223</v>
      </c>
      <c r="B25" s="22"/>
      <c r="C25" s="22"/>
    </row>
    <row r="26" spans="1:3" x14ac:dyDescent="0.3">
      <c r="A26" s="21" t="s">
        <v>224</v>
      </c>
      <c r="B26" s="22"/>
      <c r="C26" s="22"/>
    </row>
    <row r="27" spans="1:3" x14ac:dyDescent="0.3">
      <c r="A27" s="21" t="s">
        <v>225</v>
      </c>
      <c r="B27" s="22"/>
      <c r="C27" s="22"/>
    </row>
    <row r="28" spans="1:3" x14ac:dyDescent="0.3">
      <c r="A28" s="21" t="s">
        <v>226</v>
      </c>
      <c r="B28" s="22"/>
      <c r="C28" s="22"/>
    </row>
    <row r="29" spans="1:3" x14ac:dyDescent="0.3">
      <c r="A29" s="21" t="s">
        <v>227</v>
      </c>
      <c r="B29" s="22"/>
      <c r="C29" s="22"/>
    </row>
    <row r="30" spans="1:3" x14ac:dyDescent="0.3">
      <c r="A30" s="21" t="s">
        <v>228</v>
      </c>
      <c r="B30" s="22"/>
      <c r="C30" s="22"/>
    </row>
    <row r="31" spans="1:3" x14ac:dyDescent="0.3">
      <c r="A31" s="21" t="s">
        <v>229</v>
      </c>
      <c r="B31" s="22"/>
      <c r="C31" s="22"/>
    </row>
    <row r="32" spans="1:3" x14ac:dyDescent="0.3">
      <c r="A32" s="21" t="s">
        <v>230</v>
      </c>
      <c r="B32" s="22"/>
      <c r="C32" s="22"/>
    </row>
    <row r="33" spans="1:3" x14ac:dyDescent="0.3">
      <c r="A33" s="21" t="s">
        <v>231</v>
      </c>
      <c r="B33" s="22"/>
      <c r="C33" s="22"/>
    </row>
    <row r="34" spans="1:3" x14ac:dyDescent="0.3">
      <c r="A34" s="21" t="s">
        <v>232</v>
      </c>
      <c r="B34" s="22"/>
      <c r="C34" s="22"/>
    </row>
    <row r="35" spans="1:3" x14ac:dyDescent="0.3">
      <c r="A35" s="21" t="s">
        <v>233</v>
      </c>
      <c r="B35" s="22"/>
      <c r="C35" s="22"/>
    </row>
    <row r="36" spans="1:3" x14ac:dyDescent="0.3">
      <c r="A36" s="21" t="s">
        <v>234</v>
      </c>
      <c r="B36" s="22"/>
      <c r="C36" s="22"/>
    </row>
    <row r="37" spans="1:3" x14ac:dyDescent="0.3">
      <c r="A37" s="21" t="s">
        <v>235</v>
      </c>
      <c r="B37" s="22"/>
      <c r="C37" s="22"/>
    </row>
    <row r="38" spans="1:3" x14ac:dyDescent="0.3">
      <c r="A38" s="21" t="s">
        <v>236</v>
      </c>
      <c r="B38" s="22"/>
      <c r="C38" s="22"/>
    </row>
    <row r="39" spans="1:3" x14ac:dyDescent="0.3">
      <c r="A39" s="21" t="s">
        <v>237</v>
      </c>
      <c r="B39" s="22"/>
      <c r="C39" s="22"/>
    </row>
    <row r="40" spans="1:3" x14ac:dyDescent="0.3">
      <c r="A40" s="21" t="s">
        <v>238</v>
      </c>
      <c r="B40" s="22"/>
      <c r="C40" s="22"/>
    </row>
    <row r="41" spans="1:3" x14ac:dyDescent="0.3">
      <c r="A41" s="21" t="s">
        <v>239</v>
      </c>
      <c r="B41" s="22"/>
      <c r="C41" s="22"/>
    </row>
    <row r="42" spans="1:3" x14ac:dyDescent="0.3">
      <c r="A42" s="21" t="s">
        <v>234</v>
      </c>
      <c r="B42" s="22"/>
      <c r="C42" s="22"/>
    </row>
    <row r="43" spans="1:3" x14ac:dyDescent="0.3">
      <c r="A43" s="21" t="s">
        <v>240</v>
      </c>
      <c r="B43" s="22"/>
      <c r="C43" s="22"/>
    </row>
    <row r="44" spans="1:3" x14ac:dyDescent="0.3">
      <c r="A44" s="21" t="s">
        <v>241</v>
      </c>
      <c r="B44" s="22"/>
      <c r="C44" s="22"/>
    </row>
    <row r="45" spans="1:3" x14ac:dyDescent="0.3">
      <c r="A45" s="21" t="s">
        <v>242</v>
      </c>
      <c r="B45" s="22"/>
      <c r="C45" s="2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8"/>
  <sheetViews>
    <sheetView zoomScaleNormal="100" workbookViewId="0">
      <selection activeCell="A2" sqref="A2"/>
    </sheetView>
  </sheetViews>
  <sheetFormatPr baseColWidth="10" defaultColWidth="11.44140625" defaultRowHeight="14.4" x14ac:dyDescent="0.3"/>
  <cols>
    <col min="1" max="1" width="83.44140625" style="2" customWidth="1"/>
    <col min="2" max="16384" width="11.44140625" style="2"/>
  </cols>
  <sheetData>
    <row r="1" spans="1:2" x14ac:dyDescent="0.3">
      <c r="A1" s="1" t="s">
        <v>244</v>
      </c>
    </row>
    <row r="2" spans="1:2" x14ac:dyDescent="0.3">
      <c r="A2" s="2" t="s">
        <v>274</v>
      </c>
    </row>
    <row r="3" spans="1:2" x14ac:dyDescent="0.3">
      <c r="B3" s="30" t="s">
        <v>251</v>
      </c>
    </row>
    <row r="4" spans="1:2" x14ac:dyDescent="0.3">
      <c r="A4" s="33" t="s">
        <v>275</v>
      </c>
      <c r="B4" s="34"/>
    </row>
    <row r="5" spans="1:2" ht="28.8" x14ac:dyDescent="0.3">
      <c r="A5" s="33" t="s">
        <v>276</v>
      </c>
      <c r="B5" s="36"/>
    </row>
    <row r="6" spans="1:2" ht="28.8" x14ac:dyDescent="0.3">
      <c r="A6" s="33" t="s">
        <v>277</v>
      </c>
      <c r="B6" s="36"/>
    </row>
    <row r="7" spans="1:2" ht="43.2" x14ac:dyDescent="0.3">
      <c r="A7" s="33" t="s">
        <v>278</v>
      </c>
      <c r="B7" s="36"/>
    </row>
    <row r="8" spans="1:2" ht="43.2" x14ac:dyDescent="0.3">
      <c r="A8" s="33" t="s">
        <v>279</v>
      </c>
      <c r="B8" s="3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25"/>
  <sheetViews>
    <sheetView zoomScaleNormal="100" workbookViewId="0">
      <selection activeCell="C29" sqref="C29"/>
    </sheetView>
  </sheetViews>
  <sheetFormatPr baseColWidth="10" defaultColWidth="11.44140625" defaultRowHeight="14.4" x14ac:dyDescent="0.3"/>
  <cols>
    <col min="1" max="1" width="60.44140625" style="2" customWidth="1"/>
    <col min="2" max="2" width="16.5546875" style="2" customWidth="1"/>
    <col min="3" max="16384" width="11.44140625" style="2"/>
  </cols>
  <sheetData>
    <row r="1" spans="1:2" x14ac:dyDescent="0.3">
      <c r="A1" s="1" t="s">
        <v>271</v>
      </c>
    </row>
    <row r="2" spans="1:2" x14ac:dyDescent="0.3">
      <c r="A2" s="2" t="s">
        <v>287</v>
      </c>
    </row>
    <row r="3" spans="1:2" x14ac:dyDescent="0.3">
      <c r="A3" s="1" t="s">
        <v>280</v>
      </c>
    </row>
    <row r="4" spans="1:2" x14ac:dyDescent="0.3">
      <c r="B4" s="30" t="s">
        <v>251</v>
      </c>
    </row>
    <row r="5" spans="1:2" x14ac:dyDescent="0.3">
      <c r="A5" s="2" t="s">
        <v>281</v>
      </c>
      <c r="B5" s="34"/>
    </row>
    <row r="6" spans="1:2" x14ac:dyDescent="0.3">
      <c r="A6" s="2" t="s">
        <v>282</v>
      </c>
      <c r="B6" s="36"/>
    </row>
    <row r="7" spans="1:2" x14ac:dyDescent="0.3">
      <c r="A7" s="2" t="s">
        <v>283</v>
      </c>
      <c r="B7" s="36"/>
    </row>
    <row r="8" spans="1:2" x14ac:dyDescent="0.3">
      <c r="A8" s="2" t="s">
        <v>284</v>
      </c>
      <c r="B8" s="36"/>
    </row>
    <row r="9" spans="1:2" x14ac:dyDescent="0.3">
      <c r="A9" s="2" t="s">
        <v>250</v>
      </c>
      <c r="B9" s="36"/>
    </row>
    <row r="11" spans="1:2" x14ac:dyDescent="0.3">
      <c r="A11" s="1" t="s">
        <v>285</v>
      </c>
    </row>
    <row r="12" spans="1:2" x14ac:dyDescent="0.3">
      <c r="B12" s="30" t="s">
        <v>251</v>
      </c>
    </row>
    <row r="13" spans="1:2" x14ac:dyDescent="0.3">
      <c r="A13" s="2" t="s">
        <v>281</v>
      </c>
      <c r="B13" s="34"/>
    </row>
    <row r="14" spans="1:2" x14ac:dyDescent="0.3">
      <c r="A14" s="2" t="s">
        <v>282</v>
      </c>
      <c r="B14" s="36"/>
    </row>
    <row r="15" spans="1:2" x14ac:dyDescent="0.3">
      <c r="A15" s="2" t="s">
        <v>283</v>
      </c>
      <c r="B15" s="36"/>
    </row>
    <row r="16" spans="1:2" x14ac:dyDescent="0.3">
      <c r="A16" s="2" t="s">
        <v>284</v>
      </c>
      <c r="B16" s="36"/>
    </row>
    <row r="17" spans="1:2" x14ac:dyDescent="0.3">
      <c r="A17" s="2" t="s">
        <v>250</v>
      </c>
      <c r="B17" s="36"/>
    </row>
    <row r="19" spans="1:2" x14ac:dyDescent="0.3">
      <c r="A19" s="1" t="s">
        <v>286</v>
      </c>
    </row>
    <row r="20" spans="1:2" x14ac:dyDescent="0.3">
      <c r="B20" s="30" t="s">
        <v>251</v>
      </c>
    </row>
    <row r="21" spans="1:2" x14ac:dyDescent="0.3">
      <c r="A21" s="2" t="s">
        <v>288</v>
      </c>
      <c r="B21" s="34"/>
    </row>
    <row r="22" spans="1:2" x14ac:dyDescent="0.3">
      <c r="A22" s="2" t="s">
        <v>289</v>
      </c>
      <c r="B22" s="36"/>
    </row>
    <row r="23" spans="1:2" x14ac:dyDescent="0.3">
      <c r="A23" s="2" t="s">
        <v>290</v>
      </c>
      <c r="B23" s="36"/>
    </row>
    <row r="24" spans="1:2" x14ac:dyDescent="0.3">
      <c r="A24" s="2" t="s">
        <v>291</v>
      </c>
      <c r="B24" s="36"/>
    </row>
    <row r="25" spans="1:2" x14ac:dyDescent="0.3">
      <c r="A25" s="2" t="s">
        <v>250</v>
      </c>
      <c r="B25" s="3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9"/>
  <sheetViews>
    <sheetView workbookViewId="0">
      <selection activeCell="A2" sqref="A2"/>
    </sheetView>
  </sheetViews>
  <sheetFormatPr baseColWidth="10" defaultColWidth="11.44140625" defaultRowHeight="14.4" x14ac:dyDescent="0.3"/>
  <cols>
    <col min="1" max="1" width="57" style="2" customWidth="1"/>
    <col min="2" max="16384" width="11.44140625" style="2"/>
  </cols>
  <sheetData>
    <row r="1" spans="1:2" x14ac:dyDescent="0.3">
      <c r="A1" s="1" t="s">
        <v>272</v>
      </c>
    </row>
    <row r="2" spans="1:2" x14ac:dyDescent="0.3">
      <c r="A2" s="2" t="s">
        <v>292</v>
      </c>
    </row>
    <row r="3" spans="1:2" x14ac:dyDescent="0.3">
      <c r="A3" s="1" t="s">
        <v>293</v>
      </c>
    </row>
    <row r="4" spans="1:2" x14ac:dyDescent="0.3">
      <c r="A4" s="1" t="s">
        <v>296</v>
      </c>
    </row>
    <row r="5" spans="1:2" x14ac:dyDescent="0.3">
      <c r="B5" s="30" t="s">
        <v>251</v>
      </c>
    </row>
    <row r="6" spans="1:2" ht="28.8" x14ac:dyDescent="0.3">
      <c r="A6" s="33" t="s">
        <v>294</v>
      </c>
      <c r="B6" s="34"/>
    </row>
    <row r="7" spans="1:2" ht="28.8" x14ac:dyDescent="0.3">
      <c r="A7" s="33" t="s">
        <v>295</v>
      </c>
      <c r="B7" s="36"/>
    </row>
    <row r="8" spans="1:2" ht="28.8" x14ac:dyDescent="0.3">
      <c r="A8" s="33" t="s">
        <v>297</v>
      </c>
      <c r="B8" s="36"/>
    </row>
    <row r="9" spans="1:2" ht="28.8" x14ac:dyDescent="0.3">
      <c r="A9" s="33" t="s">
        <v>298</v>
      </c>
      <c r="B9" s="3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2"/>
  <sheetViews>
    <sheetView zoomScaleNormal="100" workbookViewId="0">
      <selection activeCell="A2" sqref="A2"/>
    </sheetView>
  </sheetViews>
  <sheetFormatPr baseColWidth="10" defaultColWidth="11.44140625" defaultRowHeight="14.4" x14ac:dyDescent="0.3"/>
  <cols>
    <col min="1" max="1" width="75.88671875" style="2" customWidth="1"/>
    <col min="2" max="2" width="8.5546875" style="2" bestFit="1" customWidth="1"/>
    <col min="3" max="3" width="10" style="2" bestFit="1" customWidth="1"/>
    <col min="4" max="4" width="28.6640625" style="2" customWidth="1"/>
    <col min="5" max="16384" width="11.44140625" style="2"/>
  </cols>
  <sheetData>
    <row r="1" spans="1:4" x14ac:dyDescent="0.3">
      <c r="A1" s="1" t="s">
        <v>273</v>
      </c>
    </row>
    <row r="2" spans="1:4" x14ac:dyDescent="0.3">
      <c r="A2" s="2" t="s">
        <v>299</v>
      </c>
    </row>
    <row r="3" spans="1:4" x14ac:dyDescent="0.3">
      <c r="A3" s="2" t="s">
        <v>300</v>
      </c>
    </row>
    <row r="4" spans="1:4" x14ac:dyDescent="0.3">
      <c r="A4" s="2" t="s">
        <v>301</v>
      </c>
    </row>
    <row r="5" spans="1:4" x14ac:dyDescent="0.3">
      <c r="B5" s="11" t="s">
        <v>303</v>
      </c>
      <c r="C5" s="11" t="s">
        <v>304</v>
      </c>
      <c r="D5" s="11" t="s">
        <v>305</v>
      </c>
    </row>
    <row r="6" spans="1:4" x14ac:dyDescent="0.3">
      <c r="A6" s="33" t="s">
        <v>302</v>
      </c>
      <c r="B6" s="34"/>
      <c r="C6" s="34"/>
      <c r="D6" s="34"/>
    </row>
    <row r="7" spans="1:4" x14ac:dyDescent="0.3">
      <c r="A7" s="33" t="s">
        <v>306</v>
      </c>
      <c r="B7" s="36"/>
      <c r="C7" s="36"/>
      <c r="D7" s="36"/>
    </row>
    <row r="8" spans="1:4" x14ac:dyDescent="0.3">
      <c r="A8" s="33" t="s">
        <v>307</v>
      </c>
      <c r="B8" s="36"/>
      <c r="C8" s="36"/>
      <c r="D8" s="36"/>
    </row>
    <row r="9" spans="1:4" ht="28.8" x14ac:dyDescent="0.3">
      <c r="A9" s="33" t="s">
        <v>308</v>
      </c>
      <c r="B9" s="36"/>
      <c r="C9" s="36"/>
      <c r="D9" s="36"/>
    </row>
    <row r="10" spans="1:4" x14ac:dyDescent="0.3">
      <c r="A10" s="33" t="s">
        <v>309</v>
      </c>
      <c r="B10" s="36"/>
      <c r="C10" s="36"/>
      <c r="D10" s="36"/>
    </row>
    <row r="11" spans="1:4" x14ac:dyDescent="0.3">
      <c r="A11" s="2" t="s">
        <v>310</v>
      </c>
      <c r="B11" s="36"/>
      <c r="C11" s="36"/>
      <c r="D11" s="36"/>
    </row>
    <row r="12" spans="1:4" ht="28.8" x14ac:dyDescent="0.3">
      <c r="A12" s="33" t="s">
        <v>311</v>
      </c>
      <c r="B12" s="36"/>
      <c r="C12" s="36"/>
      <c r="D12" s="3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1DD80-2F06-4DA8-BB3C-49A2CB3854A5}">
  <dimension ref="A1:L72"/>
  <sheetViews>
    <sheetView zoomScale="90" zoomScaleNormal="90" workbookViewId="0">
      <selection activeCell="E20" sqref="E20"/>
    </sheetView>
  </sheetViews>
  <sheetFormatPr baseColWidth="10" defaultColWidth="12.33203125" defaultRowHeight="14.4" x14ac:dyDescent="0.3"/>
  <cols>
    <col min="1" max="1" width="12.33203125" style="38"/>
    <col min="2" max="2" width="22.6640625" style="38" customWidth="1"/>
    <col min="3" max="3" width="12.33203125" style="38"/>
    <col min="4" max="5" width="11" style="38" customWidth="1"/>
    <col min="6" max="6" width="14" style="38" bestFit="1" customWidth="1"/>
    <col min="7" max="16384" width="12.33203125" style="38"/>
  </cols>
  <sheetData>
    <row r="1" spans="1:12" x14ac:dyDescent="0.3">
      <c r="A1" s="37" t="s">
        <v>315</v>
      </c>
    </row>
    <row r="3" spans="1:12" x14ac:dyDescent="0.3">
      <c r="A3" s="37" t="s">
        <v>316</v>
      </c>
      <c r="C3" s="37" t="s">
        <v>317</v>
      </c>
    </row>
    <row r="4" spans="1:12" x14ac:dyDescent="0.3">
      <c r="A4" s="38" t="s">
        <v>318</v>
      </c>
      <c r="C4" s="37" t="s">
        <v>319</v>
      </c>
    </row>
    <row r="5" spans="1:12" x14ac:dyDescent="0.3">
      <c r="A5" s="134" t="s">
        <v>88</v>
      </c>
      <c r="B5" s="135"/>
      <c r="C5" s="39" t="s">
        <v>320</v>
      </c>
      <c r="D5" s="40" t="s">
        <v>321</v>
      </c>
      <c r="E5" s="40" t="s">
        <v>322</v>
      </c>
      <c r="F5" s="41" t="s">
        <v>323</v>
      </c>
    </row>
    <row r="6" spans="1:12" x14ac:dyDescent="0.3">
      <c r="A6" s="136" t="s">
        <v>324</v>
      </c>
      <c r="B6" s="137"/>
      <c r="C6" s="42">
        <v>59450</v>
      </c>
      <c r="D6" s="43"/>
      <c r="E6" s="44">
        <v>45669</v>
      </c>
      <c r="F6" s="45"/>
    </row>
    <row r="7" spans="1:12" x14ac:dyDescent="0.3">
      <c r="A7" s="132" t="s">
        <v>325</v>
      </c>
      <c r="B7" s="133"/>
      <c r="C7" s="48">
        <v>1240</v>
      </c>
      <c r="D7" s="43"/>
      <c r="E7" s="44">
        <v>45682</v>
      </c>
      <c r="F7" s="45"/>
    </row>
    <row r="8" spans="1:12" x14ac:dyDescent="0.3">
      <c r="A8" s="132" t="s">
        <v>326</v>
      </c>
      <c r="B8" s="133"/>
      <c r="C8" s="48">
        <v>1500</v>
      </c>
      <c r="D8" s="43"/>
      <c r="E8" s="44">
        <v>45683</v>
      </c>
      <c r="F8" s="45"/>
    </row>
    <row r="9" spans="1:12" x14ac:dyDescent="0.3">
      <c r="A9" s="132" t="s">
        <v>327</v>
      </c>
      <c r="B9" s="133"/>
      <c r="C9" s="48"/>
      <c r="D9" s="43"/>
      <c r="E9" s="44">
        <v>45693</v>
      </c>
      <c r="F9" s="45">
        <v>4260</v>
      </c>
    </row>
    <row r="10" spans="1:12" x14ac:dyDescent="0.3">
      <c r="A10" s="132" t="s">
        <v>328</v>
      </c>
      <c r="B10" s="133"/>
      <c r="C10" s="48">
        <v>1890</v>
      </c>
      <c r="D10" s="43"/>
      <c r="E10" s="44">
        <v>45696</v>
      </c>
      <c r="F10" s="45"/>
    </row>
    <row r="11" spans="1:12" x14ac:dyDescent="0.3">
      <c r="A11" s="132" t="s">
        <v>329</v>
      </c>
      <c r="B11" s="133"/>
      <c r="C11" s="48"/>
      <c r="D11" s="43"/>
      <c r="E11" s="44">
        <v>45697</v>
      </c>
      <c r="F11" s="45">
        <v>180</v>
      </c>
    </row>
    <row r="12" spans="1:12" x14ac:dyDescent="0.3">
      <c r="A12" s="132" t="s">
        <v>330</v>
      </c>
      <c r="B12" s="133"/>
      <c r="C12" s="48"/>
      <c r="D12" s="43"/>
      <c r="E12" s="44">
        <v>45698</v>
      </c>
      <c r="F12" s="45">
        <v>3400</v>
      </c>
    </row>
    <row r="13" spans="1:12" x14ac:dyDescent="0.3">
      <c r="A13" s="46" t="s">
        <v>375</v>
      </c>
      <c r="B13" s="47"/>
      <c r="C13" s="48"/>
      <c r="D13" s="43"/>
      <c r="E13" s="44">
        <v>45700</v>
      </c>
      <c r="F13" s="45">
        <v>235.6</v>
      </c>
    </row>
    <row r="14" spans="1:12" x14ac:dyDescent="0.3">
      <c r="A14" s="49" t="s">
        <v>331</v>
      </c>
      <c r="B14" s="50"/>
      <c r="C14" s="51"/>
      <c r="D14" s="43"/>
      <c r="E14" s="44"/>
      <c r="F14" s="52"/>
      <c r="G14" s="37" t="s">
        <v>332</v>
      </c>
    </row>
    <row r="15" spans="1:12" x14ac:dyDescent="0.3">
      <c r="A15" s="132" t="s">
        <v>333</v>
      </c>
      <c r="B15" s="133"/>
      <c r="C15" s="42">
        <v>4500</v>
      </c>
      <c r="D15" s="43"/>
      <c r="E15" s="44">
        <v>45704</v>
      </c>
      <c r="F15" s="45"/>
      <c r="K15" s="53"/>
      <c r="L15" s="53"/>
    </row>
    <row r="16" spans="1:12" x14ac:dyDescent="0.3">
      <c r="A16" s="132" t="s">
        <v>334</v>
      </c>
      <c r="B16" s="133"/>
      <c r="C16" s="42"/>
      <c r="D16" s="43"/>
      <c r="E16" s="44">
        <v>45708</v>
      </c>
      <c r="F16" s="45">
        <v>3480</v>
      </c>
      <c r="K16" s="54"/>
      <c r="L16" s="54"/>
    </row>
    <row r="17" spans="1:12" x14ac:dyDescent="0.3">
      <c r="A17" s="132" t="s">
        <v>335</v>
      </c>
      <c r="B17" s="133"/>
      <c r="C17" s="42">
        <v>4265</v>
      </c>
      <c r="D17" s="43"/>
      <c r="E17" s="44">
        <v>45710</v>
      </c>
      <c r="F17" s="45"/>
      <c r="K17" s="54"/>
      <c r="L17" s="54"/>
    </row>
    <row r="18" spans="1:12" x14ac:dyDescent="0.3">
      <c r="A18" s="132" t="s">
        <v>336</v>
      </c>
      <c r="B18" s="133"/>
      <c r="C18" s="42">
        <v>8000</v>
      </c>
      <c r="D18" s="43"/>
      <c r="E18" s="44">
        <v>45712</v>
      </c>
      <c r="F18" s="45"/>
      <c r="K18" s="54"/>
      <c r="L18" s="54"/>
    </row>
    <row r="19" spans="1:12" x14ac:dyDescent="0.3">
      <c r="A19" s="132" t="s">
        <v>337</v>
      </c>
      <c r="B19" s="133"/>
      <c r="C19" s="42"/>
      <c r="D19" s="43"/>
      <c r="E19" s="44">
        <v>45715</v>
      </c>
      <c r="F19" s="45">
        <v>8456</v>
      </c>
    </row>
    <row r="20" spans="1:12" x14ac:dyDescent="0.3">
      <c r="A20" s="138" t="s">
        <v>338</v>
      </c>
      <c r="B20" s="139"/>
      <c r="C20" s="52"/>
      <c r="D20" s="43"/>
      <c r="E20" s="44"/>
      <c r="F20" s="52"/>
    </row>
    <row r="21" spans="1:12" ht="12.75" customHeight="1" x14ac:dyDescent="0.3">
      <c r="C21" s="55"/>
      <c r="D21" s="56"/>
      <c r="E21" s="56"/>
      <c r="F21" s="55"/>
    </row>
    <row r="22" spans="1:12" x14ac:dyDescent="0.3">
      <c r="A22" s="138" t="s">
        <v>339</v>
      </c>
      <c r="B22" s="139"/>
      <c r="C22" s="51"/>
      <c r="D22" s="56"/>
      <c r="E22" s="56"/>
      <c r="F22" s="51"/>
    </row>
    <row r="23" spans="1:12" ht="8.25" customHeight="1" x14ac:dyDescent="0.3">
      <c r="C23" s="55"/>
      <c r="D23" s="56"/>
      <c r="E23" s="56"/>
      <c r="F23" s="55"/>
    </row>
    <row r="24" spans="1:12" x14ac:dyDescent="0.3">
      <c r="A24" s="138" t="s">
        <v>340</v>
      </c>
      <c r="B24" s="139"/>
      <c r="C24" s="57"/>
      <c r="D24" s="56"/>
      <c r="E24" s="56"/>
      <c r="F24" s="58"/>
      <c r="I24" s="55"/>
    </row>
    <row r="25" spans="1:12" x14ac:dyDescent="0.3">
      <c r="A25" s="138" t="s">
        <v>341</v>
      </c>
      <c r="B25" s="139"/>
      <c r="C25" s="52"/>
      <c r="D25" s="59"/>
      <c r="E25" s="59"/>
      <c r="F25" s="52"/>
    </row>
    <row r="26" spans="1:12" x14ac:dyDescent="0.3">
      <c r="A26" s="138" t="s">
        <v>342</v>
      </c>
      <c r="B26" s="139"/>
      <c r="C26" s="52"/>
      <c r="D26" s="59"/>
      <c r="E26" s="59"/>
      <c r="F26" s="52"/>
    </row>
    <row r="46" spans="2:8" x14ac:dyDescent="0.3">
      <c r="B46" s="38" t="s">
        <v>343</v>
      </c>
      <c r="C46" s="60">
        <v>150000</v>
      </c>
    </row>
    <row r="48" spans="2:8" x14ac:dyDescent="0.3">
      <c r="B48" s="38" t="s">
        <v>344</v>
      </c>
      <c r="F48" s="38">
        <v>20</v>
      </c>
      <c r="G48" s="38" t="s">
        <v>345</v>
      </c>
      <c r="H48" s="38" t="s">
        <v>346</v>
      </c>
    </row>
    <row r="49" spans="2:11" x14ac:dyDescent="0.3">
      <c r="B49" s="61" t="s">
        <v>347</v>
      </c>
      <c r="C49" s="61"/>
      <c r="D49" s="61"/>
      <c r="E49" s="61"/>
      <c r="F49" s="61" t="s">
        <v>348</v>
      </c>
      <c r="G49" s="61"/>
      <c r="H49" s="61" t="s">
        <v>349</v>
      </c>
      <c r="I49" s="61"/>
      <c r="J49" s="61"/>
    </row>
    <row r="50" spans="2:11" x14ac:dyDescent="0.3">
      <c r="B50" s="38" t="s">
        <v>350</v>
      </c>
      <c r="D50" s="62">
        <v>0.2</v>
      </c>
      <c r="E50" s="62"/>
      <c r="F50" s="38">
        <v>5</v>
      </c>
      <c r="G50" s="38" t="s">
        <v>345</v>
      </c>
    </row>
    <row r="52" spans="2:11" x14ac:dyDescent="0.3">
      <c r="B52" s="38" t="s">
        <v>12</v>
      </c>
      <c r="C52" s="53" t="s">
        <v>351</v>
      </c>
      <c r="D52" s="53" t="s">
        <v>352</v>
      </c>
      <c r="E52" s="53"/>
      <c r="F52" s="53" t="s">
        <v>353</v>
      </c>
      <c r="G52" s="53" t="s">
        <v>354</v>
      </c>
      <c r="H52" s="53" t="s">
        <v>355</v>
      </c>
      <c r="I52" s="53" t="s">
        <v>356</v>
      </c>
      <c r="J52" s="53" t="s">
        <v>357</v>
      </c>
    </row>
    <row r="53" spans="2:11" x14ac:dyDescent="0.3">
      <c r="B53" s="38" t="s">
        <v>358</v>
      </c>
      <c r="C53" s="63">
        <f>C46</f>
        <v>150000</v>
      </c>
      <c r="D53" s="53"/>
      <c r="E53" s="53"/>
      <c r="F53" s="53"/>
      <c r="G53" s="53"/>
      <c r="H53" s="53"/>
      <c r="I53" s="53"/>
      <c r="J53" s="53"/>
    </row>
    <row r="54" spans="2:11" x14ac:dyDescent="0.3">
      <c r="B54" s="38" t="s">
        <v>359</v>
      </c>
      <c r="C54" s="63">
        <f>C53*D50</f>
        <v>30000</v>
      </c>
      <c r="D54" s="63">
        <f>C54</f>
        <v>30000</v>
      </c>
      <c r="E54" s="63"/>
      <c r="F54" s="63">
        <f>D54</f>
        <v>30000</v>
      </c>
      <c r="G54" s="63">
        <f>F54</f>
        <v>30000</v>
      </c>
      <c r="H54" s="63">
        <f>G54</f>
        <v>30000</v>
      </c>
      <c r="I54" s="53">
        <v>0</v>
      </c>
      <c r="J54" s="53">
        <v>0</v>
      </c>
    </row>
    <row r="55" spans="2:11" x14ac:dyDescent="0.3">
      <c r="B55" s="38" t="s">
        <v>360</v>
      </c>
      <c r="C55" s="63">
        <f>C53-C54</f>
        <v>120000</v>
      </c>
      <c r="D55" s="63">
        <f>C53-SUM(C54:D54)</f>
        <v>90000</v>
      </c>
      <c r="E55" s="63"/>
      <c r="F55" s="63">
        <f>C53-SUM(C54:F54)</f>
        <v>60000</v>
      </c>
      <c r="G55" s="63">
        <f>C53-SUM(C54:G54)</f>
        <v>30000</v>
      </c>
      <c r="H55" s="63">
        <f>C53-SUM(C54:H54)</f>
        <v>0</v>
      </c>
      <c r="I55" s="63">
        <v>0</v>
      </c>
      <c r="J55" s="63">
        <v>0</v>
      </c>
    </row>
    <row r="56" spans="2:11" x14ac:dyDescent="0.3">
      <c r="C56" s="53"/>
      <c r="D56" s="53"/>
      <c r="E56" s="53"/>
      <c r="F56" s="53"/>
      <c r="G56" s="53"/>
      <c r="H56" s="53"/>
      <c r="I56" s="53"/>
      <c r="J56" s="63">
        <v>50000</v>
      </c>
      <c r="K56" s="38" t="s">
        <v>361</v>
      </c>
    </row>
    <row r="57" spans="2:11" x14ac:dyDescent="0.3">
      <c r="J57" s="53">
        <f>J55</f>
        <v>0</v>
      </c>
      <c r="K57" s="38" t="s">
        <v>362</v>
      </c>
    </row>
    <row r="58" spans="2:11" x14ac:dyDescent="0.3">
      <c r="J58" s="63">
        <f>J56-J57</f>
        <v>50000</v>
      </c>
      <c r="K58" s="38" t="s">
        <v>363</v>
      </c>
    </row>
    <row r="59" spans="2:11" x14ac:dyDescent="0.3">
      <c r="B59" s="38" t="s">
        <v>364</v>
      </c>
      <c r="J59" s="63">
        <f>J58*29.5%</f>
        <v>14750</v>
      </c>
      <c r="K59" s="38" t="s">
        <v>365</v>
      </c>
    </row>
    <row r="60" spans="2:11" x14ac:dyDescent="0.3">
      <c r="B60" s="38" t="s">
        <v>366</v>
      </c>
      <c r="J60" s="63">
        <f>J58-J59</f>
        <v>35250</v>
      </c>
      <c r="K60" s="38" t="s">
        <v>367</v>
      </c>
    </row>
    <row r="62" spans="2:11" x14ac:dyDescent="0.3">
      <c r="F62" s="63">
        <v>80000</v>
      </c>
      <c r="G62" s="38" t="s">
        <v>361</v>
      </c>
    </row>
    <row r="63" spans="2:11" x14ac:dyDescent="0.3">
      <c r="F63" s="63">
        <f>F55</f>
        <v>60000</v>
      </c>
      <c r="G63" s="38" t="s">
        <v>368</v>
      </c>
    </row>
    <row r="64" spans="2:11" x14ac:dyDescent="0.3">
      <c r="F64" s="63">
        <f>F62-F63</f>
        <v>20000</v>
      </c>
      <c r="G64" s="38" t="s">
        <v>363</v>
      </c>
    </row>
    <row r="65" spans="6:9" x14ac:dyDescent="0.3">
      <c r="F65" s="63">
        <f>F64*29.5%</f>
        <v>5900</v>
      </c>
      <c r="G65" s="38" t="s">
        <v>365</v>
      </c>
    </row>
    <row r="66" spans="6:9" x14ac:dyDescent="0.3">
      <c r="F66" s="63">
        <f>F64-F65</f>
        <v>14100</v>
      </c>
      <c r="G66" s="38" t="s">
        <v>367</v>
      </c>
    </row>
    <row r="67" spans="6:9" x14ac:dyDescent="0.3">
      <c r="F67" s="53"/>
    </row>
    <row r="68" spans="6:9" x14ac:dyDescent="0.3">
      <c r="G68" s="63">
        <v>20000</v>
      </c>
      <c r="H68" s="38" t="s">
        <v>361</v>
      </c>
    </row>
    <row r="69" spans="6:9" x14ac:dyDescent="0.3">
      <c r="G69" s="63">
        <f>G55</f>
        <v>30000</v>
      </c>
      <c r="H69" s="38" t="s">
        <v>369</v>
      </c>
    </row>
    <row r="70" spans="6:9" x14ac:dyDescent="0.3">
      <c r="G70" s="63">
        <f>G68-G69</f>
        <v>-10000</v>
      </c>
      <c r="H70" s="38" t="s">
        <v>370</v>
      </c>
    </row>
    <row r="71" spans="6:9" x14ac:dyDescent="0.3">
      <c r="G71" s="63">
        <f>G70*29.5%</f>
        <v>-2950</v>
      </c>
      <c r="H71" s="38" t="s">
        <v>365</v>
      </c>
      <c r="I71" s="38" t="s">
        <v>371</v>
      </c>
    </row>
    <row r="72" spans="6:9" x14ac:dyDescent="0.3">
      <c r="G72" s="63"/>
    </row>
  </sheetData>
  <mergeCells count="18">
    <mergeCell ref="A26:B26"/>
    <mergeCell ref="A11:B11"/>
    <mergeCell ref="A12:B12"/>
    <mergeCell ref="A15:B15"/>
    <mergeCell ref="A16:B16"/>
    <mergeCell ref="A17:B17"/>
    <mergeCell ref="A18:B18"/>
    <mergeCell ref="A19:B19"/>
    <mergeCell ref="A20:B20"/>
    <mergeCell ref="A22:B22"/>
    <mergeCell ref="A24:B24"/>
    <mergeCell ref="A25:B25"/>
    <mergeCell ref="A10:B10"/>
    <mergeCell ref="A5:B5"/>
    <mergeCell ref="A6:B6"/>
    <mergeCell ref="A7:B7"/>
    <mergeCell ref="A8:B8"/>
    <mergeCell ref="A9:B9"/>
  </mergeCells>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85E71-EA30-4FF0-8793-96C88AC8C972}">
  <dimension ref="A1:I26"/>
  <sheetViews>
    <sheetView zoomScale="90" zoomScaleNormal="90" workbookViewId="0">
      <selection activeCell="E20" sqref="E20"/>
    </sheetView>
  </sheetViews>
  <sheetFormatPr baseColWidth="10" defaultColWidth="12.33203125" defaultRowHeight="14.4" x14ac:dyDescent="0.3"/>
  <cols>
    <col min="1" max="1" width="12.33203125" style="38"/>
    <col min="2" max="2" width="21" style="38" customWidth="1"/>
    <col min="3" max="3" width="12.33203125" style="38"/>
    <col min="4" max="5" width="11" style="38" customWidth="1"/>
    <col min="6" max="6" width="14" style="38" bestFit="1" customWidth="1"/>
    <col min="7" max="16384" width="12.33203125" style="38"/>
  </cols>
  <sheetData>
    <row r="1" spans="1:7" x14ac:dyDescent="0.3">
      <c r="A1" s="37" t="s">
        <v>315</v>
      </c>
    </row>
    <row r="3" spans="1:7" x14ac:dyDescent="0.3">
      <c r="A3" s="37" t="s">
        <v>316</v>
      </c>
      <c r="C3" s="37" t="s">
        <v>372</v>
      </c>
    </row>
    <row r="4" spans="1:7" x14ac:dyDescent="0.3">
      <c r="A4" s="38" t="s">
        <v>318</v>
      </c>
      <c r="C4" s="37" t="s">
        <v>373</v>
      </c>
    </row>
    <row r="5" spans="1:7" x14ac:dyDescent="0.3">
      <c r="A5" s="134" t="s">
        <v>88</v>
      </c>
      <c r="B5" s="135"/>
      <c r="C5" s="39" t="s">
        <v>320</v>
      </c>
      <c r="D5" s="40" t="s">
        <v>321</v>
      </c>
      <c r="E5" s="40" t="s">
        <v>322</v>
      </c>
      <c r="F5" s="41" t="s">
        <v>323</v>
      </c>
    </row>
    <row r="6" spans="1:7" x14ac:dyDescent="0.3">
      <c r="A6" s="136" t="s">
        <v>324</v>
      </c>
      <c r="B6" s="137"/>
      <c r="C6" s="42">
        <v>36585</v>
      </c>
      <c r="D6" s="43"/>
      <c r="E6" s="44">
        <v>45678</v>
      </c>
      <c r="F6" s="45"/>
    </row>
    <row r="7" spans="1:7" x14ac:dyDescent="0.3">
      <c r="A7" s="132" t="s">
        <v>325</v>
      </c>
      <c r="B7" s="133"/>
      <c r="C7" s="48">
        <v>2240</v>
      </c>
      <c r="D7" s="43"/>
      <c r="E7" s="44">
        <v>45679</v>
      </c>
      <c r="F7" s="45"/>
    </row>
    <row r="8" spans="1:7" x14ac:dyDescent="0.3">
      <c r="A8" s="132" t="s">
        <v>326</v>
      </c>
      <c r="B8" s="133"/>
      <c r="C8" s="48">
        <v>1600</v>
      </c>
      <c r="D8" s="43"/>
      <c r="E8" s="44">
        <v>45682</v>
      </c>
      <c r="F8" s="45"/>
    </row>
    <row r="9" spans="1:7" x14ac:dyDescent="0.3">
      <c r="A9" s="132" t="s">
        <v>327</v>
      </c>
      <c r="B9" s="133"/>
      <c r="C9" s="48"/>
      <c r="D9" s="43"/>
      <c r="E9" s="44">
        <v>45687</v>
      </c>
      <c r="F9" s="45">
        <v>3560</v>
      </c>
    </row>
    <row r="10" spans="1:7" x14ac:dyDescent="0.3">
      <c r="A10" s="132" t="s">
        <v>328</v>
      </c>
      <c r="B10" s="133"/>
      <c r="C10" s="48">
        <v>1890</v>
      </c>
      <c r="D10" s="43"/>
      <c r="E10" s="44">
        <v>45659</v>
      </c>
      <c r="F10" s="45"/>
    </row>
    <row r="11" spans="1:7" x14ac:dyDescent="0.3">
      <c r="A11" s="132" t="s">
        <v>329</v>
      </c>
      <c r="B11" s="133"/>
      <c r="C11" s="48"/>
      <c r="D11" s="43"/>
      <c r="E11" s="44">
        <v>45693</v>
      </c>
      <c r="F11" s="45">
        <v>480</v>
      </c>
    </row>
    <row r="12" spans="1:7" x14ac:dyDescent="0.3">
      <c r="A12" s="132" t="s">
        <v>330</v>
      </c>
      <c r="B12" s="133"/>
      <c r="C12" s="48"/>
      <c r="D12" s="43"/>
      <c r="E12" s="44">
        <v>45704</v>
      </c>
      <c r="F12" s="45">
        <v>3700</v>
      </c>
    </row>
    <row r="13" spans="1:7" x14ac:dyDescent="0.3">
      <c r="A13" s="46" t="s">
        <v>375</v>
      </c>
      <c r="B13" s="47"/>
      <c r="C13" s="48"/>
      <c r="D13" s="43"/>
      <c r="E13" s="44"/>
      <c r="F13" s="45">
        <v>423.8</v>
      </c>
    </row>
    <row r="14" spans="1:7" x14ac:dyDescent="0.3">
      <c r="A14" s="49" t="s">
        <v>331</v>
      </c>
      <c r="B14" s="50"/>
      <c r="C14" s="51"/>
      <c r="D14" s="43"/>
      <c r="E14" s="44"/>
      <c r="F14" s="52"/>
      <c r="G14" s="37" t="s">
        <v>332</v>
      </c>
    </row>
    <row r="15" spans="1:7" x14ac:dyDescent="0.3">
      <c r="A15" s="132" t="s">
        <v>333</v>
      </c>
      <c r="B15" s="133"/>
      <c r="C15" s="42">
        <v>4300</v>
      </c>
      <c r="D15" s="43"/>
      <c r="E15" s="44">
        <v>45706</v>
      </c>
      <c r="F15" s="45"/>
    </row>
    <row r="16" spans="1:7" x14ac:dyDescent="0.3">
      <c r="A16" s="132" t="s">
        <v>374</v>
      </c>
      <c r="B16" s="133"/>
      <c r="C16" s="42"/>
      <c r="D16" s="43"/>
      <c r="E16" s="44">
        <v>45713</v>
      </c>
      <c r="F16" s="45">
        <v>3480</v>
      </c>
    </row>
    <row r="17" spans="1:9" x14ac:dyDescent="0.3">
      <c r="A17" s="132" t="s">
        <v>335</v>
      </c>
      <c r="B17" s="133"/>
      <c r="C17" s="42">
        <v>4000</v>
      </c>
      <c r="D17" s="43"/>
      <c r="E17" s="44">
        <v>45698</v>
      </c>
      <c r="F17" s="45"/>
    </row>
    <row r="18" spans="1:9" x14ac:dyDescent="0.3">
      <c r="A18" s="132" t="s">
        <v>336</v>
      </c>
      <c r="B18" s="133"/>
      <c r="C18" s="42">
        <v>3000</v>
      </c>
      <c r="D18" s="43"/>
      <c r="E18" s="44">
        <v>45703</v>
      </c>
      <c r="F18" s="45"/>
    </row>
    <row r="19" spans="1:9" x14ac:dyDescent="0.3">
      <c r="A19" s="132" t="s">
        <v>337</v>
      </c>
      <c r="B19" s="133"/>
      <c r="C19" s="42"/>
      <c r="D19" s="43"/>
      <c r="E19" s="44">
        <v>45708</v>
      </c>
      <c r="F19" s="45">
        <v>3480</v>
      </c>
    </row>
    <row r="20" spans="1:9" x14ac:dyDescent="0.3">
      <c r="A20" s="138" t="s">
        <v>338</v>
      </c>
      <c r="B20" s="139"/>
      <c r="C20" s="51"/>
      <c r="D20" s="43"/>
      <c r="E20" s="44"/>
      <c r="F20" s="52"/>
    </row>
    <row r="21" spans="1:9" ht="12.75" customHeight="1" x14ac:dyDescent="0.3">
      <c r="C21" s="55"/>
      <c r="D21" s="56"/>
      <c r="E21" s="56"/>
      <c r="F21" s="55"/>
    </row>
    <row r="22" spans="1:9" x14ac:dyDescent="0.3">
      <c r="A22" s="138" t="s">
        <v>339</v>
      </c>
      <c r="B22" s="139"/>
      <c r="C22" s="51"/>
      <c r="D22" s="56"/>
      <c r="E22" s="56"/>
      <c r="F22" s="52"/>
    </row>
    <row r="23" spans="1:9" ht="8.25" customHeight="1" x14ac:dyDescent="0.3">
      <c r="C23" s="55"/>
      <c r="D23" s="56"/>
      <c r="E23" s="56"/>
      <c r="F23" s="55"/>
    </row>
    <row r="24" spans="1:9" x14ac:dyDescent="0.3">
      <c r="A24" s="138" t="s">
        <v>340</v>
      </c>
      <c r="B24" s="139"/>
      <c r="C24" s="52"/>
      <c r="D24" s="56"/>
      <c r="E24" s="56"/>
      <c r="F24" s="52"/>
      <c r="I24" s="55"/>
    </row>
    <row r="25" spans="1:9" x14ac:dyDescent="0.3">
      <c r="A25" s="138" t="s">
        <v>341</v>
      </c>
      <c r="B25" s="139"/>
      <c r="C25" s="52"/>
      <c r="D25" s="59"/>
      <c r="E25" s="59"/>
      <c r="F25" s="52"/>
    </row>
    <row r="26" spans="1:9" x14ac:dyDescent="0.3">
      <c r="A26" s="138" t="s">
        <v>342</v>
      </c>
      <c r="B26" s="139"/>
      <c r="C26" s="52"/>
      <c r="D26" s="59"/>
      <c r="E26" s="59"/>
      <c r="F26" s="52"/>
    </row>
  </sheetData>
  <mergeCells count="18">
    <mergeCell ref="A26:B26"/>
    <mergeCell ref="A11:B11"/>
    <mergeCell ref="A12:B12"/>
    <mergeCell ref="A15:B15"/>
    <mergeCell ref="A16:B16"/>
    <mergeCell ref="A17:B17"/>
    <mergeCell ref="A18:B18"/>
    <mergeCell ref="A19:B19"/>
    <mergeCell ref="A20:B20"/>
    <mergeCell ref="A22:B22"/>
    <mergeCell ref="A24:B24"/>
    <mergeCell ref="A25:B25"/>
    <mergeCell ref="A10:B10"/>
    <mergeCell ref="A5:B5"/>
    <mergeCell ref="A6:B6"/>
    <mergeCell ref="A7:B7"/>
    <mergeCell ref="A8:B8"/>
    <mergeCell ref="A9:B9"/>
  </mergeCells>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7FC11-451B-4624-AAE5-4D65D8D44CF2}">
  <dimension ref="A1:N17"/>
  <sheetViews>
    <sheetView workbookViewId="0">
      <selection activeCell="H30" sqref="H30"/>
    </sheetView>
  </sheetViews>
  <sheetFormatPr baseColWidth="10" defaultColWidth="12.33203125" defaultRowHeight="13.8" x14ac:dyDescent="0.25"/>
  <cols>
    <col min="1" max="9" width="12.33203125" style="25"/>
    <col min="10" max="10" width="7.88671875" style="25" customWidth="1"/>
    <col min="11" max="11" width="5.6640625" style="25" customWidth="1"/>
    <col min="12" max="12" width="9.88671875" style="25" customWidth="1"/>
    <col min="13" max="13" width="38.33203125" style="25" customWidth="1"/>
    <col min="14" max="14" width="8.33203125" style="25" customWidth="1"/>
    <col min="15" max="16384" width="12.33203125" style="25"/>
  </cols>
  <sheetData>
    <row r="1" spans="1:14" x14ac:dyDescent="0.25">
      <c r="A1" s="26" t="s">
        <v>376</v>
      </c>
      <c r="B1" s="26" t="s">
        <v>377</v>
      </c>
      <c r="K1" s="64" t="s">
        <v>378</v>
      </c>
      <c r="L1" s="64" t="s">
        <v>379</v>
      </c>
      <c r="M1" s="64" t="s">
        <v>380</v>
      </c>
      <c r="N1" s="64" t="s">
        <v>381</v>
      </c>
    </row>
    <row r="2" spans="1:14" x14ac:dyDescent="0.25">
      <c r="K2" s="65">
        <v>1</v>
      </c>
      <c r="L2" s="65" t="s">
        <v>382</v>
      </c>
      <c r="M2" s="66" t="s">
        <v>383</v>
      </c>
      <c r="N2" s="65" t="s">
        <v>13</v>
      </c>
    </row>
    <row r="3" spans="1:14" x14ac:dyDescent="0.25">
      <c r="K3" s="65">
        <v>2</v>
      </c>
      <c r="L3" s="65" t="s">
        <v>384</v>
      </c>
      <c r="M3" s="66" t="s">
        <v>385</v>
      </c>
      <c r="N3" s="65" t="s">
        <v>386</v>
      </c>
    </row>
    <row r="4" spans="1:14" x14ac:dyDescent="0.25">
      <c r="K4" s="65">
        <v>3</v>
      </c>
      <c r="L4" s="65" t="s">
        <v>387</v>
      </c>
      <c r="M4" s="66" t="s">
        <v>388</v>
      </c>
      <c r="N4" s="65" t="s">
        <v>386</v>
      </c>
    </row>
    <row r="5" spans="1:14" x14ac:dyDescent="0.25">
      <c r="K5" s="65">
        <v>4</v>
      </c>
      <c r="L5" s="65" t="s">
        <v>389</v>
      </c>
      <c r="M5" s="66" t="s">
        <v>390</v>
      </c>
      <c r="N5" s="65" t="s">
        <v>386</v>
      </c>
    </row>
    <row r="6" spans="1:14" x14ac:dyDescent="0.25">
      <c r="K6" s="65">
        <v>5</v>
      </c>
      <c r="L6" s="65" t="s">
        <v>391</v>
      </c>
      <c r="M6" s="66" t="s">
        <v>392</v>
      </c>
      <c r="N6" s="65" t="s">
        <v>386</v>
      </c>
    </row>
    <row r="7" spans="1:14" x14ac:dyDescent="0.25">
      <c r="K7" s="67">
        <v>6</v>
      </c>
      <c r="L7" s="67" t="s">
        <v>393</v>
      </c>
      <c r="M7" s="68" t="s">
        <v>394</v>
      </c>
      <c r="N7" s="67" t="s">
        <v>386</v>
      </c>
    </row>
    <row r="8" spans="1:14" x14ac:dyDescent="0.25">
      <c r="K8" s="65">
        <v>7</v>
      </c>
      <c r="L8" s="65" t="s">
        <v>395</v>
      </c>
      <c r="M8" s="66" t="s">
        <v>396</v>
      </c>
      <c r="N8" s="65" t="s">
        <v>386</v>
      </c>
    </row>
    <row r="9" spans="1:14" x14ac:dyDescent="0.25">
      <c r="K9" s="65">
        <v>8</v>
      </c>
      <c r="L9" s="65" t="s">
        <v>397</v>
      </c>
      <c r="M9" s="66" t="s">
        <v>398</v>
      </c>
      <c r="N9" s="65" t="s">
        <v>13</v>
      </c>
    </row>
    <row r="10" spans="1:14" x14ac:dyDescent="0.25">
      <c r="K10" s="65">
        <v>9</v>
      </c>
      <c r="L10" s="65" t="s">
        <v>399</v>
      </c>
      <c r="M10" s="66" t="s">
        <v>400</v>
      </c>
      <c r="N10" s="65" t="s">
        <v>13</v>
      </c>
    </row>
    <row r="11" spans="1:14" x14ac:dyDescent="0.25">
      <c r="K11" s="65">
        <v>10</v>
      </c>
      <c r="L11" s="65" t="s">
        <v>401</v>
      </c>
      <c r="M11" s="66" t="s">
        <v>402</v>
      </c>
      <c r="N11" s="65" t="s">
        <v>386</v>
      </c>
    </row>
    <row r="12" spans="1:14" x14ac:dyDescent="0.25">
      <c r="K12" s="65">
        <v>11</v>
      </c>
      <c r="L12" s="65" t="s">
        <v>403</v>
      </c>
      <c r="M12" s="66" t="s">
        <v>404</v>
      </c>
      <c r="N12" s="65" t="s">
        <v>405</v>
      </c>
    </row>
    <row r="13" spans="1:14" x14ac:dyDescent="0.25">
      <c r="K13" s="65">
        <v>12</v>
      </c>
      <c r="L13" s="65" t="s">
        <v>406</v>
      </c>
      <c r="M13" s="66" t="s">
        <v>407</v>
      </c>
      <c r="N13" s="65" t="s">
        <v>405</v>
      </c>
    </row>
    <row r="14" spans="1:14" x14ac:dyDescent="0.25">
      <c r="K14" s="65">
        <v>13</v>
      </c>
      <c r="L14" s="65" t="s">
        <v>408</v>
      </c>
      <c r="M14" s="66" t="s">
        <v>409</v>
      </c>
      <c r="N14" s="65" t="s">
        <v>405</v>
      </c>
    </row>
    <row r="15" spans="1:14" x14ac:dyDescent="0.25">
      <c r="K15" s="65">
        <v>14</v>
      </c>
      <c r="L15" s="65" t="s">
        <v>401</v>
      </c>
      <c r="M15" s="66" t="s">
        <v>410</v>
      </c>
      <c r="N15" s="65" t="s">
        <v>386</v>
      </c>
    </row>
    <row r="16" spans="1:14" x14ac:dyDescent="0.25">
      <c r="K16" s="65">
        <v>15</v>
      </c>
      <c r="L16" s="65" t="s">
        <v>411</v>
      </c>
      <c r="M16" s="66" t="s">
        <v>412</v>
      </c>
      <c r="N16" s="65" t="s">
        <v>413</v>
      </c>
    </row>
    <row r="17" spans="11:14" x14ac:dyDescent="0.25">
      <c r="K17" s="65">
        <v>16</v>
      </c>
      <c r="L17" s="65" t="s">
        <v>414</v>
      </c>
      <c r="M17" s="66" t="s">
        <v>415</v>
      </c>
      <c r="N17" s="65" t="s">
        <v>413</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92523-66F9-4597-9D29-6ED8E3F84F7C}">
  <dimension ref="A1:C40"/>
  <sheetViews>
    <sheetView topLeftCell="A16" zoomScale="120" workbookViewId="0">
      <selection activeCell="A40" sqref="A40"/>
    </sheetView>
  </sheetViews>
  <sheetFormatPr baseColWidth="10" defaultColWidth="11.44140625" defaultRowHeight="13.2" x14ac:dyDescent="0.25"/>
  <cols>
    <col min="1" max="16384" width="11.44140625" style="70"/>
  </cols>
  <sheetData>
    <row r="1" spans="1:3" x14ac:dyDescent="0.25">
      <c r="A1" s="69" t="s">
        <v>416</v>
      </c>
      <c r="B1" s="69" t="s">
        <v>417</v>
      </c>
    </row>
    <row r="3" spans="1:3" ht="17.399999999999999" x14ac:dyDescent="0.3">
      <c r="C3" s="71" t="s">
        <v>418</v>
      </c>
    </row>
    <row r="31" spans="1:1" x14ac:dyDescent="0.25">
      <c r="A31" s="69" t="s">
        <v>419</v>
      </c>
    </row>
    <row r="32" spans="1:1" x14ac:dyDescent="0.25">
      <c r="A32" s="70" t="s">
        <v>420</v>
      </c>
    </row>
    <row r="33" spans="1:1" x14ac:dyDescent="0.25">
      <c r="A33" s="70" t="s">
        <v>421</v>
      </c>
    </row>
    <row r="34" spans="1:1" x14ac:dyDescent="0.25">
      <c r="A34" s="70" t="s">
        <v>422</v>
      </c>
    </row>
    <row r="35" spans="1:1" x14ac:dyDescent="0.25">
      <c r="A35" s="70" t="s">
        <v>423</v>
      </c>
    </row>
    <row r="37" spans="1:1" x14ac:dyDescent="0.25">
      <c r="A37" s="69" t="s">
        <v>424</v>
      </c>
    </row>
    <row r="38" spans="1:1" x14ac:dyDescent="0.25">
      <c r="A38" s="70" t="s">
        <v>425</v>
      </c>
    </row>
    <row r="39" spans="1:1" x14ac:dyDescent="0.25">
      <c r="A39" s="70" t="s">
        <v>426</v>
      </c>
    </row>
    <row r="40" spans="1:1" x14ac:dyDescent="0.25">
      <c r="A40" s="70" t="s">
        <v>427</v>
      </c>
    </row>
  </sheetData>
  <pageMargins left="0.75" right="0.75" top="1" bottom="1" header="0" footer="0"/>
  <pageSetup paperSize="9"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9BE94-F20E-4533-8A1C-FDC82C990F2C}">
  <dimension ref="A1:C33"/>
  <sheetViews>
    <sheetView zoomScale="120" zoomScaleNormal="120" workbookViewId="0">
      <selection activeCell="A40" sqref="A40"/>
    </sheetView>
  </sheetViews>
  <sheetFormatPr baseColWidth="10" defaultRowHeight="13.2" x14ac:dyDescent="0.25"/>
  <cols>
    <col min="1" max="1" width="29.109375" style="73" customWidth="1"/>
    <col min="2" max="256" width="11.5546875" style="73"/>
    <col min="257" max="257" width="29.109375" style="73" customWidth="1"/>
    <col min="258" max="512" width="11.5546875" style="73"/>
    <col min="513" max="513" width="29.109375" style="73" customWidth="1"/>
    <col min="514" max="768" width="11.5546875" style="73"/>
    <col min="769" max="769" width="29.109375" style="73" customWidth="1"/>
    <col min="770" max="1024" width="11.5546875" style="73"/>
    <col min="1025" max="1025" width="29.109375" style="73" customWidth="1"/>
    <col min="1026" max="1280" width="11.5546875" style="73"/>
    <col min="1281" max="1281" width="29.109375" style="73" customWidth="1"/>
    <col min="1282" max="1536" width="11.5546875" style="73"/>
    <col min="1537" max="1537" width="29.109375" style="73" customWidth="1"/>
    <col min="1538" max="1792" width="11.5546875" style="73"/>
    <col min="1793" max="1793" width="29.109375" style="73" customWidth="1"/>
    <col min="1794" max="2048" width="11.5546875" style="73"/>
    <col min="2049" max="2049" width="29.109375" style="73" customWidth="1"/>
    <col min="2050" max="2304" width="11.5546875" style="73"/>
    <col min="2305" max="2305" width="29.109375" style="73" customWidth="1"/>
    <col min="2306" max="2560" width="11.5546875" style="73"/>
    <col min="2561" max="2561" width="29.109375" style="73" customWidth="1"/>
    <col min="2562" max="2816" width="11.5546875" style="73"/>
    <col min="2817" max="2817" width="29.109375" style="73" customWidth="1"/>
    <col min="2818" max="3072" width="11.5546875" style="73"/>
    <col min="3073" max="3073" width="29.109375" style="73" customWidth="1"/>
    <col min="3074" max="3328" width="11.5546875" style="73"/>
    <col min="3329" max="3329" width="29.109375" style="73" customWidth="1"/>
    <col min="3330" max="3584" width="11.5546875" style="73"/>
    <col min="3585" max="3585" width="29.109375" style="73" customWidth="1"/>
    <col min="3586" max="3840" width="11.5546875" style="73"/>
    <col min="3841" max="3841" width="29.109375" style="73" customWidth="1"/>
    <col min="3842" max="4096" width="11.5546875" style="73"/>
    <col min="4097" max="4097" width="29.109375" style="73" customWidth="1"/>
    <col min="4098" max="4352" width="11.5546875" style="73"/>
    <col min="4353" max="4353" width="29.109375" style="73" customWidth="1"/>
    <col min="4354" max="4608" width="11.5546875" style="73"/>
    <col min="4609" max="4609" width="29.109375" style="73" customWidth="1"/>
    <col min="4610" max="4864" width="11.5546875" style="73"/>
    <col min="4865" max="4865" width="29.109375" style="73" customWidth="1"/>
    <col min="4866" max="5120" width="11.5546875" style="73"/>
    <col min="5121" max="5121" width="29.109375" style="73" customWidth="1"/>
    <col min="5122" max="5376" width="11.5546875" style="73"/>
    <col min="5377" max="5377" width="29.109375" style="73" customWidth="1"/>
    <col min="5378" max="5632" width="11.5546875" style="73"/>
    <col min="5633" max="5633" width="29.109375" style="73" customWidth="1"/>
    <col min="5634" max="5888" width="11.5546875" style="73"/>
    <col min="5889" max="5889" width="29.109375" style="73" customWidth="1"/>
    <col min="5890" max="6144" width="11.5546875" style="73"/>
    <col min="6145" max="6145" width="29.109375" style="73" customWidth="1"/>
    <col min="6146" max="6400" width="11.5546875" style="73"/>
    <col min="6401" max="6401" width="29.109375" style="73" customWidth="1"/>
    <col min="6402" max="6656" width="11.5546875" style="73"/>
    <col min="6657" max="6657" width="29.109375" style="73" customWidth="1"/>
    <col min="6658" max="6912" width="11.5546875" style="73"/>
    <col min="6913" max="6913" width="29.109375" style="73" customWidth="1"/>
    <col min="6914" max="7168" width="11.5546875" style="73"/>
    <col min="7169" max="7169" width="29.109375" style="73" customWidth="1"/>
    <col min="7170" max="7424" width="11.5546875" style="73"/>
    <col min="7425" max="7425" width="29.109375" style="73" customWidth="1"/>
    <col min="7426" max="7680" width="11.5546875" style="73"/>
    <col min="7681" max="7681" width="29.109375" style="73" customWidth="1"/>
    <col min="7682" max="7936" width="11.5546875" style="73"/>
    <col min="7937" max="7937" width="29.109375" style="73" customWidth="1"/>
    <col min="7938" max="8192" width="11.5546875" style="73"/>
    <col min="8193" max="8193" width="29.109375" style="73" customWidth="1"/>
    <col min="8194" max="8448" width="11.5546875" style="73"/>
    <col min="8449" max="8449" width="29.109375" style="73" customWidth="1"/>
    <col min="8450" max="8704" width="11.5546875" style="73"/>
    <col min="8705" max="8705" width="29.109375" style="73" customWidth="1"/>
    <col min="8706" max="8960" width="11.5546875" style="73"/>
    <col min="8961" max="8961" width="29.109375" style="73" customWidth="1"/>
    <col min="8962" max="9216" width="11.5546875" style="73"/>
    <col min="9217" max="9217" width="29.109375" style="73" customWidth="1"/>
    <col min="9218" max="9472" width="11.5546875" style="73"/>
    <col min="9473" max="9473" width="29.109375" style="73" customWidth="1"/>
    <col min="9474" max="9728" width="11.5546875" style="73"/>
    <col min="9729" max="9729" width="29.109375" style="73" customWidth="1"/>
    <col min="9730" max="9984" width="11.5546875" style="73"/>
    <col min="9985" max="9985" width="29.109375" style="73" customWidth="1"/>
    <col min="9986" max="10240" width="11.5546875" style="73"/>
    <col min="10241" max="10241" width="29.109375" style="73" customWidth="1"/>
    <col min="10242" max="10496" width="11.5546875" style="73"/>
    <col min="10497" max="10497" width="29.109375" style="73" customWidth="1"/>
    <col min="10498" max="10752" width="11.5546875" style="73"/>
    <col min="10753" max="10753" width="29.109375" style="73" customWidth="1"/>
    <col min="10754" max="11008" width="11.5546875" style="73"/>
    <col min="11009" max="11009" width="29.109375" style="73" customWidth="1"/>
    <col min="11010" max="11264" width="11.5546875" style="73"/>
    <col min="11265" max="11265" width="29.109375" style="73" customWidth="1"/>
    <col min="11266" max="11520" width="11.5546875" style="73"/>
    <col min="11521" max="11521" width="29.109375" style="73" customWidth="1"/>
    <col min="11522" max="11776" width="11.5546875" style="73"/>
    <col min="11777" max="11777" width="29.109375" style="73" customWidth="1"/>
    <col min="11778" max="12032" width="11.5546875" style="73"/>
    <col min="12033" max="12033" width="29.109375" style="73" customWidth="1"/>
    <col min="12034" max="12288" width="11.5546875" style="73"/>
    <col min="12289" max="12289" width="29.109375" style="73" customWidth="1"/>
    <col min="12290" max="12544" width="11.5546875" style="73"/>
    <col min="12545" max="12545" width="29.109375" style="73" customWidth="1"/>
    <col min="12546" max="12800" width="11.5546875" style="73"/>
    <col min="12801" max="12801" width="29.109375" style="73" customWidth="1"/>
    <col min="12802" max="13056" width="11.5546875" style="73"/>
    <col min="13057" max="13057" width="29.109375" style="73" customWidth="1"/>
    <col min="13058" max="13312" width="11.5546875" style="73"/>
    <col min="13313" max="13313" width="29.109375" style="73" customWidth="1"/>
    <col min="13314" max="13568" width="11.5546875" style="73"/>
    <col min="13569" max="13569" width="29.109375" style="73" customWidth="1"/>
    <col min="13570" max="13824" width="11.5546875" style="73"/>
    <col min="13825" max="13825" width="29.109375" style="73" customWidth="1"/>
    <col min="13826" max="14080" width="11.5546875" style="73"/>
    <col min="14081" max="14081" width="29.109375" style="73" customWidth="1"/>
    <col min="14082" max="14336" width="11.5546875" style="73"/>
    <col min="14337" max="14337" width="29.109375" style="73" customWidth="1"/>
    <col min="14338" max="14592" width="11.5546875" style="73"/>
    <col min="14593" max="14593" width="29.109375" style="73" customWidth="1"/>
    <col min="14594" max="14848" width="11.5546875" style="73"/>
    <col min="14849" max="14849" width="29.109375" style="73" customWidth="1"/>
    <col min="14850" max="15104" width="11.5546875" style="73"/>
    <col min="15105" max="15105" width="29.109375" style="73" customWidth="1"/>
    <col min="15106" max="15360" width="11.5546875" style="73"/>
    <col min="15361" max="15361" width="29.109375" style="73" customWidth="1"/>
    <col min="15362" max="15616" width="11.5546875" style="73"/>
    <col min="15617" max="15617" width="29.109375" style="73" customWidth="1"/>
    <col min="15618" max="15872" width="11.5546875" style="73"/>
    <col min="15873" max="15873" width="29.109375" style="73" customWidth="1"/>
    <col min="15874" max="16128" width="11.5546875" style="73"/>
    <col min="16129" max="16129" width="29.109375" style="73" customWidth="1"/>
    <col min="16130" max="16384" width="11.5546875" style="73"/>
  </cols>
  <sheetData>
    <row r="1" spans="1:3" ht="17.399999999999999" x14ac:dyDescent="0.3">
      <c r="A1" s="72" t="s">
        <v>428</v>
      </c>
    </row>
    <row r="3" spans="1:3" x14ac:dyDescent="0.25">
      <c r="A3" s="73" t="s">
        <v>429</v>
      </c>
      <c r="B3" s="73" t="s">
        <v>430</v>
      </c>
      <c r="C3" s="73" t="s">
        <v>431</v>
      </c>
    </row>
    <row r="4" spans="1:3" x14ac:dyDescent="0.25">
      <c r="A4" s="73" t="s">
        <v>432</v>
      </c>
      <c r="B4" s="73" t="s">
        <v>430</v>
      </c>
      <c r="C4" s="73" t="s">
        <v>431</v>
      </c>
    </row>
    <row r="5" spans="1:3" x14ac:dyDescent="0.25">
      <c r="A5" s="73" t="s">
        <v>394</v>
      </c>
      <c r="B5" s="73" t="s">
        <v>430</v>
      </c>
      <c r="C5" s="73" t="s">
        <v>431</v>
      </c>
    </row>
    <row r="6" spans="1:3" x14ac:dyDescent="0.25">
      <c r="A6" s="73" t="s">
        <v>433</v>
      </c>
      <c r="B6" s="73" t="s">
        <v>430</v>
      </c>
      <c r="C6" s="73" t="s">
        <v>434</v>
      </c>
    </row>
    <row r="7" spans="1:3" x14ac:dyDescent="0.25">
      <c r="A7" s="73" t="s">
        <v>435</v>
      </c>
      <c r="B7" s="73" t="s">
        <v>430</v>
      </c>
      <c r="C7" s="73" t="s">
        <v>434</v>
      </c>
    </row>
    <row r="8" spans="1:3" x14ac:dyDescent="0.25">
      <c r="A8" s="73" t="s">
        <v>436</v>
      </c>
      <c r="B8" s="73" t="s">
        <v>430</v>
      </c>
      <c r="C8" s="73" t="s">
        <v>434</v>
      </c>
    </row>
    <row r="9" spans="1:3" x14ac:dyDescent="0.25">
      <c r="A9" s="73" t="s">
        <v>437</v>
      </c>
      <c r="B9" s="73" t="s">
        <v>430</v>
      </c>
      <c r="C9" s="73" t="s">
        <v>434</v>
      </c>
    </row>
    <row r="10" spans="1:3" x14ac:dyDescent="0.25">
      <c r="A10" s="73" t="s">
        <v>438</v>
      </c>
      <c r="B10" s="73" t="s">
        <v>430</v>
      </c>
      <c r="C10" s="73" t="s">
        <v>434</v>
      </c>
    </row>
    <row r="11" spans="1:3" x14ac:dyDescent="0.25">
      <c r="A11" s="73" t="s">
        <v>439</v>
      </c>
      <c r="B11" s="73" t="s">
        <v>430</v>
      </c>
      <c r="C11" s="73" t="s">
        <v>434</v>
      </c>
    </row>
    <row r="12" spans="1:3" x14ac:dyDescent="0.25">
      <c r="A12" s="73" t="s">
        <v>440</v>
      </c>
      <c r="B12" s="73" t="s">
        <v>441</v>
      </c>
    </row>
    <row r="13" spans="1:3" x14ac:dyDescent="0.25">
      <c r="A13" s="73" t="s">
        <v>442</v>
      </c>
      <c r="B13" s="73" t="s">
        <v>430</v>
      </c>
      <c r="C13" s="73" t="s">
        <v>434</v>
      </c>
    </row>
    <row r="14" spans="1:3" x14ac:dyDescent="0.25">
      <c r="A14" s="73" t="s">
        <v>443</v>
      </c>
      <c r="B14" s="73" t="s">
        <v>430</v>
      </c>
      <c r="C14" s="73" t="s">
        <v>431</v>
      </c>
    </row>
    <row r="15" spans="1:3" x14ac:dyDescent="0.25">
      <c r="A15" s="73" t="s">
        <v>444</v>
      </c>
      <c r="B15" s="73" t="s">
        <v>430</v>
      </c>
      <c r="C15" s="73" t="s">
        <v>431</v>
      </c>
    </row>
    <row r="16" spans="1:3" x14ac:dyDescent="0.25">
      <c r="A16" s="73" t="s">
        <v>445</v>
      </c>
      <c r="B16" s="73" t="s">
        <v>430</v>
      </c>
      <c r="C16" s="73" t="s">
        <v>431</v>
      </c>
    </row>
    <row r="17" spans="1:3" x14ac:dyDescent="0.25">
      <c r="A17" s="73" t="s">
        <v>446</v>
      </c>
      <c r="B17" s="73" t="s">
        <v>447</v>
      </c>
    </row>
    <row r="18" spans="1:3" x14ac:dyDescent="0.25">
      <c r="A18" s="73" t="s">
        <v>448</v>
      </c>
      <c r="B18" s="73" t="s">
        <v>430</v>
      </c>
      <c r="C18" s="73" t="s">
        <v>431</v>
      </c>
    </row>
    <row r="19" spans="1:3" x14ac:dyDescent="0.25">
      <c r="A19" s="73" t="s">
        <v>449</v>
      </c>
      <c r="B19" s="73" t="s">
        <v>430</v>
      </c>
      <c r="C19" s="73" t="s">
        <v>431</v>
      </c>
    </row>
    <row r="20" spans="1:3" x14ac:dyDescent="0.25">
      <c r="A20" s="73" t="s">
        <v>450</v>
      </c>
      <c r="B20" s="73" t="s">
        <v>430</v>
      </c>
      <c r="C20" s="73" t="s">
        <v>431</v>
      </c>
    </row>
    <row r="21" spans="1:3" x14ac:dyDescent="0.25">
      <c r="A21" s="73" t="s">
        <v>451</v>
      </c>
      <c r="B21" s="73" t="s">
        <v>430</v>
      </c>
      <c r="C21" s="73" t="s">
        <v>434</v>
      </c>
    </row>
    <row r="22" spans="1:3" x14ac:dyDescent="0.25">
      <c r="A22" s="73" t="s">
        <v>452</v>
      </c>
      <c r="B22" s="73" t="s">
        <v>430</v>
      </c>
      <c r="C22" s="73" t="s">
        <v>431</v>
      </c>
    </row>
    <row r="24" spans="1:3" x14ac:dyDescent="0.25">
      <c r="A24" s="74" t="s">
        <v>419</v>
      </c>
    </row>
    <row r="25" spans="1:3" x14ac:dyDescent="0.25">
      <c r="A25" s="73" t="s">
        <v>453</v>
      </c>
      <c r="B25" s="73" t="s">
        <v>454</v>
      </c>
    </row>
    <row r="26" spans="1:3" x14ac:dyDescent="0.25">
      <c r="A26" s="73" t="s">
        <v>455</v>
      </c>
      <c r="B26" s="73" t="s">
        <v>454</v>
      </c>
    </row>
    <row r="27" spans="1:3" x14ac:dyDescent="0.25">
      <c r="A27" s="73" t="s">
        <v>456</v>
      </c>
      <c r="B27" s="73" t="s">
        <v>454</v>
      </c>
    </row>
    <row r="28" spans="1:3" x14ac:dyDescent="0.25">
      <c r="A28" s="73" t="s">
        <v>457</v>
      </c>
      <c r="B28" s="73" t="s">
        <v>454</v>
      </c>
    </row>
    <row r="30" spans="1:3" x14ac:dyDescent="0.25">
      <c r="A30" s="74" t="s">
        <v>424</v>
      </c>
    </row>
    <row r="31" spans="1:3" x14ac:dyDescent="0.25">
      <c r="A31" s="73" t="s">
        <v>404</v>
      </c>
      <c r="B31" s="73" t="s">
        <v>441</v>
      </c>
    </row>
    <row r="32" spans="1:3" x14ac:dyDescent="0.25">
      <c r="A32" s="73" t="s">
        <v>458</v>
      </c>
      <c r="B32" s="73" t="s">
        <v>441</v>
      </c>
    </row>
    <row r="33" spans="1:2" x14ac:dyDescent="0.25">
      <c r="A33" s="73" t="s">
        <v>409</v>
      </c>
      <c r="B33" s="73" t="s">
        <v>441</v>
      </c>
    </row>
  </sheetData>
  <pageMargins left="0.75" right="0.75" top="1" bottom="1" header="0" footer="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8B3A1-25AD-41AA-B7B1-28B714C7447C}">
  <dimension ref="A1:I35"/>
  <sheetViews>
    <sheetView zoomScaleNormal="100" workbookViewId="0">
      <pane ySplit="2" topLeftCell="A3" activePane="bottomLeft" state="frozen"/>
      <selection activeCell="A40" sqref="A40"/>
      <selection pane="bottomLeft" activeCell="F22" sqref="F22"/>
    </sheetView>
  </sheetViews>
  <sheetFormatPr baseColWidth="10" defaultRowHeight="13.2" x14ac:dyDescent="0.25"/>
  <cols>
    <col min="1" max="1" width="7.109375" style="70" customWidth="1"/>
    <col min="2" max="2" width="32.88671875" style="70" customWidth="1"/>
    <col min="3" max="3" width="14.44140625" style="70" customWidth="1"/>
    <col min="4" max="4" width="21" style="70" bestFit="1" customWidth="1"/>
    <col min="5" max="5" width="30.5546875" style="70" bestFit="1" customWidth="1"/>
    <col min="6" max="6" width="24.33203125" style="70" bestFit="1" customWidth="1"/>
    <col min="7" max="7" width="20.6640625" style="70" bestFit="1" customWidth="1"/>
    <col min="8" max="8" width="13.109375" style="70" bestFit="1" customWidth="1"/>
    <col min="9" max="9" width="17.5546875" style="70" bestFit="1" customWidth="1"/>
    <col min="10" max="256" width="11.5546875" style="70"/>
    <col min="257" max="257" width="7.109375" style="70" customWidth="1"/>
    <col min="258" max="258" width="32.88671875" style="70" customWidth="1"/>
    <col min="259" max="259" width="14.44140625" style="70" customWidth="1"/>
    <col min="260" max="260" width="21" style="70" bestFit="1" customWidth="1"/>
    <col min="261" max="261" width="30.5546875" style="70" bestFit="1" customWidth="1"/>
    <col min="262" max="262" width="24.33203125" style="70" bestFit="1" customWidth="1"/>
    <col min="263" max="263" width="20.6640625" style="70" bestFit="1" customWidth="1"/>
    <col min="264" max="264" width="13.109375" style="70" bestFit="1" customWidth="1"/>
    <col min="265" max="265" width="17.5546875" style="70" bestFit="1" customWidth="1"/>
    <col min="266" max="512" width="11.5546875" style="70"/>
    <col min="513" max="513" width="7.109375" style="70" customWidth="1"/>
    <col min="514" max="514" width="32.88671875" style="70" customWidth="1"/>
    <col min="515" max="515" width="14.44140625" style="70" customWidth="1"/>
    <col min="516" max="516" width="21" style="70" bestFit="1" customWidth="1"/>
    <col min="517" max="517" width="30.5546875" style="70" bestFit="1" customWidth="1"/>
    <col min="518" max="518" width="24.33203125" style="70" bestFit="1" customWidth="1"/>
    <col min="519" max="519" width="20.6640625" style="70" bestFit="1" customWidth="1"/>
    <col min="520" max="520" width="13.109375" style="70" bestFit="1" customWidth="1"/>
    <col min="521" max="521" width="17.5546875" style="70" bestFit="1" customWidth="1"/>
    <col min="522" max="768" width="11.5546875" style="70"/>
    <col min="769" max="769" width="7.109375" style="70" customWidth="1"/>
    <col min="770" max="770" width="32.88671875" style="70" customWidth="1"/>
    <col min="771" max="771" width="14.44140625" style="70" customWidth="1"/>
    <col min="772" max="772" width="21" style="70" bestFit="1" customWidth="1"/>
    <col min="773" max="773" width="30.5546875" style="70" bestFit="1" customWidth="1"/>
    <col min="774" max="774" width="24.33203125" style="70" bestFit="1" customWidth="1"/>
    <col min="775" max="775" width="20.6640625" style="70" bestFit="1" customWidth="1"/>
    <col min="776" max="776" width="13.109375" style="70" bestFit="1" customWidth="1"/>
    <col min="777" max="777" width="17.5546875" style="70" bestFit="1" customWidth="1"/>
    <col min="778" max="1024" width="11.5546875" style="70"/>
    <col min="1025" max="1025" width="7.109375" style="70" customWidth="1"/>
    <col min="1026" max="1026" width="32.88671875" style="70" customWidth="1"/>
    <col min="1027" max="1027" width="14.44140625" style="70" customWidth="1"/>
    <col min="1028" max="1028" width="21" style="70" bestFit="1" customWidth="1"/>
    <col min="1029" max="1029" width="30.5546875" style="70" bestFit="1" customWidth="1"/>
    <col min="1030" max="1030" width="24.33203125" style="70" bestFit="1" customWidth="1"/>
    <col min="1031" max="1031" width="20.6640625" style="70" bestFit="1" customWidth="1"/>
    <col min="1032" max="1032" width="13.109375" style="70" bestFit="1" customWidth="1"/>
    <col min="1033" max="1033" width="17.5546875" style="70" bestFit="1" customWidth="1"/>
    <col min="1034" max="1280" width="11.5546875" style="70"/>
    <col min="1281" max="1281" width="7.109375" style="70" customWidth="1"/>
    <col min="1282" max="1282" width="32.88671875" style="70" customWidth="1"/>
    <col min="1283" max="1283" width="14.44140625" style="70" customWidth="1"/>
    <col min="1284" max="1284" width="21" style="70" bestFit="1" customWidth="1"/>
    <col min="1285" max="1285" width="30.5546875" style="70" bestFit="1" customWidth="1"/>
    <col min="1286" max="1286" width="24.33203125" style="70" bestFit="1" customWidth="1"/>
    <col min="1287" max="1287" width="20.6640625" style="70" bestFit="1" customWidth="1"/>
    <col min="1288" max="1288" width="13.109375" style="70" bestFit="1" customWidth="1"/>
    <col min="1289" max="1289" width="17.5546875" style="70" bestFit="1" customWidth="1"/>
    <col min="1290" max="1536" width="11.5546875" style="70"/>
    <col min="1537" max="1537" width="7.109375" style="70" customWidth="1"/>
    <col min="1538" max="1538" width="32.88671875" style="70" customWidth="1"/>
    <col min="1539" max="1539" width="14.44140625" style="70" customWidth="1"/>
    <col min="1540" max="1540" width="21" style="70" bestFit="1" customWidth="1"/>
    <col min="1541" max="1541" width="30.5546875" style="70" bestFit="1" customWidth="1"/>
    <col min="1542" max="1542" width="24.33203125" style="70" bestFit="1" customWidth="1"/>
    <col min="1543" max="1543" width="20.6640625" style="70" bestFit="1" customWidth="1"/>
    <col min="1544" max="1544" width="13.109375" style="70" bestFit="1" customWidth="1"/>
    <col min="1545" max="1545" width="17.5546875" style="70" bestFit="1" customWidth="1"/>
    <col min="1546" max="1792" width="11.5546875" style="70"/>
    <col min="1793" max="1793" width="7.109375" style="70" customWidth="1"/>
    <col min="1794" max="1794" width="32.88671875" style="70" customWidth="1"/>
    <col min="1795" max="1795" width="14.44140625" style="70" customWidth="1"/>
    <col min="1796" max="1796" width="21" style="70" bestFit="1" customWidth="1"/>
    <col min="1797" max="1797" width="30.5546875" style="70" bestFit="1" customWidth="1"/>
    <col min="1798" max="1798" width="24.33203125" style="70" bestFit="1" customWidth="1"/>
    <col min="1799" max="1799" width="20.6640625" style="70" bestFit="1" customWidth="1"/>
    <col min="1800" max="1800" width="13.109375" style="70" bestFit="1" customWidth="1"/>
    <col min="1801" max="1801" width="17.5546875" style="70" bestFit="1" customWidth="1"/>
    <col min="1802" max="2048" width="11.5546875" style="70"/>
    <col min="2049" max="2049" width="7.109375" style="70" customWidth="1"/>
    <col min="2050" max="2050" width="32.88671875" style="70" customWidth="1"/>
    <col min="2051" max="2051" width="14.44140625" style="70" customWidth="1"/>
    <col min="2052" max="2052" width="21" style="70" bestFit="1" customWidth="1"/>
    <col min="2053" max="2053" width="30.5546875" style="70" bestFit="1" customWidth="1"/>
    <col min="2054" max="2054" width="24.33203125" style="70" bestFit="1" customWidth="1"/>
    <col min="2055" max="2055" width="20.6640625" style="70" bestFit="1" customWidth="1"/>
    <col min="2056" max="2056" width="13.109375" style="70" bestFit="1" customWidth="1"/>
    <col min="2057" max="2057" width="17.5546875" style="70" bestFit="1" customWidth="1"/>
    <col min="2058" max="2304" width="11.5546875" style="70"/>
    <col min="2305" max="2305" width="7.109375" style="70" customWidth="1"/>
    <col min="2306" max="2306" width="32.88671875" style="70" customWidth="1"/>
    <col min="2307" max="2307" width="14.44140625" style="70" customWidth="1"/>
    <col min="2308" max="2308" width="21" style="70" bestFit="1" customWidth="1"/>
    <col min="2309" max="2309" width="30.5546875" style="70" bestFit="1" customWidth="1"/>
    <col min="2310" max="2310" width="24.33203125" style="70" bestFit="1" customWidth="1"/>
    <col min="2311" max="2311" width="20.6640625" style="70" bestFit="1" customWidth="1"/>
    <col min="2312" max="2312" width="13.109375" style="70" bestFit="1" customWidth="1"/>
    <col min="2313" max="2313" width="17.5546875" style="70" bestFit="1" customWidth="1"/>
    <col min="2314" max="2560" width="11.5546875" style="70"/>
    <col min="2561" max="2561" width="7.109375" style="70" customWidth="1"/>
    <col min="2562" max="2562" width="32.88671875" style="70" customWidth="1"/>
    <col min="2563" max="2563" width="14.44140625" style="70" customWidth="1"/>
    <col min="2564" max="2564" width="21" style="70" bestFit="1" customWidth="1"/>
    <col min="2565" max="2565" width="30.5546875" style="70" bestFit="1" customWidth="1"/>
    <col min="2566" max="2566" width="24.33203125" style="70" bestFit="1" customWidth="1"/>
    <col min="2567" max="2567" width="20.6640625" style="70" bestFit="1" customWidth="1"/>
    <col min="2568" max="2568" width="13.109375" style="70" bestFit="1" customWidth="1"/>
    <col min="2569" max="2569" width="17.5546875" style="70" bestFit="1" customWidth="1"/>
    <col min="2570" max="2816" width="11.5546875" style="70"/>
    <col min="2817" max="2817" width="7.109375" style="70" customWidth="1"/>
    <col min="2818" max="2818" width="32.88671875" style="70" customWidth="1"/>
    <col min="2819" max="2819" width="14.44140625" style="70" customWidth="1"/>
    <col min="2820" max="2820" width="21" style="70" bestFit="1" customWidth="1"/>
    <col min="2821" max="2821" width="30.5546875" style="70" bestFit="1" customWidth="1"/>
    <col min="2822" max="2822" width="24.33203125" style="70" bestFit="1" customWidth="1"/>
    <col min="2823" max="2823" width="20.6640625" style="70" bestFit="1" customWidth="1"/>
    <col min="2824" max="2824" width="13.109375" style="70" bestFit="1" customWidth="1"/>
    <col min="2825" max="2825" width="17.5546875" style="70" bestFit="1" customWidth="1"/>
    <col min="2826" max="3072" width="11.5546875" style="70"/>
    <col min="3073" max="3073" width="7.109375" style="70" customWidth="1"/>
    <col min="3074" max="3074" width="32.88671875" style="70" customWidth="1"/>
    <col min="3075" max="3075" width="14.44140625" style="70" customWidth="1"/>
    <col min="3076" max="3076" width="21" style="70" bestFit="1" customWidth="1"/>
    <col min="3077" max="3077" width="30.5546875" style="70" bestFit="1" customWidth="1"/>
    <col min="3078" max="3078" width="24.33203125" style="70" bestFit="1" customWidth="1"/>
    <col min="3079" max="3079" width="20.6640625" style="70" bestFit="1" customWidth="1"/>
    <col min="3080" max="3080" width="13.109375" style="70" bestFit="1" customWidth="1"/>
    <col min="3081" max="3081" width="17.5546875" style="70" bestFit="1" customWidth="1"/>
    <col min="3082" max="3328" width="11.5546875" style="70"/>
    <col min="3329" max="3329" width="7.109375" style="70" customWidth="1"/>
    <col min="3330" max="3330" width="32.88671875" style="70" customWidth="1"/>
    <col min="3331" max="3331" width="14.44140625" style="70" customWidth="1"/>
    <col min="3332" max="3332" width="21" style="70" bestFit="1" customWidth="1"/>
    <col min="3333" max="3333" width="30.5546875" style="70" bestFit="1" customWidth="1"/>
    <col min="3334" max="3334" width="24.33203125" style="70" bestFit="1" customWidth="1"/>
    <col min="3335" max="3335" width="20.6640625" style="70" bestFit="1" customWidth="1"/>
    <col min="3336" max="3336" width="13.109375" style="70" bestFit="1" customWidth="1"/>
    <col min="3337" max="3337" width="17.5546875" style="70" bestFit="1" customWidth="1"/>
    <col min="3338" max="3584" width="11.5546875" style="70"/>
    <col min="3585" max="3585" width="7.109375" style="70" customWidth="1"/>
    <col min="3586" max="3586" width="32.88671875" style="70" customWidth="1"/>
    <col min="3587" max="3587" width="14.44140625" style="70" customWidth="1"/>
    <col min="3588" max="3588" width="21" style="70" bestFit="1" customWidth="1"/>
    <col min="3589" max="3589" width="30.5546875" style="70" bestFit="1" customWidth="1"/>
    <col min="3590" max="3590" width="24.33203125" style="70" bestFit="1" customWidth="1"/>
    <col min="3591" max="3591" width="20.6640625" style="70" bestFit="1" customWidth="1"/>
    <col min="3592" max="3592" width="13.109375" style="70" bestFit="1" customWidth="1"/>
    <col min="3593" max="3593" width="17.5546875" style="70" bestFit="1" customWidth="1"/>
    <col min="3594" max="3840" width="11.5546875" style="70"/>
    <col min="3841" max="3841" width="7.109375" style="70" customWidth="1"/>
    <col min="3842" max="3842" width="32.88671875" style="70" customWidth="1"/>
    <col min="3843" max="3843" width="14.44140625" style="70" customWidth="1"/>
    <col min="3844" max="3844" width="21" style="70" bestFit="1" customWidth="1"/>
    <col min="3845" max="3845" width="30.5546875" style="70" bestFit="1" customWidth="1"/>
    <col min="3846" max="3846" width="24.33203125" style="70" bestFit="1" customWidth="1"/>
    <col min="3847" max="3847" width="20.6640625" style="70" bestFit="1" customWidth="1"/>
    <col min="3848" max="3848" width="13.109375" style="70" bestFit="1" customWidth="1"/>
    <col min="3849" max="3849" width="17.5546875" style="70" bestFit="1" customWidth="1"/>
    <col min="3850" max="4096" width="11.5546875" style="70"/>
    <col min="4097" max="4097" width="7.109375" style="70" customWidth="1"/>
    <col min="4098" max="4098" width="32.88671875" style="70" customWidth="1"/>
    <col min="4099" max="4099" width="14.44140625" style="70" customWidth="1"/>
    <col min="4100" max="4100" width="21" style="70" bestFit="1" customWidth="1"/>
    <col min="4101" max="4101" width="30.5546875" style="70" bestFit="1" customWidth="1"/>
    <col min="4102" max="4102" width="24.33203125" style="70" bestFit="1" customWidth="1"/>
    <col min="4103" max="4103" width="20.6640625" style="70" bestFit="1" customWidth="1"/>
    <col min="4104" max="4104" width="13.109375" style="70" bestFit="1" customWidth="1"/>
    <col min="4105" max="4105" width="17.5546875" style="70" bestFit="1" customWidth="1"/>
    <col min="4106" max="4352" width="11.5546875" style="70"/>
    <col min="4353" max="4353" width="7.109375" style="70" customWidth="1"/>
    <col min="4354" max="4354" width="32.88671875" style="70" customWidth="1"/>
    <col min="4355" max="4355" width="14.44140625" style="70" customWidth="1"/>
    <col min="4356" max="4356" width="21" style="70" bestFit="1" customWidth="1"/>
    <col min="4357" max="4357" width="30.5546875" style="70" bestFit="1" customWidth="1"/>
    <col min="4358" max="4358" width="24.33203125" style="70" bestFit="1" customWidth="1"/>
    <col min="4359" max="4359" width="20.6640625" style="70" bestFit="1" customWidth="1"/>
    <col min="4360" max="4360" width="13.109375" style="70" bestFit="1" customWidth="1"/>
    <col min="4361" max="4361" width="17.5546875" style="70" bestFit="1" customWidth="1"/>
    <col min="4362" max="4608" width="11.5546875" style="70"/>
    <col min="4609" max="4609" width="7.109375" style="70" customWidth="1"/>
    <col min="4610" max="4610" width="32.88671875" style="70" customWidth="1"/>
    <col min="4611" max="4611" width="14.44140625" style="70" customWidth="1"/>
    <col min="4612" max="4612" width="21" style="70" bestFit="1" customWidth="1"/>
    <col min="4613" max="4613" width="30.5546875" style="70" bestFit="1" customWidth="1"/>
    <col min="4614" max="4614" width="24.33203125" style="70" bestFit="1" customWidth="1"/>
    <col min="4615" max="4615" width="20.6640625" style="70" bestFit="1" customWidth="1"/>
    <col min="4616" max="4616" width="13.109375" style="70" bestFit="1" customWidth="1"/>
    <col min="4617" max="4617" width="17.5546875" style="70" bestFit="1" customWidth="1"/>
    <col min="4618" max="4864" width="11.5546875" style="70"/>
    <col min="4865" max="4865" width="7.109375" style="70" customWidth="1"/>
    <col min="4866" max="4866" width="32.88671875" style="70" customWidth="1"/>
    <col min="4867" max="4867" width="14.44140625" style="70" customWidth="1"/>
    <col min="4868" max="4868" width="21" style="70" bestFit="1" customWidth="1"/>
    <col min="4869" max="4869" width="30.5546875" style="70" bestFit="1" customWidth="1"/>
    <col min="4870" max="4870" width="24.33203125" style="70" bestFit="1" customWidth="1"/>
    <col min="4871" max="4871" width="20.6640625" style="70" bestFit="1" customWidth="1"/>
    <col min="4872" max="4872" width="13.109375" style="70" bestFit="1" customWidth="1"/>
    <col min="4873" max="4873" width="17.5546875" style="70" bestFit="1" customWidth="1"/>
    <col min="4874" max="5120" width="11.5546875" style="70"/>
    <col min="5121" max="5121" width="7.109375" style="70" customWidth="1"/>
    <col min="5122" max="5122" width="32.88671875" style="70" customWidth="1"/>
    <col min="5123" max="5123" width="14.44140625" style="70" customWidth="1"/>
    <col min="5124" max="5124" width="21" style="70" bestFit="1" customWidth="1"/>
    <col min="5125" max="5125" width="30.5546875" style="70" bestFit="1" customWidth="1"/>
    <col min="5126" max="5126" width="24.33203125" style="70" bestFit="1" customWidth="1"/>
    <col min="5127" max="5127" width="20.6640625" style="70" bestFit="1" customWidth="1"/>
    <col min="5128" max="5128" width="13.109375" style="70" bestFit="1" customWidth="1"/>
    <col min="5129" max="5129" width="17.5546875" style="70" bestFit="1" customWidth="1"/>
    <col min="5130" max="5376" width="11.5546875" style="70"/>
    <col min="5377" max="5377" width="7.109375" style="70" customWidth="1"/>
    <col min="5378" max="5378" width="32.88671875" style="70" customWidth="1"/>
    <col min="5379" max="5379" width="14.44140625" style="70" customWidth="1"/>
    <col min="5380" max="5380" width="21" style="70" bestFit="1" customWidth="1"/>
    <col min="5381" max="5381" width="30.5546875" style="70" bestFit="1" customWidth="1"/>
    <col min="5382" max="5382" width="24.33203125" style="70" bestFit="1" customWidth="1"/>
    <col min="5383" max="5383" width="20.6640625" style="70" bestFit="1" customWidth="1"/>
    <col min="5384" max="5384" width="13.109375" style="70" bestFit="1" customWidth="1"/>
    <col min="5385" max="5385" width="17.5546875" style="70" bestFit="1" customWidth="1"/>
    <col min="5386" max="5632" width="11.5546875" style="70"/>
    <col min="5633" max="5633" width="7.109375" style="70" customWidth="1"/>
    <col min="5634" max="5634" width="32.88671875" style="70" customWidth="1"/>
    <col min="5635" max="5635" width="14.44140625" style="70" customWidth="1"/>
    <col min="5636" max="5636" width="21" style="70" bestFit="1" customWidth="1"/>
    <col min="5637" max="5637" width="30.5546875" style="70" bestFit="1" customWidth="1"/>
    <col min="5638" max="5638" width="24.33203125" style="70" bestFit="1" customWidth="1"/>
    <col min="5639" max="5639" width="20.6640625" style="70" bestFit="1" customWidth="1"/>
    <col min="5640" max="5640" width="13.109375" style="70" bestFit="1" customWidth="1"/>
    <col min="5641" max="5641" width="17.5546875" style="70" bestFit="1" customWidth="1"/>
    <col min="5642" max="5888" width="11.5546875" style="70"/>
    <col min="5889" max="5889" width="7.109375" style="70" customWidth="1"/>
    <col min="5890" max="5890" width="32.88671875" style="70" customWidth="1"/>
    <col min="5891" max="5891" width="14.44140625" style="70" customWidth="1"/>
    <col min="5892" max="5892" width="21" style="70" bestFit="1" customWidth="1"/>
    <col min="5893" max="5893" width="30.5546875" style="70" bestFit="1" customWidth="1"/>
    <col min="5894" max="5894" width="24.33203125" style="70" bestFit="1" customWidth="1"/>
    <col min="5895" max="5895" width="20.6640625" style="70" bestFit="1" customWidth="1"/>
    <col min="5896" max="5896" width="13.109375" style="70" bestFit="1" customWidth="1"/>
    <col min="5897" max="5897" width="17.5546875" style="70" bestFit="1" customWidth="1"/>
    <col min="5898" max="6144" width="11.5546875" style="70"/>
    <col min="6145" max="6145" width="7.109375" style="70" customWidth="1"/>
    <col min="6146" max="6146" width="32.88671875" style="70" customWidth="1"/>
    <col min="6147" max="6147" width="14.44140625" style="70" customWidth="1"/>
    <col min="6148" max="6148" width="21" style="70" bestFit="1" customWidth="1"/>
    <col min="6149" max="6149" width="30.5546875" style="70" bestFit="1" customWidth="1"/>
    <col min="6150" max="6150" width="24.33203125" style="70" bestFit="1" customWidth="1"/>
    <col min="6151" max="6151" width="20.6640625" style="70" bestFit="1" customWidth="1"/>
    <col min="6152" max="6152" width="13.109375" style="70" bestFit="1" customWidth="1"/>
    <col min="6153" max="6153" width="17.5546875" style="70" bestFit="1" customWidth="1"/>
    <col min="6154" max="6400" width="11.5546875" style="70"/>
    <col min="6401" max="6401" width="7.109375" style="70" customWidth="1"/>
    <col min="6402" max="6402" width="32.88671875" style="70" customWidth="1"/>
    <col min="6403" max="6403" width="14.44140625" style="70" customWidth="1"/>
    <col min="6404" max="6404" width="21" style="70" bestFit="1" customWidth="1"/>
    <col min="6405" max="6405" width="30.5546875" style="70" bestFit="1" customWidth="1"/>
    <col min="6406" max="6406" width="24.33203125" style="70" bestFit="1" customWidth="1"/>
    <col min="6407" max="6407" width="20.6640625" style="70" bestFit="1" customWidth="1"/>
    <col min="6408" max="6408" width="13.109375" style="70" bestFit="1" customWidth="1"/>
    <col min="6409" max="6409" width="17.5546875" style="70" bestFit="1" customWidth="1"/>
    <col min="6410" max="6656" width="11.5546875" style="70"/>
    <col min="6657" max="6657" width="7.109375" style="70" customWidth="1"/>
    <col min="6658" max="6658" width="32.88671875" style="70" customWidth="1"/>
    <col min="6659" max="6659" width="14.44140625" style="70" customWidth="1"/>
    <col min="6660" max="6660" width="21" style="70" bestFit="1" customWidth="1"/>
    <col min="6661" max="6661" width="30.5546875" style="70" bestFit="1" customWidth="1"/>
    <col min="6662" max="6662" width="24.33203125" style="70" bestFit="1" customWidth="1"/>
    <col min="6663" max="6663" width="20.6640625" style="70" bestFit="1" customWidth="1"/>
    <col min="6664" max="6664" width="13.109375" style="70" bestFit="1" customWidth="1"/>
    <col min="6665" max="6665" width="17.5546875" style="70" bestFit="1" customWidth="1"/>
    <col min="6666" max="6912" width="11.5546875" style="70"/>
    <col min="6913" max="6913" width="7.109375" style="70" customWidth="1"/>
    <col min="6914" max="6914" width="32.88671875" style="70" customWidth="1"/>
    <col min="6915" max="6915" width="14.44140625" style="70" customWidth="1"/>
    <col min="6916" max="6916" width="21" style="70" bestFit="1" customWidth="1"/>
    <col min="6917" max="6917" width="30.5546875" style="70" bestFit="1" customWidth="1"/>
    <col min="6918" max="6918" width="24.33203125" style="70" bestFit="1" customWidth="1"/>
    <col min="6919" max="6919" width="20.6640625" style="70" bestFit="1" customWidth="1"/>
    <col min="6920" max="6920" width="13.109375" style="70" bestFit="1" customWidth="1"/>
    <col min="6921" max="6921" width="17.5546875" style="70" bestFit="1" customWidth="1"/>
    <col min="6922" max="7168" width="11.5546875" style="70"/>
    <col min="7169" max="7169" width="7.109375" style="70" customWidth="1"/>
    <col min="7170" max="7170" width="32.88671875" style="70" customWidth="1"/>
    <col min="7171" max="7171" width="14.44140625" style="70" customWidth="1"/>
    <col min="7172" max="7172" width="21" style="70" bestFit="1" customWidth="1"/>
    <col min="7173" max="7173" width="30.5546875" style="70" bestFit="1" customWidth="1"/>
    <col min="7174" max="7174" width="24.33203125" style="70" bestFit="1" customWidth="1"/>
    <col min="7175" max="7175" width="20.6640625" style="70" bestFit="1" customWidth="1"/>
    <col min="7176" max="7176" width="13.109375" style="70" bestFit="1" customWidth="1"/>
    <col min="7177" max="7177" width="17.5546875" style="70" bestFit="1" customWidth="1"/>
    <col min="7178" max="7424" width="11.5546875" style="70"/>
    <col min="7425" max="7425" width="7.109375" style="70" customWidth="1"/>
    <col min="7426" max="7426" width="32.88671875" style="70" customWidth="1"/>
    <col min="7427" max="7427" width="14.44140625" style="70" customWidth="1"/>
    <col min="7428" max="7428" width="21" style="70" bestFit="1" customWidth="1"/>
    <col min="7429" max="7429" width="30.5546875" style="70" bestFit="1" customWidth="1"/>
    <col min="7430" max="7430" width="24.33203125" style="70" bestFit="1" customWidth="1"/>
    <col min="7431" max="7431" width="20.6640625" style="70" bestFit="1" customWidth="1"/>
    <col min="7432" max="7432" width="13.109375" style="70" bestFit="1" customWidth="1"/>
    <col min="7433" max="7433" width="17.5546875" style="70" bestFit="1" customWidth="1"/>
    <col min="7434" max="7680" width="11.5546875" style="70"/>
    <col min="7681" max="7681" width="7.109375" style="70" customWidth="1"/>
    <col min="7682" max="7682" width="32.88671875" style="70" customWidth="1"/>
    <col min="7683" max="7683" width="14.44140625" style="70" customWidth="1"/>
    <col min="7684" max="7684" width="21" style="70" bestFit="1" customWidth="1"/>
    <col min="7685" max="7685" width="30.5546875" style="70" bestFit="1" customWidth="1"/>
    <col min="7686" max="7686" width="24.33203125" style="70" bestFit="1" customWidth="1"/>
    <col min="7687" max="7687" width="20.6640625" style="70" bestFit="1" customWidth="1"/>
    <col min="7688" max="7688" width="13.109375" style="70" bestFit="1" customWidth="1"/>
    <col min="7689" max="7689" width="17.5546875" style="70" bestFit="1" customWidth="1"/>
    <col min="7690" max="7936" width="11.5546875" style="70"/>
    <col min="7937" max="7937" width="7.109375" style="70" customWidth="1"/>
    <col min="7938" max="7938" width="32.88671875" style="70" customWidth="1"/>
    <col min="7939" max="7939" width="14.44140625" style="70" customWidth="1"/>
    <col min="7940" max="7940" width="21" style="70" bestFit="1" customWidth="1"/>
    <col min="7941" max="7941" width="30.5546875" style="70" bestFit="1" customWidth="1"/>
    <col min="7942" max="7942" width="24.33203125" style="70" bestFit="1" customWidth="1"/>
    <col min="7943" max="7943" width="20.6640625" style="70" bestFit="1" customWidth="1"/>
    <col min="7944" max="7944" width="13.109375" style="70" bestFit="1" customWidth="1"/>
    <col min="7945" max="7945" width="17.5546875" style="70" bestFit="1" customWidth="1"/>
    <col min="7946" max="8192" width="11.5546875" style="70"/>
    <col min="8193" max="8193" width="7.109375" style="70" customWidth="1"/>
    <col min="8194" max="8194" width="32.88671875" style="70" customWidth="1"/>
    <col min="8195" max="8195" width="14.44140625" style="70" customWidth="1"/>
    <col min="8196" max="8196" width="21" style="70" bestFit="1" customWidth="1"/>
    <col min="8197" max="8197" width="30.5546875" style="70" bestFit="1" customWidth="1"/>
    <col min="8198" max="8198" width="24.33203125" style="70" bestFit="1" customWidth="1"/>
    <col min="8199" max="8199" width="20.6640625" style="70" bestFit="1" customWidth="1"/>
    <col min="8200" max="8200" width="13.109375" style="70" bestFit="1" customWidth="1"/>
    <col min="8201" max="8201" width="17.5546875" style="70" bestFit="1" customWidth="1"/>
    <col min="8202" max="8448" width="11.5546875" style="70"/>
    <col min="8449" max="8449" width="7.109375" style="70" customWidth="1"/>
    <col min="8450" max="8450" width="32.88671875" style="70" customWidth="1"/>
    <col min="8451" max="8451" width="14.44140625" style="70" customWidth="1"/>
    <col min="8452" max="8452" width="21" style="70" bestFit="1" customWidth="1"/>
    <col min="8453" max="8453" width="30.5546875" style="70" bestFit="1" customWidth="1"/>
    <col min="8454" max="8454" width="24.33203125" style="70" bestFit="1" customWidth="1"/>
    <col min="8455" max="8455" width="20.6640625" style="70" bestFit="1" customWidth="1"/>
    <col min="8456" max="8456" width="13.109375" style="70" bestFit="1" customWidth="1"/>
    <col min="8457" max="8457" width="17.5546875" style="70" bestFit="1" customWidth="1"/>
    <col min="8458" max="8704" width="11.5546875" style="70"/>
    <col min="8705" max="8705" width="7.109375" style="70" customWidth="1"/>
    <col min="8706" max="8706" width="32.88671875" style="70" customWidth="1"/>
    <col min="8707" max="8707" width="14.44140625" style="70" customWidth="1"/>
    <col min="8708" max="8708" width="21" style="70" bestFit="1" customWidth="1"/>
    <col min="8709" max="8709" width="30.5546875" style="70" bestFit="1" customWidth="1"/>
    <col min="8710" max="8710" width="24.33203125" style="70" bestFit="1" customWidth="1"/>
    <col min="8711" max="8711" width="20.6640625" style="70" bestFit="1" customWidth="1"/>
    <col min="8712" max="8712" width="13.109375" style="70" bestFit="1" customWidth="1"/>
    <col min="8713" max="8713" width="17.5546875" style="70" bestFit="1" customWidth="1"/>
    <col min="8714" max="8960" width="11.5546875" style="70"/>
    <col min="8961" max="8961" width="7.109375" style="70" customWidth="1"/>
    <col min="8962" max="8962" width="32.88671875" style="70" customWidth="1"/>
    <col min="8963" max="8963" width="14.44140625" style="70" customWidth="1"/>
    <col min="8964" max="8964" width="21" style="70" bestFit="1" customWidth="1"/>
    <col min="8965" max="8965" width="30.5546875" style="70" bestFit="1" customWidth="1"/>
    <col min="8966" max="8966" width="24.33203125" style="70" bestFit="1" customWidth="1"/>
    <col min="8967" max="8967" width="20.6640625" style="70" bestFit="1" customWidth="1"/>
    <col min="8968" max="8968" width="13.109375" style="70" bestFit="1" customWidth="1"/>
    <col min="8969" max="8969" width="17.5546875" style="70" bestFit="1" customWidth="1"/>
    <col min="8970" max="9216" width="11.5546875" style="70"/>
    <col min="9217" max="9217" width="7.109375" style="70" customWidth="1"/>
    <col min="9218" max="9218" width="32.88671875" style="70" customWidth="1"/>
    <col min="9219" max="9219" width="14.44140625" style="70" customWidth="1"/>
    <col min="9220" max="9220" width="21" style="70" bestFit="1" customWidth="1"/>
    <col min="9221" max="9221" width="30.5546875" style="70" bestFit="1" customWidth="1"/>
    <col min="9222" max="9222" width="24.33203125" style="70" bestFit="1" customWidth="1"/>
    <col min="9223" max="9223" width="20.6640625" style="70" bestFit="1" customWidth="1"/>
    <col min="9224" max="9224" width="13.109375" style="70" bestFit="1" customWidth="1"/>
    <col min="9225" max="9225" width="17.5546875" style="70" bestFit="1" customWidth="1"/>
    <col min="9226" max="9472" width="11.5546875" style="70"/>
    <col min="9473" max="9473" width="7.109375" style="70" customWidth="1"/>
    <col min="9474" max="9474" width="32.88671875" style="70" customWidth="1"/>
    <col min="9475" max="9475" width="14.44140625" style="70" customWidth="1"/>
    <col min="9476" max="9476" width="21" style="70" bestFit="1" customWidth="1"/>
    <col min="9477" max="9477" width="30.5546875" style="70" bestFit="1" customWidth="1"/>
    <col min="9478" max="9478" width="24.33203125" style="70" bestFit="1" customWidth="1"/>
    <col min="9479" max="9479" width="20.6640625" style="70" bestFit="1" customWidth="1"/>
    <col min="9480" max="9480" width="13.109375" style="70" bestFit="1" customWidth="1"/>
    <col min="9481" max="9481" width="17.5546875" style="70" bestFit="1" customWidth="1"/>
    <col min="9482" max="9728" width="11.5546875" style="70"/>
    <col min="9729" max="9729" width="7.109375" style="70" customWidth="1"/>
    <col min="9730" max="9730" width="32.88671875" style="70" customWidth="1"/>
    <col min="9731" max="9731" width="14.44140625" style="70" customWidth="1"/>
    <col min="9732" max="9732" width="21" style="70" bestFit="1" customWidth="1"/>
    <col min="9733" max="9733" width="30.5546875" style="70" bestFit="1" customWidth="1"/>
    <col min="9734" max="9734" width="24.33203125" style="70" bestFit="1" customWidth="1"/>
    <col min="9735" max="9735" width="20.6640625" style="70" bestFit="1" customWidth="1"/>
    <col min="9736" max="9736" width="13.109375" style="70" bestFit="1" customWidth="1"/>
    <col min="9737" max="9737" width="17.5546875" style="70" bestFit="1" customWidth="1"/>
    <col min="9738" max="9984" width="11.5546875" style="70"/>
    <col min="9985" max="9985" width="7.109375" style="70" customWidth="1"/>
    <col min="9986" max="9986" width="32.88671875" style="70" customWidth="1"/>
    <col min="9987" max="9987" width="14.44140625" style="70" customWidth="1"/>
    <col min="9988" max="9988" width="21" style="70" bestFit="1" customWidth="1"/>
    <col min="9989" max="9989" width="30.5546875" style="70" bestFit="1" customWidth="1"/>
    <col min="9990" max="9990" width="24.33203125" style="70" bestFit="1" customWidth="1"/>
    <col min="9991" max="9991" width="20.6640625" style="70" bestFit="1" customWidth="1"/>
    <col min="9992" max="9992" width="13.109375" style="70" bestFit="1" customWidth="1"/>
    <col min="9993" max="9993" width="17.5546875" style="70" bestFit="1" customWidth="1"/>
    <col min="9994" max="10240" width="11.5546875" style="70"/>
    <col min="10241" max="10241" width="7.109375" style="70" customWidth="1"/>
    <col min="10242" max="10242" width="32.88671875" style="70" customWidth="1"/>
    <col min="10243" max="10243" width="14.44140625" style="70" customWidth="1"/>
    <col min="10244" max="10244" width="21" style="70" bestFit="1" customWidth="1"/>
    <col min="10245" max="10245" width="30.5546875" style="70" bestFit="1" customWidth="1"/>
    <col min="10246" max="10246" width="24.33203125" style="70" bestFit="1" customWidth="1"/>
    <col min="10247" max="10247" width="20.6640625" style="70" bestFit="1" customWidth="1"/>
    <col min="10248" max="10248" width="13.109375" style="70" bestFit="1" customWidth="1"/>
    <col min="10249" max="10249" width="17.5546875" style="70" bestFit="1" customWidth="1"/>
    <col min="10250" max="10496" width="11.5546875" style="70"/>
    <col min="10497" max="10497" width="7.109375" style="70" customWidth="1"/>
    <col min="10498" max="10498" width="32.88671875" style="70" customWidth="1"/>
    <col min="10499" max="10499" width="14.44140625" style="70" customWidth="1"/>
    <col min="10500" max="10500" width="21" style="70" bestFit="1" customWidth="1"/>
    <col min="10501" max="10501" width="30.5546875" style="70" bestFit="1" customWidth="1"/>
    <col min="10502" max="10502" width="24.33203125" style="70" bestFit="1" customWidth="1"/>
    <col min="10503" max="10503" width="20.6640625" style="70" bestFit="1" customWidth="1"/>
    <col min="10504" max="10504" width="13.109375" style="70" bestFit="1" customWidth="1"/>
    <col min="10505" max="10505" width="17.5546875" style="70" bestFit="1" customWidth="1"/>
    <col min="10506" max="10752" width="11.5546875" style="70"/>
    <col min="10753" max="10753" width="7.109375" style="70" customWidth="1"/>
    <col min="10754" max="10754" width="32.88671875" style="70" customWidth="1"/>
    <col min="10755" max="10755" width="14.44140625" style="70" customWidth="1"/>
    <col min="10756" max="10756" width="21" style="70" bestFit="1" customWidth="1"/>
    <col min="10757" max="10757" width="30.5546875" style="70" bestFit="1" customWidth="1"/>
    <col min="10758" max="10758" width="24.33203125" style="70" bestFit="1" customWidth="1"/>
    <col min="10759" max="10759" width="20.6640625" style="70" bestFit="1" customWidth="1"/>
    <col min="10760" max="10760" width="13.109375" style="70" bestFit="1" customWidth="1"/>
    <col min="10761" max="10761" width="17.5546875" style="70" bestFit="1" customWidth="1"/>
    <col min="10762" max="11008" width="11.5546875" style="70"/>
    <col min="11009" max="11009" width="7.109375" style="70" customWidth="1"/>
    <col min="11010" max="11010" width="32.88671875" style="70" customWidth="1"/>
    <col min="11011" max="11011" width="14.44140625" style="70" customWidth="1"/>
    <col min="11012" max="11012" width="21" style="70" bestFit="1" customWidth="1"/>
    <col min="11013" max="11013" width="30.5546875" style="70" bestFit="1" customWidth="1"/>
    <col min="11014" max="11014" width="24.33203125" style="70" bestFit="1" customWidth="1"/>
    <col min="11015" max="11015" width="20.6640625" style="70" bestFit="1" customWidth="1"/>
    <col min="11016" max="11016" width="13.109375" style="70" bestFit="1" customWidth="1"/>
    <col min="11017" max="11017" width="17.5546875" style="70" bestFit="1" customWidth="1"/>
    <col min="11018" max="11264" width="11.5546875" style="70"/>
    <col min="11265" max="11265" width="7.109375" style="70" customWidth="1"/>
    <col min="11266" max="11266" width="32.88671875" style="70" customWidth="1"/>
    <col min="11267" max="11267" width="14.44140625" style="70" customWidth="1"/>
    <col min="11268" max="11268" width="21" style="70" bestFit="1" customWidth="1"/>
    <col min="11269" max="11269" width="30.5546875" style="70" bestFit="1" customWidth="1"/>
    <col min="11270" max="11270" width="24.33203125" style="70" bestFit="1" customWidth="1"/>
    <col min="11271" max="11271" width="20.6640625" style="70" bestFit="1" customWidth="1"/>
    <col min="11272" max="11272" width="13.109375" style="70" bestFit="1" customWidth="1"/>
    <col min="11273" max="11273" width="17.5546875" style="70" bestFit="1" customWidth="1"/>
    <col min="11274" max="11520" width="11.5546875" style="70"/>
    <col min="11521" max="11521" width="7.109375" style="70" customWidth="1"/>
    <col min="11522" max="11522" width="32.88671875" style="70" customWidth="1"/>
    <col min="11523" max="11523" width="14.44140625" style="70" customWidth="1"/>
    <col min="11524" max="11524" width="21" style="70" bestFit="1" customWidth="1"/>
    <col min="11525" max="11525" width="30.5546875" style="70" bestFit="1" customWidth="1"/>
    <col min="11526" max="11526" width="24.33203125" style="70" bestFit="1" customWidth="1"/>
    <col min="11527" max="11527" width="20.6640625" style="70" bestFit="1" customWidth="1"/>
    <col min="11528" max="11528" width="13.109375" style="70" bestFit="1" customWidth="1"/>
    <col min="11529" max="11529" width="17.5546875" style="70" bestFit="1" customWidth="1"/>
    <col min="11530" max="11776" width="11.5546875" style="70"/>
    <col min="11777" max="11777" width="7.109375" style="70" customWidth="1"/>
    <col min="11778" max="11778" width="32.88671875" style="70" customWidth="1"/>
    <col min="11779" max="11779" width="14.44140625" style="70" customWidth="1"/>
    <col min="11780" max="11780" width="21" style="70" bestFit="1" customWidth="1"/>
    <col min="11781" max="11781" width="30.5546875" style="70" bestFit="1" customWidth="1"/>
    <col min="11782" max="11782" width="24.33203125" style="70" bestFit="1" customWidth="1"/>
    <col min="11783" max="11783" width="20.6640625" style="70" bestFit="1" customWidth="1"/>
    <col min="11784" max="11784" width="13.109375" style="70" bestFit="1" customWidth="1"/>
    <col min="11785" max="11785" width="17.5546875" style="70" bestFit="1" customWidth="1"/>
    <col min="11786" max="12032" width="11.5546875" style="70"/>
    <col min="12033" max="12033" width="7.109375" style="70" customWidth="1"/>
    <col min="12034" max="12034" width="32.88671875" style="70" customWidth="1"/>
    <col min="12035" max="12035" width="14.44140625" style="70" customWidth="1"/>
    <col min="12036" max="12036" width="21" style="70" bestFit="1" customWidth="1"/>
    <col min="12037" max="12037" width="30.5546875" style="70" bestFit="1" customWidth="1"/>
    <col min="12038" max="12038" width="24.33203125" style="70" bestFit="1" customWidth="1"/>
    <col min="12039" max="12039" width="20.6640625" style="70" bestFit="1" customWidth="1"/>
    <col min="12040" max="12040" width="13.109375" style="70" bestFit="1" customWidth="1"/>
    <col min="12041" max="12041" width="17.5546875" style="70" bestFit="1" customWidth="1"/>
    <col min="12042" max="12288" width="11.5546875" style="70"/>
    <col min="12289" max="12289" width="7.109375" style="70" customWidth="1"/>
    <col min="12290" max="12290" width="32.88671875" style="70" customWidth="1"/>
    <col min="12291" max="12291" width="14.44140625" style="70" customWidth="1"/>
    <col min="12292" max="12292" width="21" style="70" bestFit="1" customWidth="1"/>
    <col min="12293" max="12293" width="30.5546875" style="70" bestFit="1" customWidth="1"/>
    <col min="12294" max="12294" width="24.33203125" style="70" bestFit="1" customWidth="1"/>
    <col min="12295" max="12295" width="20.6640625" style="70" bestFit="1" customWidth="1"/>
    <col min="12296" max="12296" width="13.109375" style="70" bestFit="1" customWidth="1"/>
    <col min="12297" max="12297" width="17.5546875" style="70" bestFit="1" customWidth="1"/>
    <col min="12298" max="12544" width="11.5546875" style="70"/>
    <col min="12545" max="12545" width="7.109375" style="70" customWidth="1"/>
    <col min="12546" max="12546" width="32.88671875" style="70" customWidth="1"/>
    <col min="12547" max="12547" width="14.44140625" style="70" customWidth="1"/>
    <col min="12548" max="12548" width="21" style="70" bestFit="1" customWidth="1"/>
    <col min="12549" max="12549" width="30.5546875" style="70" bestFit="1" customWidth="1"/>
    <col min="12550" max="12550" width="24.33203125" style="70" bestFit="1" customWidth="1"/>
    <col min="12551" max="12551" width="20.6640625" style="70" bestFit="1" customWidth="1"/>
    <col min="12552" max="12552" width="13.109375" style="70" bestFit="1" customWidth="1"/>
    <col min="12553" max="12553" width="17.5546875" style="70" bestFit="1" customWidth="1"/>
    <col min="12554" max="12800" width="11.5546875" style="70"/>
    <col min="12801" max="12801" width="7.109375" style="70" customWidth="1"/>
    <col min="12802" max="12802" width="32.88671875" style="70" customWidth="1"/>
    <col min="12803" max="12803" width="14.44140625" style="70" customWidth="1"/>
    <col min="12804" max="12804" width="21" style="70" bestFit="1" customWidth="1"/>
    <col min="12805" max="12805" width="30.5546875" style="70" bestFit="1" customWidth="1"/>
    <col min="12806" max="12806" width="24.33203125" style="70" bestFit="1" customWidth="1"/>
    <col min="12807" max="12807" width="20.6640625" style="70" bestFit="1" customWidth="1"/>
    <col min="12808" max="12808" width="13.109375" style="70" bestFit="1" customWidth="1"/>
    <col min="12809" max="12809" width="17.5546875" style="70" bestFit="1" customWidth="1"/>
    <col min="12810" max="13056" width="11.5546875" style="70"/>
    <col min="13057" max="13057" width="7.109375" style="70" customWidth="1"/>
    <col min="13058" max="13058" width="32.88671875" style="70" customWidth="1"/>
    <col min="13059" max="13059" width="14.44140625" style="70" customWidth="1"/>
    <col min="13060" max="13060" width="21" style="70" bestFit="1" customWidth="1"/>
    <col min="13061" max="13061" width="30.5546875" style="70" bestFit="1" customWidth="1"/>
    <col min="13062" max="13062" width="24.33203125" style="70" bestFit="1" customWidth="1"/>
    <col min="13063" max="13063" width="20.6640625" style="70" bestFit="1" customWidth="1"/>
    <col min="13064" max="13064" width="13.109375" style="70" bestFit="1" customWidth="1"/>
    <col min="13065" max="13065" width="17.5546875" style="70" bestFit="1" customWidth="1"/>
    <col min="13066" max="13312" width="11.5546875" style="70"/>
    <col min="13313" max="13313" width="7.109375" style="70" customWidth="1"/>
    <col min="13314" max="13314" width="32.88671875" style="70" customWidth="1"/>
    <col min="13315" max="13315" width="14.44140625" style="70" customWidth="1"/>
    <col min="13316" max="13316" width="21" style="70" bestFit="1" customWidth="1"/>
    <col min="13317" max="13317" width="30.5546875" style="70" bestFit="1" customWidth="1"/>
    <col min="13318" max="13318" width="24.33203125" style="70" bestFit="1" customWidth="1"/>
    <col min="13319" max="13319" width="20.6640625" style="70" bestFit="1" customWidth="1"/>
    <col min="13320" max="13320" width="13.109375" style="70" bestFit="1" customWidth="1"/>
    <col min="13321" max="13321" width="17.5546875" style="70" bestFit="1" customWidth="1"/>
    <col min="13322" max="13568" width="11.5546875" style="70"/>
    <col min="13569" max="13569" width="7.109375" style="70" customWidth="1"/>
    <col min="13570" max="13570" width="32.88671875" style="70" customWidth="1"/>
    <col min="13571" max="13571" width="14.44140625" style="70" customWidth="1"/>
    <col min="13572" max="13572" width="21" style="70" bestFit="1" customWidth="1"/>
    <col min="13573" max="13573" width="30.5546875" style="70" bestFit="1" customWidth="1"/>
    <col min="13574" max="13574" width="24.33203125" style="70" bestFit="1" customWidth="1"/>
    <col min="13575" max="13575" width="20.6640625" style="70" bestFit="1" customWidth="1"/>
    <col min="13576" max="13576" width="13.109375" style="70" bestFit="1" customWidth="1"/>
    <col min="13577" max="13577" width="17.5546875" style="70" bestFit="1" customWidth="1"/>
    <col min="13578" max="13824" width="11.5546875" style="70"/>
    <col min="13825" max="13825" width="7.109375" style="70" customWidth="1"/>
    <col min="13826" max="13826" width="32.88671875" style="70" customWidth="1"/>
    <col min="13827" max="13827" width="14.44140625" style="70" customWidth="1"/>
    <col min="13828" max="13828" width="21" style="70" bestFit="1" customWidth="1"/>
    <col min="13829" max="13829" width="30.5546875" style="70" bestFit="1" customWidth="1"/>
    <col min="13830" max="13830" width="24.33203125" style="70" bestFit="1" customWidth="1"/>
    <col min="13831" max="13831" width="20.6640625" style="70" bestFit="1" customWidth="1"/>
    <col min="13832" max="13832" width="13.109375" style="70" bestFit="1" customWidth="1"/>
    <col min="13833" max="13833" width="17.5546875" style="70" bestFit="1" customWidth="1"/>
    <col min="13834" max="14080" width="11.5546875" style="70"/>
    <col min="14081" max="14081" width="7.109375" style="70" customWidth="1"/>
    <col min="14082" max="14082" width="32.88671875" style="70" customWidth="1"/>
    <col min="14083" max="14083" width="14.44140625" style="70" customWidth="1"/>
    <col min="14084" max="14084" width="21" style="70" bestFit="1" customWidth="1"/>
    <col min="14085" max="14085" width="30.5546875" style="70" bestFit="1" customWidth="1"/>
    <col min="14086" max="14086" width="24.33203125" style="70" bestFit="1" customWidth="1"/>
    <col min="14087" max="14087" width="20.6640625" style="70" bestFit="1" customWidth="1"/>
    <col min="14088" max="14088" width="13.109375" style="70" bestFit="1" customWidth="1"/>
    <col min="14089" max="14089" width="17.5546875" style="70" bestFit="1" customWidth="1"/>
    <col min="14090" max="14336" width="11.5546875" style="70"/>
    <col min="14337" max="14337" width="7.109375" style="70" customWidth="1"/>
    <col min="14338" max="14338" width="32.88671875" style="70" customWidth="1"/>
    <col min="14339" max="14339" width="14.44140625" style="70" customWidth="1"/>
    <col min="14340" max="14340" width="21" style="70" bestFit="1" customWidth="1"/>
    <col min="14341" max="14341" width="30.5546875" style="70" bestFit="1" customWidth="1"/>
    <col min="14342" max="14342" width="24.33203125" style="70" bestFit="1" customWidth="1"/>
    <col min="14343" max="14343" width="20.6640625" style="70" bestFit="1" customWidth="1"/>
    <col min="14344" max="14344" width="13.109375" style="70" bestFit="1" customWidth="1"/>
    <col min="14345" max="14345" width="17.5546875" style="70" bestFit="1" customWidth="1"/>
    <col min="14346" max="14592" width="11.5546875" style="70"/>
    <col min="14593" max="14593" width="7.109375" style="70" customWidth="1"/>
    <col min="14594" max="14594" width="32.88671875" style="70" customWidth="1"/>
    <col min="14595" max="14595" width="14.44140625" style="70" customWidth="1"/>
    <col min="14596" max="14596" width="21" style="70" bestFit="1" customWidth="1"/>
    <col min="14597" max="14597" width="30.5546875" style="70" bestFit="1" customWidth="1"/>
    <col min="14598" max="14598" width="24.33203125" style="70" bestFit="1" customWidth="1"/>
    <col min="14599" max="14599" width="20.6640625" style="70" bestFit="1" customWidth="1"/>
    <col min="14600" max="14600" width="13.109375" style="70" bestFit="1" customWidth="1"/>
    <col min="14601" max="14601" width="17.5546875" style="70" bestFit="1" customWidth="1"/>
    <col min="14602" max="14848" width="11.5546875" style="70"/>
    <col min="14849" max="14849" width="7.109375" style="70" customWidth="1"/>
    <col min="14850" max="14850" width="32.88671875" style="70" customWidth="1"/>
    <col min="14851" max="14851" width="14.44140625" style="70" customWidth="1"/>
    <col min="14852" max="14852" width="21" style="70" bestFit="1" customWidth="1"/>
    <col min="14853" max="14853" width="30.5546875" style="70" bestFit="1" customWidth="1"/>
    <col min="14854" max="14854" width="24.33203125" style="70" bestFit="1" customWidth="1"/>
    <col min="14855" max="14855" width="20.6640625" style="70" bestFit="1" customWidth="1"/>
    <col min="14856" max="14856" width="13.109375" style="70" bestFit="1" customWidth="1"/>
    <col min="14857" max="14857" width="17.5546875" style="70" bestFit="1" customWidth="1"/>
    <col min="14858" max="15104" width="11.5546875" style="70"/>
    <col min="15105" max="15105" width="7.109375" style="70" customWidth="1"/>
    <col min="15106" max="15106" width="32.88671875" style="70" customWidth="1"/>
    <col min="15107" max="15107" width="14.44140625" style="70" customWidth="1"/>
    <col min="15108" max="15108" width="21" style="70" bestFit="1" customWidth="1"/>
    <col min="15109" max="15109" width="30.5546875" style="70" bestFit="1" customWidth="1"/>
    <col min="15110" max="15110" width="24.33203125" style="70" bestFit="1" customWidth="1"/>
    <col min="15111" max="15111" width="20.6640625" style="70" bestFit="1" customWidth="1"/>
    <col min="15112" max="15112" width="13.109375" style="70" bestFit="1" customWidth="1"/>
    <col min="15113" max="15113" width="17.5546875" style="70" bestFit="1" customWidth="1"/>
    <col min="15114" max="15360" width="11.5546875" style="70"/>
    <col min="15361" max="15361" width="7.109375" style="70" customWidth="1"/>
    <col min="15362" max="15362" width="32.88671875" style="70" customWidth="1"/>
    <col min="15363" max="15363" width="14.44140625" style="70" customWidth="1"/>
    <col min="15364" max="15364" width="21" style="70" bestFit="1" customWidth="1"/>
    <col min="15365" max="15365" width="30.5546875" style="70" bestFit="1" customWidth="1"/>
    <col min="15366" max="15366" width="24.33203125" style="70" bestFit="1" customWidth="1"/>
    <col min="15367" max="15367" width="20.6640625" style="70" bestFit="1" customWidth="1"/>
    <col min="15368" max="15368" width="13.109375" style="70" bestFit="1" customWidth="1"/>
    <col min="15369" max="15369" width="17.5546875" style="70" bestFit="1" customWidth="1"/>
    <col min="15370" max="15616" width="11.5546875" style="70"/>
    <col min="15617" max="15617" width="7.109375" style="70" customWidth="1"/>
    <col min="15618" max="15618" width="32.88671875" style="70" customWidth="1"/>
    <col min="15619" max="15619" width="14.44140625" style="70" customWidth="1"/>
    <col min="15620" max="15620" width="21" style="70" bestFit="1" customWidth="1"/>
    <col min="15621" max="15621" width="30.5546875" style="70" bestFit="1" customWidth="1"/>
    <col min="15622" max="15622" width="24.33203125" style="70" bestFit="1" customWidth="1"/>
    <col min="15623" max="15623" width="20.6640625" style="70" bestFit="1" customWidth="1"/>
    <col min="15624" max="15624" width="13.109375" style="70" bestFit="1" customWidth="1"/>
    <col min="15625" max="15625" width="17.5546875" style="70" bestFit="1" customWidth="1"/>
    <col min="15626" max="15872" width="11.5546875" style="70"/>
    <col min="15873" max="15873" width="7.109375" style="70" customWidth="1"/>
    <col min="15874" max="15874" width="32.88671875" style="70" customWidth="1"/>
    <col min="15875" max="15875" width="14.44140625" style="70" customWidth="1"/>
    <col min="15876" max="15876" width="21" style="70" bestFit="1" customWidth="1"/>
    <col min="15877" max="15877" width="30.5546875" style="70" bestFit="1" customWidth="1"/>
    <col min="15878" max="15878" width="24.33203125" style="70" bestFit="1" customWidth="1"/>
    <col min="15879" max="15879" width="20.6640625" style="70" bestFit="1" customWidth="1"/>
    <col min="15880" max="15880" width="13.109375" style="70" bestFit="1" customWidth="1"/>
    <col min="15881" max="15881" width="17.5546875" style="70" bestFit="1" customWidth="1"/>
    <col min="15882" max="16128" width="11.5546875" style="70"/>
    <col min="16129" max="16129" width="7.109375" style="70" customWidth="1"/>
    <col min="16130" max="16130" width="32.88671875" style="70" customWidth="1"/>
    <col min="16131" max="16131" width="14.44140625" style="70" customWidth="1"/>
    <col min="16132" max="16132" width="21" style="70" bestFit="1" customWidth="1"/>
    <col min="16133" max="16133" width="30.5546875" style="70" bestFit="1" customWidth="1"/>
    <col min="16134" max="16134" width="24.33203125" style="70" bestFit="1" customWidth="1"/>
    <col min="16135" max="16135" width="20.6640625" style="70" bestFit="1" customWidth="1"/>
    <col min="16136" max="16136" width="13.109375" style="70" bestFit="1" customWidth="1"/>
    <col min="16137" max="16137" width="17.5546875" style="70" bestFit="1" customWidth="1"/>
    <col min="16138" max="16384" width="11.5546875" style="70"/>
  </cols>
  <sheetData>
    <row r="1" spans="1:9" ht="18" thickBot="1" x14ac:dyDescent="0.35">
      <c r="A1" s="71" t="s">
        <v>459</v>
      </c>
    </row>
    <row r="2" spans="1:9" ht="13.8" thickBot="1" x14ac:dyDescent="0.3">
      <c r="A2" s="75" t="s">
        <v>460</v>
      </c>
      <c r="B2" s="76" t="s">
        <v>380</v>
      </c>
      <c r="C2" s="77" t="s">
        <v>461</v>
      </c>
      <c r="D2" s="76" t="s">
        <v>461</v>
      </c>
      <c r="E2" s="77" t="s">
        <v>462</v>
      </c>
      <c r="F2" s="76" t="s">
        <v>463</v>
      </c>
      <c r="G2" s="77" t="s">
        <v>464</v>
      </c>
      <c r="H2" s="76" t="s">
        <v>465</v>
      </c>
      <c r="I2" s="77" t="s">
        <v>466</v>
      </c>
    </row>
    <row r="3" spans="1:9" x14ac:dyDescent="0.25">
      <c r="A3" s="78">
        <v>100</v>
      </c>
      <c r="B3" s="79" t="s">
        <v>457</v>
      </c>
      <c r="C3" s="80" t="s">
        <v>467</v>
      </c>
      <c r="D3" s="79" t="s">
        <v>447</v>
      </c>
      <c r="E3" s="80" t="s">
        <v>468</v>
      </c>
      <c r="F3" s="79" t="s">
        <v>469</v>
      </c>
      <c r="G3" s="81" t="s">
        <v>470</v>
      </c>
      <c r="H3" s="79" t="s">
        <v>471</v>
      </c>
      <c r="I3" s="80" t="s">
        <v>472</v>
      </c>
    </row>
    <row r="4" spans="1:9" x14ac:dyDescent="0.25">
      <c r="A4" s="82">
        <v>110</v>
      </c>
      <c r="B4" s="83" t="s">
        <v>456</v>
      </c>
      <c r="C4" s="84" t="s">
        <v>467</v>
      </c>
      <c r="D4" s="83" t="s">
        <v>447</v>
      </c>
      <c r="E4" s="84" t="s">
        <v>468</v>
      </c>
      <c r="F4" s="83" t="s">
        <v>469</v>
      </c>
      <c r="G4" s="85" t="s">
        <v>470</v>
      </c>
      <c r="H4" s="83" t="s">
        <v>471</v>
      </c>
      <c r="I4" s="84" t="s">
        <v>472</v>
      </c>
    </row>
    <row r="5" spans="1:9" x14ac:dyDescent="0.25">
      <c r="A5" s="82">
        <v>120</v>
      </c>
      <c r="B5" s="83" t="s">
        <v>453</v>
      </c>
      <c r="C5" s="84" t="s">
        <v>467</v>
      </c>
      <c r="D5" s="83" t="s">
        <v>447</v>
      </c>
      <c r="E5" s="84" t="s">
        <v>468</v>
      </c>
      <c r="F5" s="83" t="s">
        <v>469</v>
      </c>
      <c r="G5" s="85" t="s">
        <v>470</v>
      </c>
      <c r="H5" s="83" t="s">
        <v>471</v>
      </c>
      <c r="I5" s="84" t="s">
        <v>472</v>
      </c>
    </row>
    <row r="6" spans="1:9" x14ac:dyDescent="0.25">
      <c r="A6" s="82">
        <v>130</v>
      </c>
      <c r="B6" s="83" t="s">
        <v>455</v>
      </c>
      <c r="C6" s="84" t="s">
        <v>467</v>
      </c>
      <c r="D6" s="83" t="s">
        <v>447</v>
      </c>
      <c r="E6" s="84" t="s">
        <v>468</v>
      </c>
      <c r="F6" s="83" t="s">
        <v>469</v>
      </c>
      <c r="G6" s="85" t="s">
        <v>470</v>
      </c>
      <c r="H6" s="83" t="s">
        <v>471</v>
      </c>
      <c r="I6" s="84" t="s">
        <v>472</v>
      </c>
    </row>
    <row r="7" spans="1:9" ht="13.8" thickBot="1" x14ac:dyDescent="0.3">
      <c r="A7" s="86">
        <v>140</v>
      </c>
      <c r="B7" s="87" t="s">
        <v>473</v>
      </c>
      <c r="C7" s="88" t="s">
        <v>467</v>
      </c>
      <c r="D7" s="87" t="s">
        <v>447</v>
      </c>
      <c r="E7" s="88" t="s">
        <v>468</v>
      </c>
      <c r="F7" s="87" t="s">
        <v>469</v>
      </c>
      <c r="G7" s="89" t="s">
        <v>470</v>
      </c>
      <c r="H7" s="87" t="s">
        <v>471</v>
      </c>
      <c r="I7" s="88" t="s">
        <v>472</v>
      </c>
    </row>
    <row r="8" spans="1:9" x14ac:dyDescent="0.25">
      <c r="A8" s="90">
        <v>200</v>
      </c>
      <c r="B8" s="91" t="s">
        <v>458</v>
      </c>
      <c r="C8" s="92" t="s">
        <v>441</v>
      </c>
      <c r="D8" s="91" t="s">
        <v>441</v>
      </c>
      <c r="E8" s="92" t="s">
        <v>468</v>
      </c>
      <c r="F8" s="91" t="s">
        <v>474</v>
      </c>
      <c r="G8" s="93" t="s">
        <v>475</v>
      </c>
      <c r="H8" s="91" t="s">
        <v>471</v>
      </c>
      <c r="I8" s="92" t="s">
        <v>476</v>
      </c>
    </row>
    <row r="9" spans="1:9" x14ac:dyDescent="0.25">
      <c r="A9" s="94">
        <v>210</v>
      </c>
      <c r="B9" s="95" t="s">
        <v>404</v>
      </c>
      <c r="C9" s="96" t="s">
        <v>441</v>
      </c>
      <c r="D9" s="95" t="s">
        <v>441</v>
      </c>
      <c r="E9" s="96" t="s">
        <v>468</v>
      </c>
      <c r="F9" s="95" t="s">
        <v>474</v>
      </c>
      <c r="G9" s="97" t="s">
        <v>475</v>
      </c>
      <c r="H9" s="95" t="s">
        <v>471</v>
      </c>
      <c r="I9" s="96" t="s">
        <v>476</v>
      </c>
    </row>
    <row r="10" spans="1:9" x14ac:dyDescent="0.25">
      <c r="A10" s="94">
        <v>220</v>
      </c>
      <c r="B10" s="95" t="s">
        <v>409</v>
      </c>
      <c r="C10" s="96" t="s">
        <v>441</v>
      </c>
      <c r="D10" s="95" t="s">
        <v>441</v>
      </c>
      <c r="E10" s="96" t="s">
        <v>468</v>
      </c>
      <c r="F10" s="95" t="s">
        <v>474</v>
      </c>
      <c r="G10" s="97" t="s">
        <v>475</v>
      </c>
      <c r="H10" s="95" t="s">
        <v>471</v>
      </c>
      <c r="I10" s="96" t="s">
        <v>476</v>
      </c>
    </row>
    <row r="11" spans="1:9" ht="13.8" thickBot="1" x14ac:dyDescent="0.3">
      <c r="A11" s="98">
        <v>230</v>
      </c>
      <c r="B11" s="99" t="s">
        <v>407</v>
      </c>
      <c r="C11" s="100" t="s">
        <v>441</v>
      </c>
      <c r="D11" s="99" t="s">
        <v>441</v>
      </c>
      <c r="E11" s="100" t="s">
        <v>468</v>
      </c>
      <c r="F11" s="99" t="s">
        <v>474</v>
      </c>
      <c r="G11" s="101" t="s">
        <v>475</v>
      </c>
      <c r="H11" s="99" t="s">
        <v>471</v>
      </c>
      <c r="I11" s="100" t="s">
        <v>476</v>
      </c>
    </row>
    <row r="12" spans="1:9" x14ac:dyDescent="0.25">
      <c r="A12" s="102">
        <v>300</v>
      </c>
      <c r="B12" s="102" t="s">
        <v>445</v>
      </c>
      <c r="C12" s="103" t="s">
        <v>430</v>
      </c>
      <c r="D12" s="102" t="s">
        <v>477</v>
      </c>
      <c r="E12" s="103" t="s">
        <v>468</v>
      </c>
      <c r="F12" s="102" t="s">
        <v>478</v>
      </c>
      <c r="G12" s="104" t="s">
        <v>479</v>
      </c>
      <c r="H12" s="102" t="s">
        <v>471</v>
      </c>
      <c r="I12" s="103" t="s">
        <v>480</v>
      </c>
    </row>
    <row r="13" spans="1:9" x14ac:dyDescent="0.25">
      <c r="A13" s="105">
        <v>301</v>
      </c>
      <c r="B13" s="102" t="s">
        <v>429</v>
      </c>
      <c r="C13" s="103" t="s">
        <v>430</v>
      </c>
      <c r="D13" s="102" t="s">
        <v>477</v>
      </c>
      <c r="E13" s="103" t="s">
        <v>468</v>
      </c>
      <c r="F13" s="102" t="s">
        <v>478</v>
      </c>
      <c r="G13" s="104" t="s">
        <v>479</v>
      </c>
      <c r="H13" s="102" t="s">
        <v>471</v>
      </c>
      <c r="I13" s="103" t="s">
        <v>480</v>
      </c>
    </row>
    <row r="14" spans="1:9" x14ac:dyDescent="0.25">
      <c r="A14" s="105">
        <v>302</v>
      </c>
      <c r="B14" s="102" t="s">
        <v>481</v>
      </c>
      <c r="C14" s="103" t="s">
        <v>430</v>
      </c>
      <c r="D14" s="102" t="s">
        <v>477</v>
      </c>
      <c r="E14" s="103" t="s">
        <v>468</v>
      </c>
      <c r="F14" s="102" t="s">
        <v>478</v>
      </c>
      <c r="G14" s="104" t="s">
        <v>479</v>
      </c>
      <c r="H14" s="102" t="s">
        <v>471</v>
      </c>
      <c r="I14" s="103" t="s">
        <v>480</v>
      </c>
    </row>
    <row r="15" spans="1:9" x14ac:dyDescent="0.25">
      <c r="A15" s="105">
        <v>303</v>
      </c>
      <c r="B15" s="102" t="s">
        <v>394</v>
      </c>
      <c r="C15" s="103" t="s">
        <v>430</v>
      </c>
      <c r="D15" s="102" t="s">
        <v>477</v>
      </c>
      <c r="E15" s="103" t="s">
        <v>468</v>
      </c>
      <c r="F15" s="102" t="s">
        <v>478</v>
      </c>
      <c r="G15" s="104" t="s">
        <v>479</v>
      </c>
      <c r="H15" s="102" t="s">
        <v>471</v>
      </c>
      <c r="I15" s="103" t="s">
        <v>480</v>
      </c>
    </row>
    <row r="16" spans="1:9" x14ac:dyDescent="0.25">
      <c r="A16" s="105">
        <v>304</v>
      </c>
      <c r="B16" s="102" t="s">
        <v>443</v>
      </c>
      <c r="C16" s="103" t="s">
        <v>430</v>
      </c>
      <c r="D16" s="102" t="s">
        <v>477</v>
      </c>
      <c r="E16" s="103" t="s">
        <v>468</v>
      </c>
      <c r="F16" s="102" t="s">
        <v>478</v>
      </c>
      <c r="G16" s="104" t="s">
        <v>479</v>
      </c>
      <c r="H16" s="102" t="s">
        <v>471</v>
      </c>
      <c r="I16" s="103" t="s">
        <v>480</v>
      </c>
    </row>
    <row r="17" spans="1:9" x14ac:dyDescent="0.25">
      <c r="A17" s="105">
        <v>305</v>
      </c>
      <c r="B17" s="102" t="s">
        <v>444</v>
      </c>
      <c r="C17" s="103" t="s">
        <v>430</v>
      </c>
      <c r="D17" s="102" t="s">
        <v>477</v>
      </c>
      <c r="E17" s="103" t="s">
        <v>468</v>
      </c>
      <c r="F17" s="102" t="s">
        <v>478</v>
      </c>
      <c r="G17" s="104" t="s">
        <v>479</v>
      </c>
      <c r="H17" s="102" t="s">
        <v>471</v>
      </c>
      <c r="I17" s="103" t="s">
        <v>480</v>
      </c>
    </row>
    <row r="18" spans="1:9" x14ac:dyDescent="0.25">
      <c r="A18" s="105">
        <v>306</v>
      </c>
      <c r="B18" s="102" t="s">
        <v>448</v>
      </c>
      <c r="C18" s="103" t="s">
        <v>430</v>
      </c>
      <c r="D18" s="102" t="s">
        <v>477</v>
      </c>
      <c r="E18" s="103" t="s">
        <v>468</v>
      </c>
      <c r="F18" s="102" t="s">
        <v>478</v>
      </c>
      <c r="G18" s="104" t="s">
        <v>479</v>
      </c>
      <c r="H18" s="102" t="s">
        <v>471</v>
      </c>
      <c r="I18" s="103" t="s">
        <v>480</v>
      </c>
    </row>
    <row r="19" spans="1:9" x14ac:dyDescent="0.25">
      <c r="A19" s="105">
        <v>307</v>
      </c>
      <c r="B19" s="102" t="s">
        <v>449</v>
      </c>
      <c r="C19" s="103" t="s">
        <v>430</v>
      </c>
      <c r="D19" s="102" t="s">
        <v>477</v>
      </c>
      <c r="E19" s="103" t="s">
        <v>468</v>
      </c>
      <c r="F19" s="102" t="s">
        <v>478</v>
      </c>
      <c r="G19" s="104" t="s">
        <v>479</v>
      </c>
      <c r="H19" s="102" t="s">
        <v>471</v>
      </c>
      <c r="I19" s="103" t="s">
        <v>480</v>
      </c>
    </row>
    <row r="20" spans="1:9" x14ac:dyDescent="0.25">
      <c r="A20" s="105">
        <v>308</v>
      </c>
      <c r="B20" s="102" t="s">
        <v>450</v>
      </c>
      <c r="C20" s="103" t="s">
        <v>430</v>
      </c>
      <c r="D20" s="102" t="s">
        <v>477</v>
      </c>
      <c r="E20" s="103" t="s">
        <v>468</v>
      </c>
      <c r="F20" s="102" t="s">
        <v>478</v>
      </c>
      <c r="G20" s="104" t="s">
        <v>479</v>
      </c>
      <c r="H20" s="102" t="s">
        <v>471</v>
      </c>
      <c r="I20" s="103" t="s">
        <v>480</v>
      </c>
    </row>
    <row r="21" spans="1:9" ht="13.8" thickBot="1" x14ac:dyDescent="0.3">
      <c r="A21" s="106">
        <v>309</v>
      </c>
      <c r="B21" s="107" t="s">
        <v>452</v>
      </c>
      <c r="C21" s="108" t="s">
        <v>430</v>
      </c>
      <c r="D21" s="107" t="s">
        <v>477</v>
      </c>
      <c r="E21" s="108" t="s">
        <v>468</v>
      </c>
      <c r="F21" s="107" t="s">
        <v>478</v>
      </c>
      <c r="G21" s="109" t="s">
        <v>479</v>
      </c>
      <c r="H21" s="107" t="s">
        <v>471</v>
      </c>
      <c r="I21" s="108" t="s">
        <v>480</v>
      </c>
    </row>
    <row r="22" spans="1:9" x14ac:dyDescent="0.25">
      <c r="A22" s="110">
        <v>350</v>
      </c>
      <c r="B22" s="111" t="s">
        <v>433</v>
      </c>
      <c r="C22" s="112" t="s">
        <v>430</v>
      </c>
      <c r="D22" s="113" t="s">
        <v>482</v>
      </c>
      <c r="E22" s="112" t="s">
        <v>468</v>
      </c>
      <c r="F22" s="113" t="s">
        <v>483</v>
      </c>
      <c r="G22" s="114" t="s">
        <v>484</v>
      </c>
      <c r="H22" s="113" t="s">
        <v>471</v>
      </c>
      <c r="I22" s="112" t="s">
        <v>485</v>
      </c>
    </row>
    <row r="23" spans="1:9" x14ac:dyDescent="0.25">
      <c r="A23" s="115">
        <v>351</v>
      </c>
      <c r="B23" s="113" t="s">
        <v>435</v>
      </c>
      <c r="C23" s="116" t="s">
        <v>430</v>
      </c>
      <c r="D23" s="113" t="s">
        <v>482</v>
      </c>
      <c r="E23" s="116" t="s">
        <v>468</v>
      </c>
      <c r="F23" s="113" t="s">
        <v>483</v>
      </c>
      <c r="G23" s="117" t="s">
        <v>484</v>
      </c>
      <c r="H23" s="113" t="s">
        <v>471</v>
      </c>
      <c r="I23" s="116" t="s">
        <v>485</v>
      </c>
    </row>
    <row r="24" spans="1:9" x14ac:dyDescent="0.25">
      <c r="A24" s="115">
        <v>352</v>
      </c>
      <c r="B24" s="113" t="s">
        <v>486</v>
      </c>
      <c r="C24" s="116" t="s">
        <v>430</v>
      </c>
      <c r="D24" s="113" t="s">
        <v>482</v>
      </c>
      <c r="E24" s="116" t="s">
        <v>468</v>
      </c>
      <c r="F24" s="113" t="s">
        <v>483</v>
      </c>
      <c r="G24" s="117" t="s">
        <v>484</v>
      </c>
      <c r="H24" s="113" t="s">
        <v>471</v>
      </c>
      <c r="I24" s="116" t="s">
        <v>485</v>
      </c>
    </row>
    <row r="25" spans="1:9" x14ac:dyDescent="0.25">
      <c r="A25" s="115">
        <v>353</v>
      </c>
      <c r="B25" s="113" t="s">
        <v>437</v>
      </c>
      <c r="C25" s="116" t="s">
        <v>430</v>
      </c>
      <c r="D25" s="113" t="s">
        <v>482</v>
      </c>
      <c r="E25" s="116" t="s">
        <v>468</v>
      </c>
      <c r="F25" s="113" t="s">
        <v>483</v>
      </c>
      <c r="G25" s="117" t="s">
        <v>484</v>
      </c>
      <c r="H25" s="113" t="s">
        <v>471</v>
      </c>
      <c r="I25" s="116" t="s">
        <v>485</v>
      </c>
    </row>
    <row r="26" spans="1:9" x14ac:dyDescent="0.25">
      <c r="A26" s="115">
        <v>354</v>
      </c>
      <c r="B26" s="113" t="s">
        <v>438</v>
      </c>
      <c r="C26" s="116" t="s">
        <v>430</v>
      </c>
      <c r="D26" s="113" t="s">
        <v>482</v>
      </c>
      <c r="E26" s="116" t="s">
        <v>468</v>
      </c>
      <c r="F26" s="113" t="s">
        <v>483</v>
      </c>
      <c r="G26" s="117" t="s">
        <v>484</v>
      </c>
      <c r="H26" s="113" t="s">
        <v>471</v>
      </c>
      <c r="I26" s="116" t="s">
        <v>485</v>
      </c>
    </row>
    <row r="27" spans="1:9" x14ac:dyDescent="0.25">
      <c r="A27" s="115">
        <v>355</v>
      </c>
      <c r="B27" s="113" t="s">
        <v>439</v>
      </c>
      <c r="C27" s="116" t="s">
        <v>430</v>
      </c>
      <c r="D27" s="113" t="s">
        <v>482</v>
      </c>
      <c r="E27" s="116" t="s">
        <v>468</v>
      </c>
      <c r="F27" s="113" t="s">
        <v>483</v>
      </c>
      <c r="G27" s="117" t="s">
        <v>484</v>
      </c>
      <c r="H27" s="113" t="s">
        <v>471</v>
      </c>
      <c r="I27" s="116" t="s">
        <v>485</v>
      </c>
    </row>
    <row r="28" spans="1:9" x14ac:dyDescent="0.25">
      <c r="A28" s="115">
        <v>356</v>
      </c>
      <c r="B28" s="113" t="s">
        <v>442</v>
      </c>
      <c r="C28" s="116" t="s">
        <v>430</v>
      </c>
      <c r="D28" s="113" t="s">
        <v>482</v>
      </c>
      <c r="E28" s="116" t="s">
        <v>468</v>
      </c>
      <c r="F28" s="113" t="s">
        <v>483</v>
      </c>
      <c r="G28" s="117" t="s">
        <v>484</v>
      </c>
      <c r="H28" s="113" t="s">
        <v>471</v>
      </c>
      <c r="I28" s="116" t="s">
        <v>485</v>
      </c>
    </row>
    <row r="29" spans="1:9" ht="13.8" thickBot="1" x14ac:dyDescent="0.3">
      <c r="A29" s="118">
        <v>357</v>
      </c>
      <c r="B29" s="119" t="s">
        <v>487</v>
      </c>
      <c r="C29" s="120" t="s">
        <v>430</v>
      </c>
      <c r="D29" s="119" t="s">
        <v>482</v>
      </c>
      <c r="E29" s="120" t="s">
        <v>468</v>
      </c>
      <c r="F29" s="119" t="s">
        <v>483</v>
      </c>
      <c r="G29" s="121" t="s">
        <v>484</v>
      </c>
      <c r="H29" s="119" t="s">
        <v>471</v>
      </c>
      <c r="I29" s="120" t="s">
        <v>485</v>
      </c>
    </row>
    <row r="31" spans="1:9" x14ac:dyDescent="0.25">
      <c r="B31" s="70" t="s">
        <v>488</v>
      </c>
    </row>
    <row r="32" spans="1:9" x14ac:dyDescent="0.25">
      <c r="B32" s="70" t="s">
        <v>489</v>
      </c>
    </row>
    <row r="33" spans="2:2" x14ac:dyDescent="0.25">
      <c r="B33" s="70" t="s">
        <v>490</v>
      </c>
    </row>
    <row r="34" spans="2:2" x14ac:dyDescent="0.25">
      <c r="B34" s="70" t="s">
        <v>491</v>
      </c>
    </row>
    <row r="35" spans="2:2" x14ac:dyDescent="0.25">
      <c r="B35" s="70" t="s">
        <v>492</v>
      </c>
    </row>
  </sheetData>
  <pageMargins left="0.75" right="0.75" top="1" bottom="1" header="0" footer="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F0411-BA0E-4BE4-9DDE-E52892C3DE5B}">
  <dimension ref="A1:H35"/>
  <sheetViews>
    <sheetView zoomScale="90" zoomScaleNormal="90" workbookViewId="0">
      <pane ySplit="1" topLeftCell="A2" activePane="bottomLeft" state="frozen"/>
      <selection activeCell="A40" sqref="A40"/>
      <selection pane="bottomLeft" activeCell="F16" sqref="F16"/>
    </sheetView>
  </sheetViews>
  <sheetFormatPr baseColWidth="10" defaultColWidth="11.44140625" defaultRowHeight="13.8" x14ac:dyDescent="0.3"/>
  <cols>
    <col min="1" max="1" width="7.33203125" style="125" customWidth="1"/>
    <col min="2" max="2" width="12.109375" style="125" customWidth="1"/>
    <col min="3" max="3" width="9.6640625" style="125" bestFit="1" customWidth="1"/>
    <col min="4" max="4" width="43.6640625" style="125" bestFit="1" customWidth="1"/>
    <col min="5" max="5" width="16" style="125" customWidth="1"/>
    <col min="6" max="6" width="23.6640625" style="125" customWidth="1"/>
    <col min="7" max="7" width="5.88671875" style="125" customWidth="1"/>
    <col min="8" max="16384" width="11.44140625" style="125"/>
  </cols>
  <sheetData>
    <row r="1" spans="1:8" ht="48" x14ac:dyDescent="0.3">
      <c r="A1" s="122" t="s">
        <v>493</v>
      </c>
      <c r="B1" s="122" t="s">
        <v>494</v>
      </c>
      <c r="C1" s="123" t="s">
        <v>495</v>
      </c>
      <c r="D1" s="122" t="s">
        <v>496</v>
      </c>
      <c r="E1" s="122" t="s">
        <v>497</v>
      </c>
      <c r="F1" s="123" t="s">
        <v>498</v>
      </c>
      <c r="G1" s="124" t="s">
        <v>499</v>
      </c>
    </row>
    <row r="2" spans="1:8" x14ac:dyDescent="0.3">
      <c r="A2" s="126">
        <v>1</v>
      </c>
      <c r="B2" s="127">
        <v>0</v>
      </c>
      <c r="C2" s="126"/>
      <c r="D2" s="128" t="s">
        <v>500</v>
      </c>
      <c r="E2" s="128" t="s">
        <v>500</v>
      </c>
      <c r="F2" s="126"/>
      <c r="G2" s="127" t="s">
        <v>501</v>
      </c>
    </row>
    <row r="3" spans="1:8" x14ac:dyDescent="0.3">
      <c r="A3" s="126">
        <v>1</v>
      </c>
      <c r="B3" s="127">
        <v>10001</v>
      </c>
      <c r="C3" s="126" t="s">
        <v>502</v>
      </c>
      <c r="D3" s="128" t="s">
        <v>423</v>
      </c>
      <c r="E3" s="128" t="s">
        <v>503</v>
      </c>
      <c r="F3" s="127" t="s">
        <v>504</v>
      </c>
      <c r="G3" s="127" t="s">
        <v>505</v>
      </c>
    </row>
    <row r="4" spans="1:8" x14ac:dyDescent="0.3">
      <c r="A4" s="126">
        <v>1</v>
      </c>
      <c r="B4" s="127">
        <v>10002</v>
      </c>
      <c r="C4" s="126" t="s">
        <v>502</v>
      </c>
      <c r="D4" s="128" t="s">
        <v>506</v>
      </c>
      <c r="E4" s="128" t="s">
        <v>507</v>
      </c>
      <c r="F4" s="127" t="s">
        <v>504</v>
      </c>
      <c r="G4" s="127" t="s">
        <v>505</v>
      </c>
    </row>
    <row r="5" spans="1:8" x14ac:dyDescent="0.3">
      <c r="A5" s="126">
        <v>1</v>
      </c>
      <c r="B5" s="127">
        <v>10003</v>
      </c>
      <c r="C5" s="126" t="s">
        <v>502</v>
      </c>
      <c r="D5" s="127" t="s">
        <v>420</v>
      </c>
      <c r="E5" s="127" t="s">
        <v>508</v>
      </c>
      <c r="F5" s="127" t="s">
        <v>504</v>
      </c>
      <c r="G5" s="127" t="s">
        <v>505</v>
      </c>
      <c r="H5" s="129"/>
    </row>
    <row r="6" spans="1:8" ht="14.25" customHeight="1" x14ac:dyDescent="0.3">
      <c r="A6" s="126">
        <v>1</v>
      </c>
      <c r="B6" s="129">
        <v>10004</v>
      </c>
      <c r="C6" s="126" t="s">
        <v>502</v>
      </c>
      <c r="D6" s="128" t="s">
        <v>509</v>
      </c>
      <c r="E6" s="128" t="s">
        <v>510</v>
      </c>
      <c r="F6" s="127" t="s">
        <v>504</v>
      </c>
      <c r="G6" s="127" t="s">
        <v>505</v>
      </c>
      <c r="H6" s="129"/>
    </row>
    <row r="7" spans="1:8" ht="14.25" customHeight="1" x14ac:dyDescent="0.3">
      <c r="A7" s="126">
        <v>1</v>
      </c>
      <c r="B7" s="127">
        <v>10005</v>
      </c>
      <c r="C7" s="126" t="s">
        <v>502</v>
      </c>
      <c r="D7" s="128" t="s">
        <v>511</v>
      </c>
      <c r="E7" s="128" t="s">
        <v>512</v>
      </c>
      <c r="F7" s="127" t="s">
        <v>504</v>
      </c>
      <c r="G7" s="127" t="s">
        <v>505</v>
      </c>
      <c r="H7" s="129"/>
    </row>
    <row r="8" spans="1:8" ht="14.25" customHeight="1" x14ac:dyDescent="0.3">
      <c r="A8" s="126">
        <v>1</v>
      </c>
      <c r="B8" s="127">
        <v>10006</v>
      </c>
      <c r="C8" s="126" t="s">
        <v>502</v>
      </c>
      <c r="D8" s="128" t="s">
        <v>513</v>
      </c>
      <c r="E8" s="128" t="s">
        <v>514</v>
      </c>
      <c r="F8" s="127" t="s">
        <v>504</v>
      </c>
      <c r="G8" s="127" t="s">
        <v>505</v>
      </c>
      <c r="H8" s="129"/>
    </row>
    <row r="9" spans="1:8" ht="14.25" customHeight="1" x14ac:dyDescent="0.3">
      <c r="A9" s="126">
        <v>1</v>
      </c>
      <c r="B9" s="127">
        <v>10007</v>
      </c>
      <c r="C9" s="126" t="s">
        <v>502</v>
      </c>
      <c r="D9" s="128" t="s">
        <v>515</v>
      </c>
      <c r="E9" s="128" t="s">
        <v>516</v>
      </c>
      <c r="F9" s="127" t="s">
        <v>504</v>
      </c>
      <c r="G9" s="127" t="s">
        <v>505</v>
      </c>
      <c r="H9" s="129"/>
    </row>
    <row r="10" spans="1:8" ht="14.25" customHeight="1" x14ac:dyDescent="0.3">
      <c r="A10" s="126">
        <v>1</v>
      </c>
      <c r="B10" s="127">
        <v>20001</v>
      </c>
      <c r="C10" s="126" t="s">
        <v>502</v>
      </c>
      <c r="D10" s="128" t="s">
        <v>517</v>
      </c>
      <c r="E10" s="128" t="s">
        <v>518</v>
      </c>
      <c r="F10" s="127" t="s">
        <v>425</v>
      </c>
      <c r="G10" s="127" t="s">
        <v>505</v>
      </c>
      <c r="H10" s="129"/>
    </row>
    <row r="11" spans="1:8" ht="14.25" customHeight="1" x14ac:dyDescent="0.3">
      <c r="A11" s="126">
        <v>1</v>
      </c>
      <c r="B11" s="127">
        <v>20002</v>
      </c>
      <c r="C11" s="126" t="s">
        <v>502</v>
      </c>
      <c r="D11" s="128" t="s">
        <v>425</v>
      </c>
      <c r="E11" s="128" t="s">
        <v>425</v>
      </c>
      <c r="F11" s="127" t="s">
        <v>425</v>
      </c>
      <c r="G11" s="127" t="s">
        <v>505</v>
      </c>
      <c r="H11" s="129"/>
    </row>
    <row r="12" spans="1:8" ht="14.25" customHeight="1" x14ac:dyDescent="0.3">
      <c r="A12" s="126">
        <v>1</v>
      </c>
      <c r="B12" s="127">
        <v>20003</v>
      </c>
      <c r="C12" s="126" t="s">
        <v>502</v>
      </c>
      <c r="D12" s="128" t="s">
        <v>519</v>
      </c>
      <c r="E12" s="128" t="s">
        <v>520</v>
      </c>
      <c r="F12" s="127" t="s">
        <v>425</v>
      </c>
      <c r="G12" s="127" t="s">
        <v>505</v>
      </c>
      <c r="H12" s="129"/>
    </row>
    <row r="13" spans="1:8" ht="14.25" customHeight="1" x14ac:dyDescent="0.3">
      <c r="A13" s="126">
        <v>1</v>
      </c>
      <c r="B13" s="127">
        <v>31001</v>
      </c>
      <c r="C13" s="126" t="s">
        <v>502</v>
      </c>
      <c r="D13" s="128" t="s">
        <v>521</v>
      </c>
      <c r="E13" s="128" t="s">
        <v>522</v>
      </c>
      <c r="F13" s="127" t="s">
        <v>425</v>
      </c>
      <c r="G13" s="127" t="s">
        <v>505</v>
      </c>
      <c r="H13" s="129"/>
    </row>
    <row r="14" spans="1:8" ht="14.25" customHeight="1" x14ac:dyDescent="0.3">
      <c r="A14" s="126">
        <v>1</v>
      </c>
      <c r="B14" s="127">
        <v>31002</v>
      </c>
      <c r="C14" s="126" t="s">
        <v>502</v>
      </c>
      <c r="D14" s="128" t="s">
        <v>523</v>
      </c>
      <c r="E14" s="128" t="s">
        <v>524</v>
      </c>
      <c r="F14" s="127" t="s">
        <v>525</v>
      </c>
      <c r="G14" s="127" t="s">
        <v>505</v>
      </c>
      <c r="H14" s="129"/>
    </row>
    <row r="15" spans="1:8" x14ac:dyDescent="0.3">
      <c r="A15" s="126">
        <v>1</v>
      </c>
      <c r="B15" s="127">
        <v>31003</v>
      </c>
      <c r="C15" s="126" t="s">
        <v>502</v>
      </c>
      <c r="D15" s="128" t="s">
        <v>526</v>
      </c>
      <c r="E15" s="128" t="s">
        <v>527</v>
      </c>
      <c r="F15" s="127" t="s">
        <v>525</v>
      </c>
      <c r="G15" s="127" t="s">
        <v>505</v>
      </c>
      <c r="H15" s="129"/>
    </row>
    <row r="16" spans="1:8" x14ac:dyDescent="0.3">
      <c r="A16" s="126">
        <v>1</v>
      </c>
      <c r="B16" s="127">
        <v>31004</v>
      </c>
      <c r="C16" s="126" t="s">
        <v>528</v>
      </c>
      <c r="D16" s="128" t="s">
        <v>529</v>
      </c>
      <c r="E16" s="128" t="s">
        <v>530</v>
      </c>
      <c r="F16" s="127" t="s">
        <v>525</v>
      </c>
      <c r="G16" s="127" t="s">
        <v>505</v>
      </c>
      <c r="H16" s="129"/>
    </row>
    <row r="17" spans="1:8" x14ac:dyDescent="0.3">
      <c r="A17" s="126">
        <v>1</v>
      </c>
      <c r="B17" s="127">
        <v>31005</v>
      </c>
      <c r="C17" s="126" t="s">
        <v>502</v>
      </c>
      <c r="D17" s="128" t="s">
        <v>531</v>
      </c>
      <c r="E17" s="128" t="s">
        <v>532</v>
      </c>
      <c r="F17" s="127" t="s">
        <v>525</v>
      </c>
      <c r="G17" s="127" t="s">
        <v>505</v>
      </c>
      <c r="H17" s="129"/>
    </row>
    <row r="18" spans="1:8" x14ac:dyDescent="0.3">
      <c r="A18" s="126">
        <v>1</v>
      </c>
      <c r="B18" s="127">
        <v>31006</v>
      </c>
      <c r="C18" s="126" t="s">
        <v>528</v>
      </c>
      <c r="D18" s="128" t="s">
        <v>533</v>
      </c>
      <c r="E18" s="128" t="s">
        <v>534</v>
      </c>
      <c r="F18" s="127" t="s">
        <v>525</v>
      </c>
      <c r="G18" s="127" t="s">
        <v>505</v>
      </c>
      <c r="H18" s="129"/>
    </row>
    <row r="19" spans="1:8" x14ac:dyDescent="0.3">
      <c r="A19" s="126">
        <v>1</v>
      </c>
      <c r="B19" s="127">
        <v>31007</v>
      </c>
      <c r="C19" s="126" t="s">
        <v>528</v>
      </c>
      <c r="D19" s="128" t="s">
        <v>535</v>
      </c>
      <c r="E19" s="128" t="s">
        <v>536</v>
      </c>
      <c r="F19" s="127" t="s">
        <v>525</v>
      </c>
      <c r="G19" s="127" t="s">
        <v>505</v>
      </c>
      <c r="H19" s="129"/>
    </row>
    <row r="20" spans="1:8" x14ac:dyDescent="0.3">
      <c r="A20" s="126">
        <v>1</v>
      </c>
      <c r="B20" s="127">
        <v>31008</v>
      </c>
      <c r="C20" s="126" t="s">
        <v>502</v>
      </c>
      <c r="D20" s="128" t="s">
        <v>537</v>
      </c>
      <c r="E20" s="128" t="s">
        <v>538</v>
      </c>
      <c r="F20" s="127" t="s">
        <v>525</v>
      </c>
      <c r="G20" s="127" t="s">
        <v>505</v>
      </c>
      <c r="H20" s="129"/>
    </row>
    <row r="21" spans="1:8" x14ac:dyDescent="0.3">
      <c r="A21" s="126">
        <v>1</v>
      </c>
      <c r="B21" s="127">
        <v>31009</v>
      </c>
      <c r="C21" s="126" t="s">
        <v>528</v>
      </c>
      <c r="D21" s="128" t="s">
        <v>539</v>
      </c>
      <c r="E21" s="128" t="s">
        <v>540</v>
      </c>
      <c r="F21" s="127" t="s">
        <v>525</v>
      </c>
      <c r="G21" s="127" t="s">
        <v>505</v>
      </c>
      <c r="H21" s="129"/>
    </row>
    <row r="22" spans="1:8" x14ac:dyDescent="0.3">
      <c r="A22" s="126">
        <v>1</v>
      </c>
      <c r="B22" s="127">
        <v>31010</v>
      </c>
      <c r="C22" s="126" t="s">
        <v>528</v>
      </c>
      <c r="D22" s="128" t="s">
        <v>541</v>
      </c>
      <c r="E22" s="128" t="s">
        <v>542</v>
      </c>
      <c r="F22" s="127" t="s">
        <v>525</v>
      </c>
      <c r="G22" s="127" t="s">
        <v>505</v>
      </c>
      <c r="H22" s="129"/>
    </row>
    <row r="23" spans="1:8" x14ac:dyDescent="0.3">
      <c r="A23" s="126">
        <v>1</v>
      </c>
      <c r="B23" s="127">
        <v>31011</v>
      </c>
      <c r="C23" s="126" t="s">
        <v>502</v>
      </c>
      <c r="D23" s="128" t="s">
        <v>543</v>
      </c>
      <c r="E23" s="128" t="s">
        <v>544</v>
      </c>
      <c r="F23" s="127" t="s">
        <v>525</v>
      </c>
      <c r="G23" s="127" t="s">
        <v>505</v>
      </c>
      <c r="H23" s="129"/>
    </row>
    <row r="24" spans="1:8" x14ac:dyDescent="0.3">
      <c r="A24" s="126">
        <v>1</v>
      </c>
      <c r="B24" s="127">
        <v>31012</v>
      </c>
      <c r="C24" s="126" t="s">
        <v>502</v>
      </c>
      <c r="D24" s="128" t="s">
        <v>545</v>
      </c>
      <c r="E24" s="128" t="s">
        <v>546</v>
      </c>
      <c r="F24" s="127" t="s">
        <v>525</v>
      </c>
      <c r="G24" s="127" t="s">
        <v>505</v>
      </c>
      <c r="H24" s="129"/>
    </row>
    <row r="25" spans="1:8" x14ac:dyDescent="0.3">
      <c r="A25" s="126">
        <v>1</v>
      </c>
      <c r="B25" s="127">
        <v>32001</v>
      </c>
      <c r="C25" s="126" t="s">
        <v>502</v>
      </c>
      <c r="D25" s="128" t="s">
        <v>547</v>
      </c>
      <c r="E25" s="128" t="s">
        <v>548</v>
      </c>
      <c r="F25" s="127" t="s">
        <v>549</v>
      </c>
      <c r="G25" s="127" t="s">
        <v>505</v>
      </c>
      <c r="H25" s="129"/>
    </row>
    <row r="26" spans="1:8" x14ac:dyDescent="0.3">
      <c r="A26" s="126">
        <v>1</v>
      </c>
      <c r="B26" s="127">
        <v>32002</v>
      </c>
      <c r="C26" s="126" t="s">
        <v>528</v>
      </c>
      <c r="D26" s="128" t="s">
        <v>550</v>
      </c>
      <c r="E26" s="128" t="s">
        <v>551</v>
      </c>
      <c r="F26" s="127" t="s">
        <v>549</v>
      </c>
      <c r="G26" s="127" t="s">
        <v>505</v>
      </c>
      <c r="H26" s="129"/>
    </row>
    <row r="27" spans="1:8" x14ac:dyDescent="0.3">
      <c r="A27" s="126">
        <v>1</v>
      </c>
      <c r="B27" s="127">
        <v>32003</v>
      </c>
      <c r="C27" s="126" t="s">
        <v>528</v>
      </c>
      <c r="D27" s="128" t="s">
        <v>552</v>
      </c>
      <c r="E27" s="128" t="s">
        <v>553</v>
      </c>
      <c r="F27" s="127" t="s">
        <v>549</v>
      </c>
      <c r="G27" s="127" t="s">
        <v>505</v>
      </c>
      <c r="H27" s="129"/>
    </row>
    <row r="28" spans="1:8" x14ac:dyDescent="0.3">
      <c r="A28" s="126">
        <v>1</v>
      </c>
      <c r="B28" s="127">
        <v>32004</v>
      </c>
      <c r="C28" s="126" t="s">
        <v>528</v>
      </c>
      <c r="D28" s="128" t="s">
        <v>554</v>
      </c>
      <c r="E28" s="128" t="s">
        <v>555</v>
      </c>
      <c r="F28" s="127" t="s">
        <v>549</v>
      </c>
      <c r="G28" s="127" t="s">
        <v>505</v>
      </c>
      <c r="H28" s="129"/>
    </row>
    <row r="29" spans="1:8" x14ac:dyDescent="0.3">
      <c r="A29" s="126">
        <v>1</v>
      </c>
      <c r="B29" s="127">
        <v>32005</v>
      </c>
      <c r="C29" s="126" t="s">
        <v>528</v>
      </c>
      <c r="D29" s="128" t="s">
        <v>556</v>
      </c>
      <c r="E29" s="128" t="s">
        <v>557</v>
      </c>
      <c r="F29" s="127" t="s">
        <v>549</v>
      </c>
      <c r="G29" s="127" t="s">
        <v>505</v>
      </c>
      <c r="H29" s="129"/>
    </row>
    <row r="30" spans="1:8" x14ac:dyDescent="0.3">
      <c r="A30" s="126">
        <v>1</v>
      </c>
      <c r="B30" s="127">
        <v>32006</v>
      </c>
      <c r="C30" s="126" t="s">
        <v>502</v>
      </c>
      <c r="D30" s="127" t="s">
        <v>558</v>
      </c>
      <c r="E30" s="127" t="s">
        <v>559</v>
      </c>
      <c r="F30" s="127" t="s">
        <v>549</v>
      </c>
      <c r="G30" s="127" t="s">
        <v>505</v>
      </c>
      <c r="H30" s="129"/>
    </row>
    <row r="31" spans="1:8" x14ac:dyDescent="0.3">
      <c r="A31" s="126">
        <v>1</v>
      </c>
      <c r="B31" s="127">
        <v>32007</v>
      </c>
      <c r="C31" s="126" t="s">
        <v>502</v>
      </c>
      <c r="D31" s="127" t="s">
        <v>560</v>
      </c>
      <c r="E31" s="127" t="s">
        <v>561</v>
      </c>
      <c r="F31" s="127" t="s">
        <v>549</v>
      </c>
      <c r="G31" s="127" t="s">
        <v>505</v>
      </c>
    </row>
    <row r="32" spans="1:8" x14ac:dyDescent="0.3">
      <c r="A32" s="126">
        <v>1</v>
      </c>
      <c r="B32" s="127">
        <v>32008</v>
      </c>
      <c r="C32" s="126" t="s">
        <v>502</v>
      </c>
      <c r="D32" s="127" t="s">
        <v>562</v>
      </c>
      <c r="E32" s="127" t="s">
        <v>563</v>
      </c>
      <c r="F32" s="127" t="s">
        <v>549</v>
      </c>
      <c r="G32" s="127" t="s">
        <v>505</v>
      </c>
    </row>
    <row r="33" spans="1:7" x14ac:dyDescent="0.3">
      <c r="A33" s="130"/>
      <c r="B33" s="130"/>
      <c r="C33" s="130"/>
      <c r="F33" s="130"/>
      <c r="G33" s="130"/>
    </row>
    <row r="34" spans="1:7" x14ac:dyDescent="0.3">
      <c r="A34" s="130"/>
      <c r="B34" s="130"/>
      <c r="C34" s="130"/>
      <c r="F34" s="130"/>
      <c r="G34" s="130"/>
    </row>
    <row r="35" spans="1:7" ht="15" customHeight="1" x14ac:dyDescent="0.3"/>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P01</vt:lpstr>
      <vt:lpstr>P02</vt:lpstr>
      <vt:lpstr>P03</vt:lpstr>
      <vt:lpstr>P04</vt:lpstr>
      <vt:lpstr>P05</vt:lpstr>
      <vt:lpstr>P06</vt:lpstr>
      <vt:lpstr>P07</vt:lpstr>
      <vt:lpstr>P08</vt:lpstr>
      <vt:lpstr>P09</vt:lpstr>
      <vt:lpstr>P10</vt:lpstr>
      <vt:lpstr>P11</vt:lpstr>
      <vt:lpstr>P12</vt:lpstr>
      <vt:lpstr>P13</vt:lpstr>
      <vt:lpstr>P14</vt:lpstr>
      <vt:lpstr>P15</vt:lpstr>
      <vt:lpstr>P16</vt:lpstr>
      <vt:lpstr>P17</vt:lpstr>
      <vt:lpstr>CC 01</vt:lpstr>
      <vt:lpstr>Layaout</vt:lpstr>
      <vt:lpstr>Areas</vt:lpstr>
      <vt:lpstr>CC 02</vt:lpstr>
      <vt:lpstr>CC 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Oria</dc:creator>
  <cp:lastModifiedBy>William Oria</cp:lastModifiedBy>
  <dcterms:created xsi:type="dcterms:W3CDTF">2020-06-08T14:09:21Z</dcterms:created>
  <dcterms:modified xsi:type="dcterms:W3CDTF">2025-03-17T19:18:04Z</dcterms:modified>
</cp:coreProperties>
</file>