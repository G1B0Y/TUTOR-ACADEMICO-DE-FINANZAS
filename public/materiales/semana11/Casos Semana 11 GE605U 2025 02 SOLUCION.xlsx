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4-202\Downloads\"/>
    </mc:Choice>
  </mc:AlternateContent>
  <xr:revisionPtr revIDLastSave="0" documentId="13_ncr:1_{F186A3A2-B3F6-445B-99D0-35656A496B56}" xr6:coauthVersionLast="47" xr6:coauthVersionMax="47" xr10:uidLastSave="{00000000-0000-0000-0000-000000000000}"/>
  <bookViews>
    <workbookView xWindow="-120" yWindow="-120" windowWidth="15600" windowHeight="11040" firstSheet="12" activeTab="14" xr2:uid="{00000000-000D-0000-FFFF-FFFF00000000}"/>
  </bookViews>
  <sheets>
    <sheet name="NOTA" sheetId="33" r:id="rId1"/>
    <sheet name="Anexo" sheetId="37" r:id="rId2"/>
    <sheet name="Formulas 01" sheetId="34" r:id="rId3"/>
    <sheet name="Formulas 02" sheetId="35" r:id="rId4"/>
    <sheet name="Formulas EXCEL" sheetId="29" r:id="rId5"/>
    <sheet name="Marco Teorico" sheetId="30" r:id="rId6"/>
    <sheet name="P01" sheetId="27" r:id="rId7"/>
    <sheet name="P02" sheetId="28" r:id="rId8"/>
    <sheet name="P03" sheetId="32" r:id="rId9"/>
    <sheet name="Evaluación créditos" sheetId="38" r:id="rId10"/>
    <sheet name="Sist Francés" sheetId="41" r:id="rId11"/>
    <sheet name="Sist Alemán" sheetId="39" r:id="rId12"/>
    <sheet name="Sist. Americano" sheetId="42" r:id="rId13"/>
    <sheet name="Caso Real" sheetId="43" r:id="rId14"/>
    <sheet name="Decision Prestamo" sheetId="44" r:id="rId15"/>
    <sheet name="Cto Efectivo Credito" sheetId="45" r:id="rId16"/>
    <sheet name="Amort Prest" sheetId="46" r:id="rId17"/>
    <sheet name="Cambio en tasa" sheetId="47" r:id="rId18"/>
    <sheet name="Perpetuidad" sheetId="48" r:id="rId19"/>
    <sheet name="C01" sheetId="49" r:id="rId20"/>
    <sheet name="C02" sheetId="50" r:id="rId21"/>
    <sheet name="C03" sheetId="51" r:id="rId22"/>
    <sheet name="C04" sheetId="52" r:id="rId23"/>
    <sheet name="C05" sheetId="53" r:id="rId24"/>
    <sheet name="Capital Trabajo" sheetId="54" r:id="rId25"/>
    <sheet name="Plantilla CT" sheetId="55" r:id="rId26"/>
    <sheet name="Caso Canguro" sheetId="56" r:id="rId27"/>
    <sheet name="Ciclo Conversion Efectivo" sheetId="57" r:id="rId28"/>
    <sheet name="Ciclo Operativo Caja" sheetId="58" r:id="rId29"/>
    <sheet name="CT 01" sheetId="59" r:id="rId30"/>
    <sheet name="CT 02" sheetId="60" r:id="rId31"/>
    <sheet name="CT 03" sheetId="61" r:id="rId32"/>
    <sheet name="CT 04" sheetId="62" r:id="rId33"/>
    <sheet name="CT 05" sheetId="63" r:id="rId34"/>
    <sheet name="CPPC" sheetId="64" r:id="rId35"/>
    <sheet name="ESF" sheetId="65" r:id="rId36"/>
    <sheet name="EERR" sheetId="66" r:id="rId37"/>
    <sheet name="Calculo CPPC" sheetId="67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HWB1" localSheetId="8">#REF!</definedName>
    <definedName name="_HWB1">#REF!</definedName>
    <definedName name="_hwb2" localSheetId="8">#REF!</definedName>
    <definedName name="_hwb2">#REF!</definedName>
    <definedName name="_hwb3" localSheetId="8">#REF!</definedName>
    <definedName name="_hwb3">#REF!</definedName>
    <definedName name="_hwb4" localSheetId="8">#REF!</definedName>
    <definedName name="_hwb4">#REF!</definedName>
    <definedName name="_hwb5" localSheetId="8">#REF!</definedName>
    <definedName name="_hwb5">#REF!</definedName>
    <definedName name="_hwb6" localSheetId="8">#REF!</definedName>
    <definedName name="_hwb6">#REF!</definedName>
    <definedName name="Abgrenzung">'[1]#REF'!$J$1:$X$27</definedName>
    <definedName name="activo">#REF!</definedName>
    <definedName name="Añitos">#REF!</definedName>
    <definedName name="AÑOS">#REF!</definedName>
    <definedName name="APPL">'[2]BG2B.XLS'!#REF!</definedName>
    <definedName name="_xlnm.Print_Area" localSheetId="2">'Formulas 01'!$A$1:$J$107</definedName>
    <definedName name="Área_impressão_IM" localSheetId="8">#REF!</definedName>
    <definedName name="Área_impressão_IM">#REF!</definedName>
    <definedName name="B_Zeitraum">'[1]#REF'!$E$15</definedName>
    <definedName name="Berichtsjahr">[3]Eingabe!$B$7</definedName>
    <definedName name="Berichtszeitraum">[3]Eingabe!#REF!</definedName>
    <definedName name="BGKZ">'[1]#REF'!#REF!</definedName>
    <definedName name="BGKZ1">'[1]#REF'!#REF!</definedName>
    <definedName name="BGKZ2">'[1]#REF'!#REF!</definedName>
    <definedName name="BGKZ3">'[1]#REF'!#REF!</definedName>
    <definedName name="BGKZ4">'[1]#REF'!#REF!</definedName>
    <definedName name="BGKZ5">'[1]#REF'!#REF!</definedName>
    <definedName name="BGKZ6">'[1]#REF'!#REF!</definedName>
    <definedName name="BJ">'[1]#REF'!$B$38</definedName>
    <definedName name="BM">'[1]#REF'!#REF!</definedName>
    <definedName name="BM_1">'[1]#REF'!#REF!</definedName>
    <definedName name="BMONAT">'[1]#REF'!#REF!</definedName>
    <definedName name="Brand_1">[4]Input!$F$50</definedName>
    <definedName name="Brand_2">[4]Input!$F$52</definedName>
    <definedName name="Brand_3">[4]Input!$F$54</definedName>
    <definedName name="Brand_4">[4]Input!$F$56</definedName>
    <definedName name="Brand_5">[4]Input!$F$58</definedName>
    <definedName name="Brand_6">[4]Input!$F$60</definedName>
    <definedName name="Brand_7">[4]Input!$F$62</definedName>
    <definedName name="cat">'[2]BG2B.XLS'!#REF!</definedName>
    <definedName name="CodNotaDeCredito">#REF!</definedName>
    <definedName name="CodNotaDeDebito">#REF!</definedName>
    <definedName name="COMP">'[2]BG2B.XLS'!#REF!</definedName>
    <definedName name="COSTO_CAPITAL" localSheetId="37">#REF!</definedName>
    <definedName name="COSTO_CAPITAL" localSheetId="8">#REF!</definedName>
    <definedName name="COSTO_CAPITAL">#REF!</definedName>
    <definedName name="CPPC" localSheetId="37">#REF!</definedName>
    <definedName name="CPPC" localSheetId="8">#REF!</definedName>
    <definedName name="CPPC">#REF!</definedName>
    <definedName name="cr">[5]JAN!#REF!</definedName>
    <definedName name="dr" localSheetId="8">#REF!</definedName>
    <definedName name="dr">#REF!</definedName>
    <definedName name="Ersteller">[3]Eingabe!$B$10</definedName>
    <definedName name="EVA" localSheetId="37">#REF!</definedName>
    <definedName name="EVA" localSheetId="8">#REF!</definedName>
    <definedName name="EVA">#REF!</definedName>
    <definedName name="Fabrik_1">'[1]#REF'!$AI$24</definedName>
    <definedName name="Fabrik_2">'[1]#REF'!$AI$26</definedName>
    <definedName name="Fabrik_3">'[1]#REF'!$AI$28</definedName>
    <definedName name="Fabrik_4">'[1]#REF'!$AS$24</definedName>
    <definedName name="Fabrik_5">'[1]#REF'!$AS$26</definedName>
    <definedName name="Fabrik_6">'[1]#REF'!$AS$28</definedName>
    <definedName name="FACTBOL">#REF!</definedName>
    <definedName name="FAFEKZ">'[1]#REF'!#REF!</definedName>
    <definedName name="FAFEKZ1">'[1]#REF'!#REF!</definedName>
    <definedName name="FAFEKZ10">'[1]#REF'!#REF!</definedName>
    <definedName name="FAFEKZ11">'[1]#REF'!#REF!</definedName>
    <definedName name="FAFEKZ12">'[1]#REF'!#REF!</definedName>
    <definedName name="FAFEKZ13">'[1]#REF'!#REF!</definedName>
    <definedName name="FAFEKZ14">'[1]#REF'!#REF!</definedName>
    <definedName name="FAFEKZ15">'[1]#REF'!#REF!</definedName>
    <definedName name="FAFEKZ16">'[1]#REF'!#REF!</definedName>
    <definedName name="FAFEKZ2">'[1]#REF'!#REF!</definedName>
    <definedName name="FAFEKZ3">'[1]#REF'!#REF!</definedName>
    <definedName name="FAFEKZ4">'[1]#REF'!#REF!</definedName>
    <definedName name="FAFEKZ5">'[1]#REF'!#REF!</definedName>
    <definedName name="FAFEKZ6">'[1]#REF'!#REF!</definedName>
    <definedName name="FAFEKZ7">'[1]#REF'!#REF!</definedName>
    <definedName name="FAFEKZ8">'[1]#REF'!#REF!</definedName>
    <definedName name="FAFEKZ9">'[1]#REF'!#REF!</definedName>
    <definedName name="FAK_with_Figs">[6]Input_Eingabewerte!$J$1:$P$31</definedName>
    <definedName name="FEK_with_Figs">[6]Input_Eingabewerte!$A$1:$G$31</definedName>
    <definedName name="FGK_und_FEK">[6]Ausdruck!$AA$1:$AT$32</definedName>
    <definedName name="FGK_with_Figs">[6]Input_Eingabewerte!$S$1:$Y$31</definedName>
    <definedName name="FIK_with_Figs">[6]Input_Eingabewerte!$AK$1:$AQ$31</definedName>
    <definedName name="FIS_1">'[1]#REF'!$J$1:$X$40</definedName>
    <definedName name="FIS_2">'[1]#REF'!$J$1:$X$40</definedName>
    <definedName name="FIS_3">'[1]#REF'!$J$1:$X$40</definedName>
    <definedName name="FIS_4">'[1]#REF'!$J$1:$X$40</definedName>
    <definedName name="FIS_5">'[1]#REF'!$J$1:$X$40</definedName>
    <definedName name="FIS_6">'[1]#REF'!$J$1:$X$40</definedName>
    <definedName name="FIS_Summe">'[1]#REF'!$J$1:$X$40</definedName>
    <definedName name="Gefrieren" localSheetId="8">#REF!</definedName>
    <definedName name="Gefrieren">#REF!</definedName>
    <definedName name="Gesamt">'[1]#REF'!$J$1:$X$53</definedName>
    <definedName name="_xlnm.Recorder" localSheetId="8">#REF!</definedName>
    <definedName name="_xlnm.Recorder">#REF!</definedName>
    <definedName name="hb" localSheetId="8">#REF!</definedName>
    <definedName name="hb">#REF!</definedName>
    <definedName name="HTML_CodePage" hidden="1">1252</definedName>
    <definedName name="HTML_Control" localSheetId="37" hidden="1">{"'Sheet1'!$A$1:$G$85"}</definedName>
    <definedName name="HTML_Control" localSheetId="28" hidden="1">{"'Sheet1'!$A$1:$G$85"}</definedName>
    <definedName name="HTML_Control" localSheetId="32" hidden="1">{"'Sheet1'!$A$1:$G$85"}</definedName>
    <definedName name="HTML_Control" localSheetId="8" hidden="1">{"'Sheet1'!$A$1:$G$85"}</definedName>
    <definedName name="HTML_Control" localSheetId="25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WB" localSheetId="8">#REF!</definedName>
    <definedName name="HWB">#REF!</definedName>
    <definedName name="hwg">'[7] Kostenstruktur Fab.'!$D$1:$AH$53</definedName>
    <definedName name="i" localSheetId="8">#REF!</definedName>
    <definedName name="i">#REF!</definedName>
    <definedName name="Input">'[1]#REF'!$A$1:$U$27</definedName>
    <definedName name="Jahr">'[1]#REF'!$F$21</definedName>
    <definedName name="kasten" localSheetId="8">#REF!</definedName>
    <definedName name="kasten">#REF!</definedName>
    <definedName name="KD_1">'[1]#REF'!$AI$19</definedName>
    <definedName name="KD_2">'[1]#REF'!$AS$19</definedName>
    <definedName name="konto">'[2]BG2B.XLS'!#REF!</definedName>
    <definedName name="konto2">'[1]#REF'!$C:$C</definedName>
    <definedName name="Konzern">'[1]#REF'!$Q$17:$AJ$41</definedName>
    <definedName name="Kühlen" localSheetId="8">#REF!</definedName>
    <definedName name="Kühlen">#REF!</definedName>
    <definedName name="Kurs">'[8]Material und UE-Bestand'!$J$1</definedName>
    <definedName name="lINEAS">#REF!</definedName>
    <definedName name="LISTA_DE_RUCS">OFFSET(#REF!,0,0,COUNTA(#REF!)-1,1)</definedName>
    <definedName name="MARKE">'[1]#REF'!#REF!</definedName>
    <definedName name="Marke_1">'[1]#REF'!$AI$3</definedName>
    <definedName name="Marke_10">'[1]#REF'!$AS$13</definedName>
    <definedName name="Marke_2">'[1]#REF'!$AI$5</definedName>
    <definedName name="Marke_3">'[1]#REF'!$AI$7</definedName>
    <definedName name="Marke_4">'[1]#REF'!$AI$9</definedName>
    <definedName name="Marke_5">'[1]#REF'!$AS$3</definedName>
    <definedName name="Marke_6">'[1]#REF'!$AS$5</definedName>
    <definedName name="Marke_7">'[1]#REF'!$AS$7</definedName>
    <definedName name="Marke_8">'[1]#REF'!$AS$9</definedName>
    <definedName name="Marke_9">'[1]#REF'!$AI$13</definedName>
    <definedName name="MESES">#REF!</definedName>
    <definedName name="mesesitos">#REF!</definedName>
    <definedName name="NOPAT" localSheetId="37">#REF!</definedName>
    <definedName name="NOPAT" localSheetId="8">#REF!</definedName>
    <definedName name="NOPAT">#REF!</definedName>
    <definedName name="NOTACREDE">#REF!</definedName>
    <definedName name="Novembro" localSheetId="8">#REF!</definedName>
    <definedName name="Novembro">#REF!</definedName>
    <definedName name="Organisationseinheit">'[1]#REF'!$D$9</definedName>
    <definedName name="p" localSheetId="8">#REF!</definedName>
    <definedName name="p">#REF!</definedName>
    <definedName name="PATRIMONIO_TOTAL" localSheetId="37">#REF!</definedName>
    <definedName name="PATRIMONIO_TOTAL" localSheetId="8">#REF!</definedName>
    <definedName name="PATRIMONIO_TOTAL">#REF!</definedName>
    <definedName name="per">'[2]BG2B.XLS'!#REF!</definedName>
    <definedName name="PFJ">'[1]#REF'!#REF!</definedName>
    <definedName name="PFJG">'[1]#REF'!#REF!</definedName>
    <definedName name="PJ">'[1]#REF'!#REF!</definedName>
    <definedName name="PJG">'[1]#REF'!$B$46</definedName>
    <definedName name="plan">'[1]#REF'!#REF!</definedName>
    <definedName name="PM">'[1]#REF'!#REF!</definedName>
    <definedName name="PRODUCTOS">[9]Data!$A$2:$A$4</definedName>
    <definedName name="Ruc">#REF!</definedName>
    <definedName name="RutaChrome">#REF!</definedName>
    <definedName name="RutaPrincipal">#REF!</definedName>
    <definedName name="RutaRaiz">#REF!</definedName>
    <definedName name="SAPBEXdnldView" hidden="1">"417AMDMDQS7UR8HIDDZVOOX0Y"</definedName>
    <definedName name="SAPBEXsysID" hidden="1">"E0P"</definedName>
    <definedName name="SERIEB">#REF!</definedName>
    <definedName name="SERIEF">#REF!</definedName>
    <definedName name="SERIENC">#REF!</definedName>
    <definedName name="SERIEND">#REF!</definedName>
    <definedName name="SheetPrintArea2" localSheetId="8">#REF!</definedName>
    <definedName name="SheetPrintArea2">#REF!</definedName>
    <definedName name="SheetPrintArea3" localSheetId="8">#REF!</definedName>
    <definedName name="SheetPrintArea3">#REF!</definedName>
    <definedName name="SIS_1">'[1]#REF'!$J$1:$X$74</definedName>
    <definedName name="SIS_2">'[1]#REF'!$J$1:$X$74</definedName>
    <definedName name="SIS_3">'[1]#REF'!$J$1:$X$74</definedName>
    <definedName name="SIS_4">'[1]#REF'!$J$1:$X$74</definedName>
    <definedName name="SIS_5">'[1]#REF'!$J$1:$X$74</definedName>
    <definedName name="SIS_Summe">'[1]#REF'!$J$1:$X$74</definedName>
    <definedName name="Spanien">'[1]#REF'!$A$1:$P$37</definedName>
    <definedName name="Sprache">'[1]#REF'!$I$8</definedName>
    <definedName name="Sprachwahl">'[1]#REF'!$I$8</definedName>
    <definedName name="SubMenu1" localSheetId="8" hidden="1">#REF!</definedName>
    <definedName name="SubMenu1" hidden="1">#REF!</definedName>
    <definedName name="SubMenu2" localSheetId="8" hidden="1">#REF!</definedName>
    <definedName name="SubMenu2" hidden="1">#REF!</definedName>
    <definedName name="SubMenu3" localSheetId="8" hidden="1">#REF!</definedName>
    <definedName name="SubMenu3" hidden="1">#REF!</definedName>
    <definedName name="SubMenu4" localSheetId="8" hidden="1">#REF!</definedName>
    <definedName name="SubMenu4" hidden="1">#REF!</definedName>
    <definedName name="SubMenu5" localSheetId="8" hidden="1">#REF!</definedName>
    <definedName name="SubMenu5" hidden="1">#REF!</definedName>
    <definedName name="SubMenu6" localSheetId="8" hidden="1">#REF!</definedName>
    <definedName name="SubMenu6" hidden="1">#REF!</definedName>
    <definedName name="TOTAL" localSheetId="8">#REF!</definedName>
    <definedName name="TOTAL">#REF!</definedName>
    <definedName name="Translation">'[1]#REF'!$A$3:$B$169</definedName>
    <definedName name="TxEncMes">[5]JAN!#REF!</definedName>
    <definedName name="Übertragungsbereich">'[1]#REF'!#REF!</definedName>
    <definedName name="v" localSheetId="8">#REF!</definedName>
    <definedName name="v">#REF!</definedName>
    <definedName name="VIST">'[1]#REF'!#REF!</definedName>
    <definedName name="VJ">'[1]#REF'!#REF!</definedName>
    <definedName name="VJG">'[1]#REF'!$B$51</definedName>
    <definedName name="VM">'[1]#REF'!#REF!</definedName>
    <definedName name="VVJG">'[1]#REF'!#REF!</definedName>
    <definedName name="w" localSheetId="8">#REF!</definedName>
    <definedName name="w">#REF!</definedName>
    <definedName name="Währung">'[1]#REF'!$E$27</definedName>
    <definedName name="WSKIst99">[10]A_A11!#REF!</definedName>
    <definedName name="WSKPlan00">[10]A_A11!#REF!</definedName>
    <definedName name="WSKPlan01">[10]A_A11!#REF!</definedName>
    <definedName name="WSKVist00">[10]A_A11!#REF!</definedName>
    <definedName name="Zeit">'[1]#REF'!#REF!</definedName>
    <definedName name="ZPLA">'[1]#REF'!#REF!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6" i="44" l="1"/>
  <c r="I46" i="44"/>
  <c r="H46" i="44"/>
  <c r="G46" i="44"/>
  <c r="F46" i="44"/>
  <c r="E46" i="44"/>
  <c r="D46" i="44"/>
  <c r="C46" i="44"/>
  <c r="E25" i="44"/>
  <c r="D25" i="44"/>
  <c r="C25" i="44"/>
  <c r="G19" i="44"/>
  <c r="B19" i="44"/>
  <c r="J26" i="44" s="1"/>
  <c r="H7" i="44"/>
  <c r="C7" i="44"/>
  <c r="H18" i="42"/>
  <c r="H16" i="42"/>
  <c r="H15" i="42"/>
  <c r="H14" i="42"/>
  <c r="H13" i="42"/>
  <c r="H12" i="42"/>
  <c r="H17" i="42"/>
  <c r="F18" i="42"/>
  <c r="D18" i="42"/>
  <c r="F17" i="42"/>
  <c r="F16" i="42"/>
  <c r="F15" i="42"/>
  <c r="F14" i="42"/>
  <c r="F13" i="42"/>
  <c r="F12" i="42"/>
  <c r="D17" i="42"/>
  <c r="D16" i="42"/>
  <c r="D15" i="42"/>
  <c r="D14" i="42"/>
  <c r="D13" i="42"/>
  <c r="D12" i="42"/>
  <c r="H11" i="42"/>
  <c r="E17" i="42"/>
  <c r="E6" i="42"/>
  <c r="C17" i="39"/>
  <c r="D17" i="39"/>
  <c r="F17" i="39" s="1"/>
  <c r="H17" i="39" s="1"/>
  <c r="C16" i="39"/>
  <c r="D16" i="39"/>
  <c r="C15" i="39"/>
  <c r="D15" i="39"/>
  <c r="F15" i="39" s="1"/>
  <c r="H15" i="39" s="1"/>
  <c r="C14" i="39"/>
  <c r="D14" i="39"/>
  <c r="F14" i="39" s="1"/>
  <c r="H14" i="39" s="1"/>
  <c r="C13" i="39"/>
  <c r="D13" i="39"/>
  <c r="F13" i="39" s="1"/>
  <c r="H13" i="39" s="1"/>
  <c r="F16" i="39"/>
  <c r="H16" i="39" s="1"/>
  <c r="C12" i="39"/>
  <c r="E6" i="39"/>
  <c r="D12" i="39"/>
  <c r="F12" i="39" s="1"/>
  <c r="H12" i="39" s="1"/>
  <c r="H11" i="39"/>
  <c r="C11" i="39"/>
  <c r="E14" i="39"/>
  <c r="E15" i="39" s="1"/>
  <c r="E16" i="39" s="1"/>
  <c r="E17" i="39" s="1"/>
  <c r="E13" i="39"/>
  <c r="E12" i="39"/>
  <c r="C9" i="39"/>
  <c r="H17" i="41"/>
  <c r="E17" i="41"/>
  <c r="D17" i="41"/>
  <c r="C16" i="41"/>
  <c r="E16" i="41"/>
  <c r="D16" i="41"/>
  <c r="C15" i="41"/>
  <c r="E15" i="41"/>
  <c r="D15" i="41"/>
  <c r="C14" i="41"/>
  <c r="E14" i="41"/>
  <c r="D14" i="41"/>
  <c r="C13" i="41"/>
  <c r="E13" i="41"/>
  <c r="D13" i="41"/>
  <c r="H16" i="41"/>
  <c r="H15" i="41"/>
  <c r="H14" i="41"/>
  <c r="H13" i="41"/>
  <c r="H12" i="41"/>
  <c r="C12" i="41"/>
  <c r="E12" i="41"/>
  <c r="D12" i="41"/>
  <c r="C11" i="41"/>
  <c r="C10" i="41"/>
  <c r="H10" i="41"/>
  <c r="H11" i="41"/>
  <c r="E11" i="41"/>
  <c r="D11" i="41"/>
  <c r="F17" i="41"/>
  <c r="F13" i="41"/>
  <c r="F14" i="41" s="1"/>
  <c r="F15" i="41" s="1"/>
  <c r="F16" i="41" s="1"/>
  <c r="F12" i="41"/>
  <c r="F11" i="41"/>
  <c r="E8" i="41"/>
  <c r="E6" i="41"/>
  <c r="B22" i="28"/>
  <c r="D15" i="28"/>
  <c r="D9" i="28"/>
  <c r="D19" i="27"/>
  <c r="G13" i="27"/>
  <c r="G10" i="27"/>
  <c r="E7" i="27"/>
  <c r="D4" i="27"/>
  <c r="P20" i="30"/>
  <c r="P10" i="30"/>
  <c r="R2" i="30"/>
  <c r="I63" i="30"/>
  <c r="J51" i="30"/>
  <c r="I38" i="30"/>
  <c r="I30" i="30"/>
  <c r="I10" i="30"/>
  <c r="B26" i="35"/>
  <c r="L14" i="67"/>
  <c r="K14" i="67"/>
  <c r="J14" i="67"/>
  <c r="I14" i="67"/>
  <c r="H14" i="67"/>
  <c r="L13" i="67"/>
  <c r="K13" i="67"/>
  <c r="J13" i="67"/>
  <c r="I13" i="67"/>
  <c r="H13" i="67"/>
  <c r="G37" i="66"/>
  <c r="F37" i="66"/>
  <c r="E37" i="66"/>
  <c r="D37" i="66"/>
  <c r="C37" i="66"/>
  <c r="G36" i="66"/>
  <c r="F36" i="66"/>
  <c r="E36" i="66"/>
  <c r="D36" i="66"/>
  <c r="C36" i="66"/>
  <c r="G35" i="66"/>
  <c r="F35" i="66"/>
  <c r="L35" i="66" s="1"/>
  <c r="E35" i="66"/>
  <c r="D35" i="66"/>
  <c r="C35" i="66"/>
  <c r="G34" i="66"/>
  <c r="F34" i="66"/>
  <c r="E34" i="66"/>
  <c r="D34" i="66"/>
  <c r="J34" i="66" s="1"/>
  <c r="C34" i="66"/>
  <c r="I34" i="66" s="1"/>
  <c r="J33" i="66"/>
  <c r="G33" i="66"/>
  <c r="F33" i="66"/>
  <c r="F38" i="66" s="1"/>
  <c r="E33" i="66"/>
  <c r="D33" i="66"/>
  <c r="D38" i="66" s="1"/>
  <c r="C33" i="66"/>
  <c r="C38" i="66" s="1"/>
  <c r="G29" i="66"/>
  <c r="F28" i="66"/>
  <c r="G27" i="66"/>
  <c r="E14" i="66"/>
  <c r="E10" i="66"/>
  <c r="C10" i="66"/>
  <c r="C14" i="66" s="1"/>
  <c r="G8" i="66"/>
  <c r="F8" i="66"/>
  <c r="F10" i="66" s="1"/>
  <c r="F14" i="66" s="1"/>
  <c r="E8" i="66"/>
  <c r="D8" i="66"/>
  <c r="D10" i="66" s="1"/>
  <c r="D14" i="66" s="1"/>
  <c r="C8" i="66"/>
  <c r="E2" i="66"/>
  <c r="D2" i="66"/>
  <c r="E45" i="65"/>
  <c r="D45" i="65"/>
  <c r="C45" i="65"/>
  <c r="F42" i="65"/>
  <c r="F45" i="65" s="1"/>
  <c r="E42" i="65"/>
  <c r="D42" i="65"/>
  <c r="C42" i="65"/>
  <c r="K40" i="65"/>
  <c r="J39" i="65"/>
  <c r="G39" i="65"/>
  <c r="G42" i="65" s="1"/>
  <c r="G45" i="65" s="1"/>
  <c r="D39" i="65"/>
  <c r="K32" i="65"/>
  <c r="L32" i="65" s="1"/>
  <c r="L40" i="65" s="1"/>
  <c r="J32" i="65"/>
  <c r="J40" i="65" s="1"/>
  <c r="K39" i="65" s="1"/>
  <c r="L39" i="65" s="1"/>
  <c r="D29" i="65"/>
  <c r="G28" i="65"/>
  <c r="F28" i="65"/>
  <c r="E28" i="65"/>
  <c r="E29" i="65" s="1"/>
  <c r="D28" i="65"/>
  <c r="C28" i="65"/>
  <c r="G22" i="65"/>
  <c r="G29" i="65" s="1"/>
  <c r="F22" i="65"/>
  <c r="E22" i="65"/>
  <c r="D22" i="65"/>
  <c r="C22" i="65"/>
  <c r="C29" i="65" s="1"/>
  <c r="B14" i="63"/>
  <c r="B7" i="63"/>
  <c r="B6" i="63"/>
  <c r="B4" i="63"/>
  <c r="B5" i="63" s="1"/>
  <c r="B8" i="63" s="1"/>
  <c r="C13" i="62"/>
  <c r="C15" i="62" s="1"/>
  <c r="C11" i="62"/>
  <c r="C12" i="62" s="1"/>
  <c r="C10" i="62"/>
  <c r="K8" i="61"/>
  <c r="J8" i="61"/>
  <c r="I8" i="61"/>
  <c r="H8" i="61"/>
  <c r="G8" i="61"/>
  <c r="F8" i="61"/>
  <c r="E8" i="61"/>
  <c r="D8" i="61"/>
  <c r="C8" i="61"/>
  <c r="B8" i="61"/>
  <c r="B9" i="61" s="1"/>
  <c r="C30" i="60"/>
  <c r="C31" i="60" s="1"/>
  <c r="C36" i="60" s="1"/>
  <c r="C38" i="60" s="1"/>
  <c r="C26" i="60"/>
  <c r="C24" i="60"/>
  <c r="C23" i="60"/>
  <c r="C19" i="60"/>
  <c r="C18" i="60"/>
  <c r="C38" i="59"/>
  <c r="D38" i="59" s="1"/>
  <c r="E38" i="59" s="1"/>
  <c r="F38" i="59" s="1"/>
  <c r="C37" i="59"/>
  <c r="B36" i="59"/>
  <c r="B38" i="59" s="1"/>
  <c r="C35" i="59"/>
  <c r="C34" i="59"/>
  <c r="C33" i="59"/>
  <c r="C32" i="59"/>
  <c r="C24" i="59"/>
  <c r="C23" i="59"/>
  <c r="C22" i="59"/>
  <c r="C26" i="59" s="1"/>
  <c r="C21" i="59"/>
  <c r="B31" i="58"/>
  <c r="B30" i="58"/>
  <c r="B14" i="58"/>
  <c r="B16" i="58" s="1"/>
  <c r="C30" i="58" s="1"/>
  <c r="B7" i="58"/>
  <c r="B6" i="58"/>
  <c r="B5" i="58"/>
  <c r="F33" i="57"/>
  <c r="F28" i="57"/>
  <c r="F45" i="57" s="1"/>
  <c r="E46" i="56"/>
  <c r="E47" i="56" s="1"/>
  <c r="E45" i="56"/>
  <c r="E44" i="56"/>
  <c r="E41" i="56"/>
  <c r="E40" i="56"/>
  <c r="C21" i="56"/>
  <c r="F16" i="56"/>
  <c r="F15" i="56"/>
  <c r="F17" i="56" s="1"/>
  <c r="D50" i="55"/>
  <c r="D53" i="55" s="1"/>
  <c r="E53" i="55" s="1"/>
  <c r="D48" i="55"/>
  <c r="D46" i="55"/>
  <c r="D38" i="55"/>
  <c r="D33" i="55"/>
  <c r="D28" i="55"/>
  <c r="D20" i="55"/>
  <c r="D22" i="55" s="1"/>
  <c r="D12" i="55"/>
  <c r="B39" i="53"/>
  <c r="B32" i="53"/>
  <c r="B25" i="53"/>
  <c r="B44" i="53" s="1"/>
  <c r="B53" i="53" s="1"/>
  <c r="D34" i="52"/>
  <c r="C36" i="52" s="1"/>
  <c r="A34" i="52"/>
  <c r="C15" i="52"/>
  <c r="F21" i="51"/>
  <c r="E21" i="51"/>
  <c r="F20" i="51"/>
  <c r="B20" i="51"/>
  <c r="D15" i="51"/>
  <c r="F13" i="51"/>
  <c r="B14" i="51" s="1"/>
  <c r="E13" i="51"/>
  <c r="C21" i="51" s="1"/>
  <c r="D13" i="51"/>
  <c r="D14" i="51" s="1"/>
  <c r="C13" i="51"/>
  <c r="D23" i="50"/>
  <c r="B25" i="50" s="1"/>
  <c r="B30" i="50" s="1"/>
  <c r="B22" i="50"/>
  <c r="B55" i="49"/>
  <c r="D49" i="49"/>
  <c r="D47" i="49"/>
  <c r="B35" i="49"/>
  <c r="D27" i="49"/>
  <c r="D26" i="49"/>
  <c r="D25" i="49"/>
  <c r="H6" i="49"/>
  <c r="H5" i="49"/>
  <c r="B13" i="48"/>
  <c r="H10" i="48"/>
  <c r="G39" i="47"/>
  <c r="F39" i="47"/>
  <c r="F37" i="47"/>
  <c r="G37" i="47" s="1"/>
  <c r="F36" i="47"/>
  <c r="D36" i="47"/>
  <c r="G35" i="47"/>
  <c r="G34" i="47"/>
  <c r="G33" i="47"/>
  <c r="D28" i="47"/>
  <c r="F38" i="47" s="1"/>
  <c r="C10" i="47"/>
  <c r="C11" i="47" s="1"/>
  <c r="D6" i="47"/>
  <c r="B40" i="46"/>
  <c r="C37" i="46"/>
  <c r="E36" i="46"/>
  <c r="D36" i="46"/>
  <c r="C31" i="46"/>
  <c r="G23" i="46"/>
  <c r="F23" i="46"/>
  <c r="B23" i="46"/>
  <c r="J21" i="46"/>
  <c r="J23" i="46" s="1"/>
  <c r="H21" i="46"/>
  <c r="G21" i="46"/>
  <c r="F21" i="46"/>
  <c r="E21" i="46"/>
  <c r="E23" i="46" s="1"/>
  <c r="D21" i="46"/>
  <c r="D23" i="46" s="1"/>
  <c r="D20" i="46"/>
  <c r="D19" i="46" s="1"/>
  <c r="D18" i="46" s="1"/>
  <c r="C20" i="46"/>
  <c r="J14" i="46"/>
  <c r="D14" i="46"/>
  <c r="C21" i="46" s="1"/>
  <c r="C19" i="46" s="1"/>
  <c r="C18" i="46" s="1"/>
  <c r="C25" i="45"/>
  <c r="D25" i="45" s="1"/>
  <c r="E25" i="45" s="1"/>
  <c r="F25" i="45" s="1"/>
  <c r="G25" i="45" s="1"/>
  <c r="H25" i="45" s="1"/>
  <c r="C24" i="45"/>
  <c r="C23" i="45"/>
  <c r="C16" i="45"/>
  <c r="C7" i="45"/>
  <c r="B21" i="45" s="1"/>
  <c r="J49" i="44"/>
  <c r="I49" i="44"/>
  <c r="H49" i="44"/>
  <c r="G49" i="44"/>
  <c r="F49" i="44"/>
  <c r="E49" i="44"/>
  <c r="D49" i="44"/>
  <c r="C49" i="44"/>
  <c r="G48" i="44"/>
  <c r="F48" i="44"/>
  <c r="E48" i="44"/>
  <c r="I45" i="44"/>
  <c r="B44" i="44"/>
  <c r="B53" i="44" s="1"/>
  <c r="C40" i="44"/>
  <c r="H45" i="44" s="1"/>
  <c r="J28" i="44"/>
  <c r="I28" i="44"/>
  <c r="H28" i="44"/>
  <c r="G28" i="44"/>
  <c r="F28" i="44"/>
  <c r="E28" i="44"/>
  <c r="D28" i="44"/>
  <c r="C28" i="44"/>
  <c r="J27" i="44"/>
  <c r="I27" i="44"/>
  <c r="B23" i="44"/>
  <c r="G8" i="44"/>
  <c r="B8" i="44"/>
  <c r="F27" i="44" s="1"/>
  <c r="H82" i="43"/>
  <c r="H81" i="43"/>
  <c r="H80" i="43"/>
  <c r="H79" i="43"/>
  <c r="H78" i="43"/>
  <c r="H77" i="43"/>
  <c r="H76" i="43"/>
  <c r="H75" i="43"/>
  <c r="H74" i="43"/>
  <c r="H73" i="43"/>
  <c r="H83" i="43" s="1"/>
  <c r="J68" i="43"/>
  <c r="H60" i="43"/>
  <c r="H59" i="43"/>
  <c r="H58" i="43"/>
  <c r="H57" i="43"/>
  <c r="H56" i="43"/>
  <c r="H55" i="43"/>
  <c r="H54" i="43"/>
  <c r="H53" i="43"/>
  <c r="H52" i="43"/>
  <c r="H61" i="43" s="1"/>
  <c r="H51" i="43"/>
  <c r="G51" i="43" s="1"/>
  <c r="G52" i="43" s="1"/>
  <c r="J46" i="43"/>
  <c r="H40" i="43"/>
  <c r="G31" i="43"/>
  <c r="I32" i="43" s="1"/>
  <c r="J32" i="43" s="1"/>
  <c r="G30" i="43"/>
  <c r="J25" i="43"/>
  <c r="J3" i="43"/>
  <c r="J9" i="43" s="1"/>
  <c r="I31" i="38"/>
  <c r="H31" i="38"/>
  <c r="D31" i="38"/>
  <c r="C31" i="38"/>
  <c r="I30" i="38"/>
  <c r="H30" i="38"/>
  <c r="G30" i="38"/>
  <c r="F30" i="38"/>
  <c r="E30" i="38"/>
  <c r="D30" i="38"/>
  <c r="C30" i="38"/>
  <c r="D20" i="38"/>
  <c r="E19" i="38"/>
  <c r="D19" i="38"/>
  <c r="C19" i="38"/>
  <c r="C15" i="38"/>
  <c r="E15" i="38" s="1"/>
  <c r="E14" i="38"/>
  <c r="D14" i="38"/>
  <c r="C14" i="38"/>
  <c r="D9" i="38"/>
  <c r="D15" i="38" s="1"/>
  <c r="C9" i="38"/>
  <c r="D8" i="38"/>
  <c r="C8" i="38"/>
  <c r="F29" i="35"/>
  <c r="F28" i="35"/>
  <c r="F27" i="35"/>
  <c r="C27" i="35"/>
  <c r="F26" i="35"/>
  <c r="C26" i="35"/>
  <c r="D91" i="34"/>
  <c r="E91" i="34" s="1"/>
  <c r="D89" i="34"/>
  <c r="E89" i="34" s="1"/>
  <c r="E80" i="34"/>
  <c r="D80" i="34"/>
  <c r="E78" i="34"/>
  <c r="D78" i="34"/>
  <c r="D70" i="34"/>
  <c r="E70" i="34" s="1"/>
  <c r="E68" i="34"/>
  <c r="D68" i="34"/>
  <c r="E60" i="34"/>
  <c r="D60" i="34"/>
  <c r="E58" i="34"/>
  <c r="D58" i="34"/>
  <c r="D50" i="34"/>
  <c r="E50" i="34" s="1"/>
  <c r="E48" i="34"/>
  <c r="D48" i="34"/>
  <c r="E40" i="34"/>
  <c r="D40" i="34"/>
  <c r="E38" i="34"/>
  <c r="D38" i="34"/>
  <c r="D30" i="34"/>
  <c r="E30" i="34" s="1"/>
  <c r="E28" i="34"/>
  <c r="D28" i="34"/>
  <c r="E20" i="34"/>
  <c r="D20" i="34"/>
  <c r="E18" i="34"/>
  <c r="D18" i="34"/>
  <c r="D10" i="34"/>
  <c r="E10" i="34" s="1"/>
  <c r="E8" i="34"/>
  <c r="D8" i="34"/>
  <c r="C29" i="44" l="1"/>
  <c r="C27" i="44"/>
  <c r="E27" i="44"/>
  <c r="F45" i="44"/>
  <c r="C50" i="44"/>
  <c r="D27" i="44"/>
  <c r="G27" i="44"/>
  <c r="G45" i="44"/>
  <c r="H27" i="44"/>
  <c r="C26" i="44"/>
  <c r="C30" i="44" s="1"/>
  <c r="C32" i="44" s="1"/>
  <c r="H26" i="44"/>
  <c r="I26" i="44"/>
  <c r="I53" i="43"/>
  <c r="G53" i="43"/>
  <c r="D20" i="66"/>
  <c r="D24" i="66"/>
  <c r="J16" i="43"/>
  <c r="E54" i="55"/>
  <c r="F53" i="55"/>
  <c r="E35" i="56"/>
  <c r="E36" i="56" s="1"/>
  <c r="E37" i="56" s="1"/>
  <c r="D64" i="56" s="1"/>
  <c r="F20" i="66"/>
  <c r="F24" i="66"/>
  <c r="I52" i="43"/>
  <c r="C27" i="45"/>
  <c r="B31" i="45"/>
  <c r="C22" i="45"/>
  <c r="I36" i="46"/>
  <c r="H36" i="46"/>
  <c r="G36" i="46"/>
  <c r="F36" i="46"/>
  <c r="C36" i="46"/>
  <c r="E36" i="47"/>
  <c r="G36" i="47"/>
  <c r="G40" i="47" s="1"/>
  <c r="G41" i="47" s="1"/>
  <c r="I73" i="43"/>
  <c r="I51" i="43"/>
  <c r="J15" i="43"/>
  <c r="J8" i="43"/>
  <c r="I30" i="43"/>
  <c r="J17" i="43"/>
  <c r="J10" i="43"/>
  <c r="I8" i="43"/>
  <c r="J12" i="43"/>
  <c r="J14" i="43"/>
  <c r="J13" i="43"/>
  <c r="E20" i="46"/>
  <c r="E19" i="46" s="1"/>
  <c r="E18" i="46" s="1"/>
  <c r="C20" i="38"/>
  <c r="E20" i="38" s="1"/>
  <c r="J52" i="43"/>
  <c r="F6" i="47"/>
  <c r="F11" i="47" s="1"/>
  <c r="C9" i="61"/>
  <c r="D9" i="61" s="1"/>
  <c r="E9" i="61" s="1"/>
  <c r="F14" i="51"/>
  <c r="B15" i="51" s="1"/>
  <c r="C14" i="51"/>
  <c r="I31" i="43"/>
  <c r="J31" i="43" s="1"/>
  <c r="I25" i="45"/>
  <c r="G32" i="43"/>
  <c r="G31" i="38"/>
  <c r="F31" i="38"/>
  <c r="E31" i="38"/>
  <c r="E18" i="39"/>
  <c r="J11" i="43"/>
  <c r="D23" i="45"/>
  <c r="E23" i="45" s="1"/>
  <c r="F23" i="45" s="1"/>
  <c r="G23" i="45" s="1"/>
  <c r="H23" i="45" s="1"/>
  <c r="H23" i="46"/>
  <c r="J36" i="46"/>
  <c r="D11" i="47"/>
  <c r="C48" i="44"/>
  <c r="J48" i="44"/>
  <c r="D30" i="58"/>
  <c r="G10" i="66"/>
  <c r="G14" i="66" s="1"/>
  <c r="G2" i="66"/>
  <c r="G26" i="44"/>
  <c r="F26" i="44"/>
  <c r="D26" i="44"/>
  <c r="B32" i="44"/>
  <c r="C45" i="44"/>
  <c r="J45" i="44"/>
  <c r="D45" i="44"/>
  <c r="I48" i="44"/>
  <c r="F9" i="61"/>
  <c r="G9" i="61" s="1"/>
  <c r="C20" i="66"/>
  <c r="C24" i="66"/>
  <c r="I37" i="66"/>
  <c r="I33" i="66"/>
  <c r="I35" i="66"/>
  <c r="I36" i="66"/>
  <c r="L37" i="66"/>
  <c r="H48" i="44"/>
  <c r="J53" i="43"/>
  <c r="G73" i="43"/>
  <c r="E26" i="44"/>
  <c r="E45" i="44"/>
  <c r="D24" i="45"/>
  <c r="E24" i="45" s="1"/>
  <c r="F24" i="45" s="1"/>
  <c r="G24" i="45" s="1"/>
  <c r="H24" i="45" s="1"/>
  <c r="C23" i="46"/>
  <c r="G38" i="47"/>
  <c r="D29" i="49"/>
  <c r="B54" i="49" s="1"/>
  <c r="J35" i="66"/>
  <c r="J38" i="66" s="1"/>
  <c r="J37" i="66"/>
  <c r="J36" i="66"/>
  <c r="J51" i="43"/>
  <c r="D26" i="59"/>
  <c r="B40" i="59"/>
  <c r="G38" i="59"/>
  <c r="H9" i="61"/>
  <c r="I9" i="61" s="1"/>
  <c r="J9" i="61" s="1"/>
  <c r="K9" i="61" s="1"/>
  <c r="L5" i="61" s="1"/>
  <c r="L8" i="61" s="1"/>
  <c r="L9" i="61" s="1"/>
  <c r="M5" i="61" s="1"/>
  <c r="M8" i="61" s="1"/>
  <c r="M9" i="61" s="1"/>
  <c r="F29" i="65"/>
  <c r="E20" i="66"/>
  <c r="E24" i="66"/>
  <c r="E38" i="66"/>
  <c r="M34" i="66"/>
  <c r="G38" i="66"/>
  <c r="D48" i="44"/>
  <c r="C48" i="56"/>
  <c r="D65" i="56" s="1"/>
  <c r="B8" i="58"/>
  <c r="B9" i="63"/>
  <c r="B10" i="63" s="1"/>
  <c r="L34" i="66"/>
  <c r="L36" i="66"/>
  <c r="C31" i="58"/>
  <c r="D31" i="58" s="1"/>
  <c r="F2" i="66"/>
  <c r="L33" i="66"/>
  <c r="L38" i="66" s="1"/>
  <c r="I21" i="46"/>
  <c r="C22" i="56"/>
  <c r="C23" i="56" s="1"/>
  <c r="F39" i="57"/>
  <c r="F10" i="47"/>
  <c r="C14" i="62"/>
  <c r="C24" i="44" l="1"/>
  <c r="C23" i="44" s="1"/>
  <c r="D29" i="44" s="1"/>
  <c r="D30" i="44" s="1"/>
  <c r="D32" i="44" s="1"/>
  <c r="F20" i="46"/>
  <c r="F19" i="46" s="1"/>
  <c r="F18" i="46" s="1"/>
  <c r="D52" i="56"/>
  <c r="C25" i="56"/>
  <c r="C26" i="56" s="1"/>
  <c r="C27" i="56" s="1"/>
  <c r="E30" i="56"/>
  <c r="E31" i="56" s="1"/>
  <c r="E32" i="56" s="1"/>
  <c r="D63" i="56" s="1"/>
  <c r="K36" i="66"/>
  <c r="K34" i="66"/>
  <c r="K37" i="66"/>
  <c r="I33" i="43"/>
  <c r="J33" i="43" s="1"/>
  <c r="G33" i="43"/>
  <c r="C51" i="65"/>
  <c r="C52" i="65" s="1"/>
  <c r="C53" i="65" s="1"/>
  <c r="C55" i="65" s="1"/>
  <c r="C21" i="66"/>
  <c r="C22" i="66" s="1"/>
  <c r="C37" i="47"/>
  <c r="K33" i="66"/>
  <c r="E22" i="66"/>
  <c r="E51" i="65"/>
  <c r="E52" i="65" s="1"/>
  <c r="E53" i="65" s="1"/>
  <c r="E55" i="65" s="1"/>
  <c r="E21" i="66"/>
  <c r="B25" i="46"/>
  <c r="G20" i="66"/>
  <c r="G24" i="66"/>
  <c r="F54" i="55"/>
  <c r="G53" i="55"/>
  <c r="G54" i="55" s="1"/>
  <c r="C47" i="44"/>
  <c r="C51" i="44" s="1"/>
  <c r="C53" i="44" s="1"/>
  <c r="C44" i="44"/>
  <c r="D32" i="58"/>
  <c r="C40" i="58" s="1"/>
  <c r="C50" i="58" s="1"/>
  <c r="C51" i="58" s="1"/>
  <c r="I23" i="45"/>
  <c r="F12" i="47"/>
  <c r="E11" i="47"/>
  <c r="J30" i="43"/>
  <c r="D51" i="65"/>
  <c r="D52" i="65" s="1"/>
  <c r="D53" i="65" s="1"/>
  <c r="D55" i="65" s="1"/>
  <c r="D21" i="66"/>
  <c r="D22" i="66" s="1"/>
  <c r="K35" i="66"/>
  <c r="H8" i="43"/>
  <c r="J20" i="43"/>
  <c r="J18" i="43"/>
  <c r="F51" i="65"/>
  <c r="F52" i="65" s="1"/>
  <c r="F53" i="65" s="1"/>
  <c r="F55" i="65" s="1"/>
  <c r="F21" i="66"/>
  <c r="F22" i="66"/>
  <c r="C26" i="45"/>
  <c r="G54" i="43"/>
  <c r="I54" i="43"/>
  <c r="J54" i="43" s="1"/>
  <c r="F15" i="51"/>
  <c r="C15" i="51"/>
  <c r="C38" i="46"/>
  <c r="C40" i="46" s="1"/>
  <c r="C35" i="46"/>
  <c r="M35" i="66"/>
  <c r="M37" i="66"/>
  <c r="M33" i="66"/>
  <c r="M38" i="66" s="1"/>
  <c r="I74" i="43"/>
  <c r="J74" i="43" s="1"/>
  <c r="G74" i="43"/>
  <c r="I38" i="66"/>
  <c r="M36" i="66"/>
  <c r="I23" i="46"/>
  <c r="E26" i="59"/>
  <c r="I24" i="45"/>
  <c r="E14" i="51"/>
  <c r="C22" i="51" s="1"/>
  <c r="F22" i="51" s="1"/>
  <c r="E22" i="51"/>
  <c r="J73" i="43"/>
  <c r="D27" i="45"/>
  <c r="D22" i="45"/>
  <c r="D26" i="45" s="1"/>
  <c r="D31" i="45" s="1"/>
  <c r="D24" i="44" l="1"/>
  <c r="D23" i="44" s="1"/>
  <c r="E24" i="44" s="1"/>
  <c r="E23" i="44" s="1"/>
  <c r="F25" i="44" s="1"/>
  <c r="D18" i="39"/>
  <c r="G20" i="46"/>
  <c r="G19" i="46" s="1"/>
  <c r="G18" i="46"/>
  <c r="C31" i="45"/>
  <c r="E22" i="45"/>
  <c r="E27" i="45"/>
  <c r="I75" i="43"/>
  <c r="G75" i="43"/>
  <c r="G21" i="66"/>
  <c r="G22" i="66"/>
  <c r="G51" i="65"/>
  <c r="G52" i="65" s="1"/>
  <c r="G53" i="65" s="1"/>
  <c r="G55" i="65" s="1"/>
  <c r="F18" i="39"/>
  <c r="H18" i="39"/>
  <c r="K38" i="66"/>
  <c r="D50" i="44"/>
  <c r="D44" i="44"/>
  <c r="D47" i="44"/>
  <c r="D53" i="56"/>
  <c r="D62" i="56"/>
  <c r="D66" i="56" s="1"/>
  <c r="D54" i="56"/>
  <c r="D55" i="56" s="1"/>
  <c r="D57" i="56" s="1"/>
  <c r="D69" i="56" s="1"/>
  <c r="D70" i="56" s="1"/>
  <c r="D37" i="46"/>
  <c r="D38" i="46" s="1"/>
  <c r="D40" i="46" s="1"/>
  <c r="D35" i="46"/>
  <c r="I55" i="43"/>
  <c r="G55" i="43"/>
  <c r="G8" i="43"/>
  <c r="F26" i="59"/>
  <c r="B28" i="59" s="1"/>
  <c r="B42" i="59" s="1"/>
  <c r="G26" i="59"/>
  <c r="E23" i="51"/>
  <c r="E15" i="51"/>
  <c r="C23" i="51" s="1"/>
  <c r="F23" i="51" s="1"/>
  <c r="C12" i="47"/>
  <c r="D37" i="47"/>
  <c r="I34" i="43"/>
  <c r="G34" i="43"/>
  <c r="F13" i="47"/>
  <c r="E29" i="44" l="1"/>
  <c r="E30" i="44" s="1"/>
  <c r="E32" i="44" s="1"/>
  <c r="J34" i="43"/>
  <c r="F22" i="45"/>
  <c r="F26" i="45" s="1"/>
  <c r="F31" i="45" s="1"/>
  <c r="F27" i="45"/>
  <c r="I9" i="43"/>
  <c r="D72" i="56"/>
  <c r="E26" i="45"/>
  <c r="F14" i="47"/>
  <c r="J75" i="43"/>
  <c r="F29" i="44"/>
  <c r="F30" i="44" s="1"/>
  <c r="F32" i="44" s="1"/>
  <c r="F24" i="44"/>
  <c r="F23" i="44" s="1"/>
  <c r="G25" i="44" s="1"/>
  <c r="D12" i="47"/>
  <c r="H20" i="46"/>
  <c r="H19" i="46" s="1"/>
  <c r="H18" i="46" s="1"/>
  <c r="E37" i="47"/>
  <c r="G56" i="43"/>
  <c r="I56" i="43"/>
  <c r="J56" i="43" s="1"/>
  <c r="J55" i="43"/>
  <c r="E37" i="46"/>
  <c r="E38" i="46" s="1"/>
  <c r="E40" i="46" s="1"/>
  <c r="E35" i="46"/>
  <c r="D51" i="44"/>
  <c r="D53" i="44" s="1"/>
  <c r="G35" i="43"/>
  <c r="I35" i="43"/>
  <c r="J35" i="43" s="1"/>
  <c r="E50" i="44"/>
  <c r="E44" i="44"/>
  <c r="E47" i="44"/>
  <c r="E51" i="44" s="1"/>
  <c r="E53" i="44" s="1"/>
  <c r="I76" i="43"/>
  <c r="J76" i="43" s="1"/>
  <c r="G76" i="43"/>
  <c r="G29" i="44" l="1"/>
  <c r="G30" i="44" s="1"/>
  <c r="G32" i="44" s="1"/>
  <c r="G24" i="44"/>
  <c r="G23" i="44" s="1"/>
  <c r="H25" i="44" s="1"/>
  <c r="I20" i="46"/>
  <c r="I19" i="46" s="1"/>
  <c r="I18" i="46"/>
  <c r="I36" i="43"/>
  <c r="J36" i="43" s="1"/>
  <c r="G36" i="43"/>
  <c r="E12" i="47"/>
  <c r="I77" i="43"/>
  <c r="G77" i="43"/>
  <c r="F37" i="46"/>
  <c r="F38" i="46" s="1"/>
  <c r="F40" i="46" s="1"/>
  <c r="F35" i="46"/>
  <c r="C38" i="47"/>
  <c r="F15" i="47"/>
  <c r="I57" i="43"/>
  <c r="J57" i="43" s="1"/>
  <c r="G57" i="43"/>
  <c r="H9" i="43"/>
  <c r="E31" i="45"/>
  <c r="G22" i="45"/>
  <c r="G27" i="45"/>
  <c r="F47" i="44"/>
  <c r="F44" i="44"/>
  <c r="F50" i="44"/>
  <c r="F51" i="44" l="1"/>
  <c r="F53" i="44" s="1"/>
  <c r="G47" i="44"/>
  <c r="G44" i="44"/>
  <c r="G50" i="44"/>
  <c r="H22" i="45"/>
  <c r="H26" i="45" s="1"/>
  <c r="H31" i="45" s="1"/>
  <c r="H27" i="45"/>
  <c r="I58" i="43"/>
  <c r="G58" i="43"/>
  <c r="I78" i="43"/>
  <c r="J78" i="43" s="1"/>
  <c r="G78" i="43"/>
  <c r="G26" i="45"/>
  <c r="J77" i="43"/>
  <c r="F16" i="47"/>
  <c r="C13" i="47"/>
  <c r="J20" i="46"/>
  <c r="J19" i="46" s="1"/>
  <c r="J18" i="46"/>
  <c r="D38" i="47"/>
  <c r="H29" i="44"/>
  <c r="H30" i="44" s="1"/>
  <c r="H32" i="44" s="1"/>
  <c r="H24" i="44"/>
  <c r="H23" i="44" s="1"/>
  <c r="I25" i="44" s="1"/>
  <c r="G9" i="43"/>
  <c r="G37" i="46"/>
  <c r="G38" i="46" s="1"/>
  <c r="G40" i="46" s="1"/>
  <c r="G35" i="46"/>
  <c r="G37" i="43"/>
  <c r="I37" i="43"/>
  <c r="I29" i="44" l="1"/>
  <c r="I30" i="44" s="1"/>
  <c r="I32" i="44" s="1"/>
  <c r="I24" i="44"/>
  <c r="I23" i="44" s="1"/>
  <c r="J25" i="44" s="1"/>
  <c r="G31" i="45"/>
  <c r="B33" i="45" s="1"/>
  <c r="C37" i="45" s="1"/>
  <c r="I26" i="45"/>
  <c r="G38" i="43"/>
  <c r="I38" i="43"/>
  <c r="J38" i="43" s="1"/>
  <c r="G59" i="43"/>
  <c r="I59" i="43"/>
  <c r="J59" i="43" s="1"/>
  <c r="I79" i="43"/>
  <c r="J79" i="43" s="1"/>
  <c r="G79" i="43"/>
  <c r="F17" i="47"/>
  <c r="J58" i="43"/>
  <c r="D13" i="47"/>
  <c r="E38" i="47"/>
  <c r="H37" i="46"/>
  <c r="H38" i="46" s="1"/>
  <c r="H40" i="46" s="1"/>
  <c r="H35" i="46"/>
  <c r="H47" i="44"/>
  <c r="H50" i="44"/>
  <c r="H44" i="44"/>
  <c r="G51" i="44"/>
  <c r="G53" i="44" s="1"/>
  <c r="J37" i="43"/>
  <c r="I10" i="43"/>
  <c r="I22" i="45"/>
  <c r="J29" i="44" l="1"/>
  <c r="J30" i="44" s="1"/>
  <c r="J32" i="44" s="1"/>
  <c r="B34" i="44" s="1"/>
  <c r="J24" i="44"/>
  <c r="J23" i="44" s="1"/>
  <c r="H10" i="43"/>
  <c r="H51" i="44"/>
  <c r="H53" i="44" s="1"/>
  <c r="I60" i="43"/>
  <c r="G60" i="43"/>
  <c r="I39" i="43"/>
  <c r="G39" i="43"/>
  <c r="I37" i="46"/>
  <c r="I38" i="46" s="1"/>
  <c r="I40" i="46" s="1"/>
  <c r="I35" i="46"/>
  <c r="I80" i="43"/>
  <c r="J80" i="43" s="1"/>
  <c r="G80" i="43"/>
  <c r="C39" i="47"/>
  <c r="D39" i="47" s="1"/>
  <c r="I50" i="44"/>
  <c r="I44" i="44"/>
  <c r="I47" i="44"/>
  <c r="I51" i="44" s="1"/>
  <c r="I53" i="44" s="1"/>
  <c r="E13" i="47"/>
  <c r="I81" i="43" l="1"/>
  <c r="J81" i="43" s="1"/>
  <c r="G81" i="43"/>
  <c r="C14" i="47"/>
  <c r="J39" i="43"/>
  <c r="I40" i="43"/>
  <c r="I42" i="43" s="1"/>
  <c r="G10" i="43"/>
  <c r="J50" i="44"/>
  <c r="J47" i="44"/>
  <c r="J44" i="44"/>
  <c r="J60" i="43"/>
  <c r="I61" i="43"/>
  <c r="I63" i="43" s="1"/>
  <c r="J37" i="46"/>
  <c r="J38" i="46" s="1"/>
  <c r="J40" i="46" s="1"/>
  <c r="B42" i="46" s="1"/>
  <c r="J35" i="46"/>
  <c r="E39" i="47"/>
  <c r="E40" i="47" s="1"/>
  <c r="D40" i="47"/>
  <c r="J40" i="43" l="1"/>
  <c r="J42" i="43"/>
  <c r="J63" i="43"/>
  <c r="J61" i="43"/>
  <c r="D14" i="47"/>
  <c r="J51" i="44"/>
  <c r="J53" i="44" s="1"/>
  <c r="B55" i="44" s="1"/>
  <c r="I11" i="43"/>
  <c r="I82" i="43"/>
  <c r="G82" i="43"/>
  <c r="E14" i="47" l="1"/>
  <c r="J82" i="43"/>
  <c r="I83" i="43"/>
  <c r="I85" i="43" s="1"/>
  <c r="H11" i="43"/>
  <c r="G11" i="43" l="1"/>
  <c r="J83" i="43"/>
  <c r="J85" i="43"/>
  <c r="C15" i="47"/>
  <c r="C16" i="47" l="1"/>
  <c r="D16" i="47" s="1"/>
  <c r="D15" i="47"/>
  <c r="E15" i="47" s="1"/>
  <c r="I12" i="43"/>
  <c r="H12" i="43" s="1"/>
  <c r="G12" i="43"/>
  <c r="E16" i="47" l="1"/>
  <c r="D17" i="47"/>
  <c r="I13" i="43"/>
  <c r="H13" i="43" s="1"/>
  <c r="G13" i="43"/>
  <c r="E17" i="47"/>
  <c r="I14" i="43" l="1"/>
  <c r="H14" i="43" s="1"/>
  <c r="G14" i="43" s="1"/>
  <c r="I15" i="43" l="1"/>
  <c r="H15" i="43" s="1"/>
  <c r="G15" i="43" s="1"/>
  <c r="G16" i="43" l="1"/>
  <c r="I16" i="43"/>
  <c r="H16" i="43" s="1"/>
  <c r="I17" i="43" l="1"/>
  <c r="H17" i="43" l="1"/>
  <c r="I18" i="43"/>
  <c r="H18" i="43" l="1"/>
  <c r="I20" i="43" s="1"/>
  <c r="G17" i="43"/>
  <c r="B11" i="32"/>
  <c r="B24" i="28"/>
  <c r="B25" i="28" s="1"/>
  <c r="B26" i="28" s="1"/>
  <c r="B23" i="28"/>
  <c r="B21" i="28"/>
  <c r="B20" i="28"/>
  <c r="B14" i="28"/>
  <c r="B13" i="28"/>
  <c r="K9" i="28"/>
  <c r="K12" i="28"/>
  <c r="K6" i="28"/>
  <c r="F6" i="28"/>
  <c r="F12" i="28"/>
  <c r="B8" i="28"/>
  <c r="B7" i="28"/>
  <c r="I61" i="30"/>
  <c r="I51" i="30"/>
  <c r="I40" i="30"/>
  <c r="I28" i="30"/>
  <c r="K24" i="30"/>
  <c r="I20" i="30"/>
  <c r="I18" i="30"/>
  <c r="I8" i="30"/>
  <c r="E19" i="27"/>
  <c r="H19" i="27"/>
  <c r="D16" i="27"/>
  <c r="C16" i="27"/>
  <c r="D13" i="27"/>
  <c r="B13" i="27"/>
  <c r="I10" i="27"/>
  <c r="E10" i="27"/>
  <c r="B10" i="27"/>
  <c r="J7" i="27"/>
  <c r="N4" i="27"/>
  <c r="I7" i="27"/>
  <c r="D7" i="27"/>
  <c r="B7" i="27"/>
  <c r="G4" i="27"/>
  <c r="E4" i="27"/>
  <c r="C4" i="27"/>
  <c r="D28" i="27" l="1"/>
  <c r="D45" i="32"/>
  <c r="D35" i="32"/>
  <c r="D25" i="32"/>
  <c r="D15" i="32"/>
  <c r="D5" i="32"/>
  <c r="K55" i="30" l="1"/>
  <c r="K45" i="30"/>
  <c r="K34" i="30"/>
  <c r="R15" i="30"/>
  <c r="R14" i="30"/>
  <c r="R4" i="30"/>
  <c r="B52" i="28" l="1"/>
  <c r="B51" i="28"/>
  <c r="B48" i="28"/>
  <c r="B32" i="28"/>
  <c r="E28" i="27"/>
  <c r="B28" i="27"/>
  <c r="B22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 Ti</author>
  </authors>
  <commentList>
    <comment ref="C36" authorId="0" shapeId="0" xr:uid="{4F6BD435-B95C-4134-8BF6-7DAF1CA1E4EF}">
      <text>
        <r>
          <rPr>
            <b/>
            <sz val="8"/>
            <color indexed="81"/>
            <rFont val="Tahoma"/>
            <family val="2"/>
          </rPr>
          <t>Este saldo estará sujeto a la nueva tasa de interés</t>
        </r>
      </text>
    </comment>
  </commentList>
</comments>
</file>

<file path=xl/sharedStrings.xml><?xml version="1.0" encoding="utf-8"?>
<sst xmlns="http://schemas.openxmlformats.org/spreadsheetml/2006/main" count="1470" uniqueCount="870">
  <si>
    <t>Convertirs la tasas indicada a las tasas equivalentes según el periodo que se requiere (completar lo que falta en todos los periodos):</t>
  </si>
  <si>
    <t>a)</t>
  </si>
  <si>
    <t>Anual</t>
  </si>
  <si>
    <t>Semestral</t>
  </si>
  <si>
    <t>Diario</t>
  </si>
  <si>
    <t>Mensual</t>
  </si>
  <si>
    <t>Bimensual</t>
  </si>
  <si>
    <t>Trimestral</t>
  </si>
  <si>
    <t>Cuatrimestrual</t>
  </si>
  <si>
    <t>Quincenal</t>
  </si>
  <si>
    <t>Hora</t>
  </si>
  <si>
    <t>Tasa</t>
  </si>
  <si>
    <t>Formula:</t>
  </si>
  <si>
    <t>b)</t>
  </si>
  <si>
    <t>Formula: Tasa Equiv = (1 + Tasa que tengo)˄(lo que TENGO/lo que QUIERO) -1</t>
  </si>
  <si>
    <t>TASAS MAYOR A MENOR</t>
  </si>
  <si>
    <t>Formula: Tasa Equiv = (1 + Tasa que tengo)˄(lo que QUIERO/lo que TENGO) -1</t>
  </si>
  <si>
    <t>TASAS MENOR A MAYOR</t>
  </si>
  <si>
    <t>c)</t>
  </si>
  <si>
    <t>Si queremos pasar de una tasa de tiempo menor a una tasa de tiempo mayor se debe POTENCIAR</t>
  </si>
  <si>
    <t>Si queremos pasar de una tasa de tiempo mayor a una tasa de tiempo menor se debe RADICAR</t>
  </si>
  <si>
    <t>d)</t>
  </si>
  <si>
    <t>e)</t>
  </si>
  <si>
    <t>f)</t>
  </si>
  <si>
    <t>g)</t>
  </si>
  <si>
    <t>h)</t>
  </si>
  <si>
    <t>i)</t>
  </si>
  <si>
    <t>Calcular el interés de acuerdo a los casos siguientes. Completar las celdas en celeste</t>
  </si>
  <si>
    <t>AHORRO</t>
  </si>
  <si>
    <t>Capital</t>
  </si>
  <si>
    <t>PRESENTE</t>
  </si>
  <si>
    <t>interes %</t>
  </si>
  <si>
    <t>anual</t>
  </si>
  <si>
    <t>Tasa nominal</t>
  </si>
  <si>
    <t>Interes S/</t>
  </si>
  <si>
    <t>año</t>
  </si>
  <si>
    <t>Capital final</t>
  </si>
  <si>
    <t>FUTURO</t>
  </si>
  <si>
    <t>GANARIA</t>
  </si>
  <si>
    <t>CREDITO</t>
  </si>
  <si>
    <t>Prestamo</t>
  </si>
  <si>
    <t>Devolución</t>
  </si>
  <si>
    <t>PAGARIA</t>
  </si>
  <si>
    <t>TASA EFECTIVA</t>
  </si>
  <si>
    <t>Pagar portes</t>
  </si>
  <si>
    <t xml:space="preserve">Seguro desgr 0.75% </t>
  </si>
  <si>
    <t>Pago final anual</t>
  </si>
  <si>
    <t>Interes total</t>
  </si>
  <si>
    <t>Interes efectivo</t>
  </si>
  <si>
    <t>Tasa final de credito</t>
  </si>
  <si>
    <t>mensual</t>
  </si>
  <si>
    <t>Periodo</t>
  </si>
  <si>
    <t>años</t>
  </si>
  <si>
    <t>meses</t>
  </si>
  <si>
    <t>por 3 años</t>
  </si>
  <si>
    <t>Gastos adminis</t>
  </si>
  <si>
    <t>Tasa final de credito por 3 años</t>
  </si>
  <si>
    <t>OPERACIONES FINANCIERAS A REALIZAR CON EL DINERO</t>
  </si>
  <si>
    <t>EJEMPLOS:</t>
  </si>
  <si>
    <r>
      <t>Para: "</t>
    </r>
    <r>
      <rPr>
        <sz val="10"/>
        <rFont val="Calibri"/>
        <family val="2"/>
      </rPr>
      <t>^"</t>
    </r>
    <r>
      <rPr>
        <sz val="10"/>
        <rFont val="Arial"/>
        <family val="2"/>
      </rPr>
      <t xml:space="preserve"> usar "ALT + 094"</t>
    </r>
  </si>
  <si>
    <t>Caso 01:</t>
  </si>
  <si>
    <t>Caso 01A:</t>
  </si>
  <si>
    <t>P =</t>
  </si>
  <si>
    <t>i% =</t>
  </si>
  <si>
    <t>n =</t>
  </si>
  <si>
    <t>Calcular el valor F</t>
  </si>
  <si>
    <t>Por formula:</t>
  </si>
  <si>
    <t>Por Excel:</t>
  </si>
  <si>
    <t>En el excel al valor "P" se coloca un signo negativo</t>
  </si>
  <si>
    <t>Caso 02:</t>
  </si>
  <si>
    <t>F =</t>
  </si>
  <si>
    <t>Calcular el valor P</t>
  </si>
  <si>
    <t>Caso 03:</t>
  </si>
  <si>
    <t>Caso 04:</t>
  </si>
  <si>
    <t>Caso 05:</t>
  </si>
  <si>
    <t>Calcular el valor A</t>
  </si>
  <si>
    <t>Caso 06:</t>
  </si>
  <si>
    <t>Calcular lo indicado en la celda celeste</t>
  </si>
  <si>
    <t>Calcular el valor A por mes</t>
  </si>
  <si>
    <t>Calcular el valor A por año</t>
  </si>
  <si>
    <t>Pregunta 16:</t>
  </si>
  <si>
    <t>Pregunta 17:</t>
  </si>
  <si>
    <t>Pregunta 18:</t>
  </si>
  <si>
    <t>^</t>
  </si>
  <si>
    <t>PARA LOS CALCULO DE LAS MATEMATICAS FINANCIERAS SE CONSIDERA:</t>
  </si>
  <si>
    <t>PARA UN AÑO 360 DÍAS Y PARA UN MES 30 DÍAS</t>
  </si>
  <si>
    <t>LA TASA EQUIVALENTE SE UTILIZA CUANDO TENEMOS UNA TASA DE INTERES</t>
  </si>
  <si>
    <t>DE UN PERIODO Y QUEREMOS CALCULAR EL INTERES EN OTRO PERIODO</t>
  </si>
  <si>
    <t>DE TIEMPO, EJEMPLO TASA MENSUAL A TASA ANUAL O TASA MENSUAL A</t>
  </si>
  <si>
    <t>TASA DIARIA</t>
  </si>
  <si>
    <t>En el excel al valor "F" se coloca un signo negativo</t>
  </si>
  <si>
    <t>UNA TASA NOMINAL SERA IGUAL A UNA TASA EFECTIVA EN UN PERIODO DE UN AÑO</t>
  </si>
  <si>
    <t>MENSUAL</t>
  </si>
  <si>
    <t>ANUAL</t>
  </si>
  <si>
    <t>SPREAD DEL BANCO</t>
  </si>
  <si>
    <t>DEFINICIONES IMPORTANTES A TOMAR EN CUENTA:</t>
  </si>
  <si>
    <t>TASA DE INTERES NOMINAL (In):</t>
  </si>
  <si>
    <t>Es una tasa de interés simple, en donde el capital no varía en el tiempo, además</t>
  </si>
  <si>
    <t>los interesés no se capitalizan (no foman parte del capital); también podemos</t>
  </si>
  <si>
    <t xml:space="preserve">agregar que es una tasa de interés básica que se nombra o declara en la </t>
  </si>
  <si>
    <t>operación independiente si está se cobra adelantada, vencida, si lleva</t>
  </si>
  <si>
    <t>comisiones y/o impuestos, etc.</t>
  </si>
  <si>
    <t>TASA DE INTERES EFECTIVA (Ie):</t>
  </si>
  <si>
    <t>Es aquella tasa que toma en cuenta el efecto de la capitalización durante un</t>
  </si>
  <si>
    <t>periodo y "refleja el tiempo en que se pagan los intereses, impuestos, comisiones</t>
  </si>
  <si>
    <t>y cualquier otro tipo de gastos que la operación implique"</t>
  </si>
  <si>
    <t>FORMULA:</t>
  </si>
  <si>
    <t>Donde:</t>
  </si>
  <si>
    <t>Ie = tasa de interés efectiva en un período</t>
  </si>
  <si>
    <t>In = tasas de interés nominal en tanto %</t>
  </si>
  <si>
    <t>m = número de capitalizaciones por período</t>
  </si>
  <si>
    <t>n = número total de periodos</t>
  </si>
  <si>
    <t>TASA DE INTERES VENCIDA</t>
  </si>
  <si>
    <t>Es la tasa más común aplicable, considera que los intereses deben pagarse al final del</t>
  </si>
  <si>
    <t>periodo establecido.</t>
  </si>
  <si>
    <t>TASA DE INTERES ADELANTADA O DESCUENTO:</t>
  </si>
  <si>
    <t>Se nombra a aquella tasa donde los intereses se reconocen al inició del periodo de</t>
  </si>
  <si>
    <t>capitalización</t>
  </si>
  <si>
    <t>P - I</t>
  </si>
  <si>
    <t>P</t>
  </si>
  <si>
    <t xml:space="preserve">     Inicio</t>
  </si>
  <si>
    <t>Final</t>
  </si>
  <si>
    <t>tiempo</t>
  </si>
  <si>
    <t xml:space="preserve">I a = </t>
  </si>
  <si>
    <t>P = Prestamo</t>
  </si>
  <si>
    <t>I a = Tasa de interés adelantado.</t>
  </si>
  <si>
    <t>I = Intereses</t>
  </si>
  <si>
    <t>FACTORES FINANCIEROS</t>
  </si>
  <si>
    <t>FACTOR FINANCIERO   III</t>
  </si>
  <si>
    <t>s    =    Monto de  1  a interés compuesto</t>
  </si>
  <si>
    <t xml:space="preserve">   </t>
  </si>
  <si>
    <t>FFIII</t>
  </si>
  <si>
    <t>i   =</t>
  </si>
  <si>
    <t>((1+i)^n)</t>
  </si>
  <si>
    <t>n   =</t>
  </si>
  <si>
    <t>FACTOR FINANCIERO   IV</t>
  </si>
  <si>
    <t>v^n    =    Valor actual de  1  a interés compuesto</t>
  </si>
  <si>
    <t>FFIV</t>
  </si>
  <si>
    <t>(1/(1+i)^n)  =  (1+i)^(1/n)</t>
  </si>
  <si>
    <t>FACTOR FINANCIERO   V</t>
  </si>
  <si>
    <t>sni    =    Monto de una anualidad de  1  a interés compuesto</t>
  </si>
  <si>
    <t>FFV</t>
  </si>
  <si>
    <t xml:space="preserve">  i   =</t>
  </si>
  <si>
    <t>(((1+i)^n)-1)/i</t>
  </si>
  <si>
    <t xml:space="preserve">  n   =</t>
  </si>
  <si>
    <t>FACTOR FINANCIERO   VI</t>
  </si>
  <si>
    <t>1/sni    =    Anualidad cuyo monto a interés compuesto ascenderá a  1</t>
  </si>
  <si>
    <t>FFVI</t>
  </si>
  <si>
    <t>(i/(((1+i)^n)-1))</t>
  </si>
  <si>
    <t>FACTOR FINANCIERO   VII</t>
  </si>
  <si>
    <t>ani    =    Valor actual de una anualidad de  1  a interés compuesto</t>
  </si>
  <si>
    <t>FFVII</t>
  </si>
  <si>
    <t>1   =</t>
  </si>
  <si>
    <t>(((1+i)^n)-1)/(i*(1+i)^n)</t>
  </si>
  <si>
    <t>FACTOR FINANCIERO  VIII</t>
  </si>
  <si>
    <t>1/Ani    =    anualidad con la que se puede comprar 1  -  de valor actual 1</t>
  </si>
  <si>
    <t>FFVIII</t>
  </si>
  <si>
    <t>(i*(1+i)^n)/(((1+i)^n)-1)</t>
  </si>
  <si>
    <t xml:space="preserve"> n   =</t>
  </si>
  <si>
    <t>FACTOR FINANCIERO   IX</t>
  </si>
  <si>
    <t>s    =    Monto de  1  a interés compuesto para fracciones de año</t>
  </si>
  <si>
    <t>FFIX</t>
  </si>
  <si>
    <t>(1+i)^(1/P)</t>
  </si>
  <si>
    <t xml:space="preserve"> p   =</t>
  </si>
  <si>
    <t>FACTOR FINANCIERO  X</t>
  </si>
  <si>
    <t>j(p)    =    Tasa nominal de interés equivalente a una tasa efectiva dada</t>
  </si>
  <si>
    <t>FFX</t>
  </si>
  <si>
    <t>(p*((1+j)^(1/p))-p)</t>
  </si>
  <si>
    <t>p   =</t>
  </si>
  <si>
    <t>FACTOR FINANCIERO   XI</t>
  </si>
  <si>
    <t>1/j(p)      =      Monto al cabo de un año de una anualidad de  1  por año,</t>
  </si>
  <si>
    <t>pagadera p veces por año en plazos de 1/p cada uno</t>
  </si>
  <si>
    <t>FFXI</t>
  </si>
  <si>
    <t>(i/(p*((1+iI)^(1/p)-1)))</t>
  </si>
  <si>
    <t xml:space="preserve">P = A </t>
  </si>
  <si>
    <t>n: número de flujos</t>
  </si>
  <si>
    <t>i: tasa de interés efectiva del período</t>
  </si>
  <si>
    <t>A: Anualidad</t>
  </si>
  <si>
    <t>P: Valor Presente</t>
  </si>
  <si>
    <t xml:space="preserve">F = A </t>
  </si>
  <si>
    <t>Para operaciones financieras se considera</t>
  </si>
  <si>
    <t>1 año</t>
  </si>
  <si>
    <t>365 dias</t>
  </si>
  <si>
    <t>1 mes</t>
  </si>
  <si>
    <t>30 dias</t>
  </si>
  <si>
    <t>F: Valor futuro</t>
  </si>
  <si>
    <t>Formula: Tasa Equiv = (1 + Tasa)˄(lo que quiero/lo que tengo) -1</t>
  </si>
  <si>
    <t>ANEXO</t>
  </si>
  <si>
    <t>Diferencias entre Interes Simple y Compuesto</t>
  </si>
  <si>
    <t>Interes Simple</t>
  </si>
  <si>
    <t>Interes Compuesto</t>
  </si>
  <si>
    <t>Crecimiento aritmético: crece siempre en la misma magnitud.</t>
  </si>
  <si>
    <t>Crece geométricamente:El ritmo de crecimiento es constante, lo que implica magnitudes de incremento crecientes.</t>
  </si>
  <si>
    <t>Intereses</t>
  </si>
  <si>
    <t>* Constantes y no se acumulan al capital original.</t>
  </si>
  <si>
    <t>* En cuanto se generan se capitalizan.</t>
  </si>
  <si>
    <t>* Intereses no ganan intereses en los siguientes periodos a menos que se fuerce su capitalización, en cuyo caso se aplica como interés compuesto, pero sólo para múltiplos enteros del plazo de capitalización. Para plazos distintos existen diversas reglas.</t>
  </si>
  <si>
    <t>* Los intereses ganados entre dos momentos cualquiera (a menos que exista una entrada o salida de caja intermedia) es igual a: P*[(1+i)^t2 - (1+i)^t1]</t>
  </si>
  <si>
    <t>* El monto de intereses entre dos momentos cualquiera (a menos que exista una capitalización intermedia, o una entrada o salida de caja) es igual a: (t2-t1)*i</t>
  </si>
  <si>
    <t>Formula</t>
  </si>
  <si>
    <t>F=P(1+i*t)</t>
  </si>
  <si>
    <t>F=P(1+i)^t</t>
  </si>
  <si>
    <t>Fuente: Apuntes de Matematicas Financieras, R. Cornejo, M. Chang - ESAN</t>
  </si>
  <si>
    <t>EVALUACION DE CREDITOS</t>
  </si>
  <si>
    <t>EJEMPLO 1: COMPARAR INTERÉS CON TASA DE INTERÉS AL EVALUAR CRÉDITOS</t>
  </si>
  <si>
    <t>Consideremos las dos siguientes líneas de crédito:</t>
  </si>
  <si>
    <t>LÍNEA  A:</t>
  </si>
  <si>
    <t>LÍNEA  B:</t>
  </si>
  <si>
    <t>Si calculamos los intereses en ambas líneas tendríamos:</t>
  </si>
  <si>
    <t>LA MEJOR????</t>
  </si>
  <si>
    <t>Más "caro" en términos de pago de intereses</t>
  </si>
  <si>
    <t>Calculamos la tasa del crédito</t>
  </si>
  <si>
    <t>Más "caro" en términos de tasa de interés</t>
  </si>
  <si>
    <t>La tasa se calcula con la TIR</t>
  </si>
  <si>
    <t>Una cosa es evaluar por montos o tasas.</t>
  </si>
  <si>
    <t>Lo cual indica que el crédito más caro es la línea A.</t>
  </si>
  <si>
    <t>EJEMPLO 2: COMPARAR TASA DE INTERÉS CON VALOR DE LA DEUDA AL EVALUAR CRÉDITOS</t>
  </si>
  <si>
    <t>CPPC</t>
  </si>
  <si>
    <t>TIR</t>
  </si>
  <si>
    <t>VF de la deuda</t>
  </si>
  <si>
    <t>VA de la deuda</t>
  </si>
  <si>
    <t xml:space="preserve"> </t>
  </si>
  <si>
    <t>TIR la tasa que gana el acreedor (banco)</t>
  </si>
  <si>
    <t>Linea B es màs caro</t>
  </si>
  <si>
    <t>SISTEMAS DE AMORTIZACIÓN ALEMAN</t>
  </si>
  <si>
    <t>AMORTIZACION CONSTANTE</t>
  </si>
  <si>
    <t>En el sistema aleman lo primero que se calcula es la amortizacion</t>
  </si>
  <si>
    <t>Plazo (meses)</t>
  </si>
  <si>
    <t>Amortizacion constante, el prestamo se devuelve en partes iguales</t>
  </si>
  <si>
    <t>Tasa (TCEA)</t>
  </si>
  <si>
    <t>TEM</t>
  </si>
  <si>
    <t>Modalidad</t>
  </si>
  <si>
    <t>Sist. Alemán</t>
  </si>
  <si>
    <t>(Amortización constante)</t>
  </si>
  <si>
    <t>Mes</t>
  </si>
  <si>
    <t>Saldo</t>
  </si>
  <si>
    <t>Interés</t>
  </si>
  <si>
    <t>Amortización</t>
  </si>
  <si>
    <t xml:space="preserve">Cuota </t>
  </si>
  <si>
    <t>Flujo</t>
  </si>
  <si>
    <t>SISTEMAS DE AMORTIZACIÓN FRANCES</t>
  </si>
  <si>
    <t>CUOTAS CONSTANTES</t>
  </si>
  <si>
    <t>Transformar la tasa efectiva</t>
  </si>
  <si>
    <t>Primero se calcula la cuota con la funcion PAGO</t>
  </si>
  <si>
    <t>Tasa (TEA)</t>
  </si>
  <si>
    <t>Sist. Francés</t>
  </si>
  <si>
    <t>PAGO</t>
  </si>
  <si>
    <t>FLUJO</t>
  </si>
  <si>
    <t>SISTEMAS DE AMORTIZACIÓN AMERICANO</t>
  </si>
  <si>
    <t>TODO SE AMORTIZA AL FINAL</t>
  </si>
  <si>
    <t>Sist. Americano</t>
  </si>
  <si>
    <t>Pago</t>
  </si>
  <si>
    <t>SISTEMA FRANCES</t>
  </si>
  <si>
    <t>Plazo</t>
  </si>
  <si>
    <t>Cuotas constantes</t>
  </si>
  <si>
    <t>Cuotas</t>
  </si>
  <si>
    <t>Principal</t>
  </si>
  <si>
    <t>Amortizacion</t>
  </si>
  <si>
    <t>Interes</t>
  </si>
  <si>
    <t>Cuota Constante</t>
  </si>
  <si>
    <t>CUOTAS DECRECIENTES</t>
  </si>
  <si>
    <t>Cuotas decrecientes</t>
  </si>
  <si>
    <t>SISTEMA ALEMAN</t>
  </si>
  <si>
    <t>SIMULACION</t>
  </si>
  <si>
    <t>Caso:</t>
  </si>
  <si>
    <t>Decisión de prestamo</t>
  </si>
  <si>
    <t>Banco Continental</t>
  </si>
  <si>
    <t>Banco Credito</t>
  </si>
  <si>
    <t>Monto prestamo</t>
  </si>
  <si>
    <t>Portes año</t>
  </si>
  <si>
    <t>Mantenimiento</t>
  </si>
  <si>
    <t>Seguro Desgr</t>
  </si>
  <si>
    <t>Sistema:</t>
  </si>
  <si>
    <t>Pago mensual</t>
  </si>
  <si>
    <t>Amortizacion mensual constante</t>
  </si>
  <si>
    <t>De qué banco se solicitaría el crédito</t>
  </si>
  <si>
    <t>Solución</t>
  </si>
  <si>
    <t>a) BANCO CONTINENTAL</t>
  </si>
  <si>
    <t>El cuadro de sevicio de deuda será:</t>
  </si>
  <si>
    <t>Meses</t>
  </si>
  <si>
    <t>Saldo deuda</t>
  </si>
  <si>
    <t>Portes</t>
  </si>
  <si>
    <t>Mantenim</t>
  </si>
  <si>
    <t>Desgravamen</t>
  </si>
  <si>
    <t>Pago Total</t>
  </si>
  <si>
    <t>b) BANCO DE CREDITO</t>
  </si>
  <si>
    <t>Formula: Amortización = Préstamo / Número de Pagos</t>
  </si>
  <si>
    <t>Amortización = 25,000 / 8 =</t>
  </si>
  <si>
    <t>Caso: Calculo del Costo Efectivo de un Crédito</t>
  </si>
  <si>
    <t xml:space="preserve">Solicitamos un crédito para capital de trabajo de S/. </t>
  </si>
  <si>
    <t>a 6 meses.</t>
  </si>
  <si>
    <t>Instrucciones para hacer el cálculo:</t>
  </si>
  <si>
    <t>1) Identificación de los gastos asociados al crédito:</t>
  </si>
  <si>
    <t>Monto prestado</t>
  </si>
  <si>
    <t>Tasa de interés efectiva anual</t>
  </si>
  <si>
    <t>Portes por año</t>
  </si>
  <si>
    <t>Mantenimiento mensual</t>
  </si>
  <si>
    <t>Pago del crédito</t>
  </si>
  <si>
    <t>Tiempo prestamo</t>
  </si>
  <si>
    <t>2) Cálculo de la tasa mensual:</t>
  </si>
  <si>
    <t>La tasa mensual se calcula asi:</t>
  </si>
  <si>
    <t>i mensual =</t>
  </si>
  <si>
    <t>3) Calculo del servicio de la deuda:</t>
  </si>
  <si>
    <t>Consideramos un pago constante mensual</t>
  </si>
  <si>
    <t>Concepto</t>
  </si>
  <si>
    <t>Total</t>
  </si>
  <si>
    <t>Desembolso</t>
  </si>
  <si>
    <t>Cuota</t>
  </si>
  <si>
    <t>4) Cálculo del costo efectivo del crédito mensual:</t>
  </si>
  <si>
    <t>Flujo de fondos</t>
  </si>
  <si>
    <t>TIR =</t>
  </si>
  <si>
    <t>5) Pasar a tasa anual:</t>
  </si>
  <si>
    <t>La tasa anual se calcula asi:</t>
  </si>
  <si>
    <t>i % anual</t>
  </si>
  <si>
    <t>aprox</t>
  </si>
  <si>
    <t>Este es mayor al 38% que el banco dijo que iba a costar el crédito.</t>
  </si>
  <si>
    <t>Aplicación comercial: Amortización de un prestamo</t>
  </si>
  <si>
    <t xml:space="preserve">Una empresa solicita un préstamo de S/. 15,000 por un plazo de 8 meses. El banco </t>
  </si>
  <si>
    <t>le propone dos formas de pago:</t>
  </si>
  <si>
    <t>a) Pagos mensuales constantes.</t>
  </si>
  <si>
    <t>b) Amortizaciones mensuales constantes.</t>
  </si>
  <si>
    <t xml:space="preserve">Elaborar en ambos casos el cuadro de servicio de deuda, considerando que la </t>
  </si>
  <si>
    <t>la tasa de interes efectivo es del 1.4% mensual.</t>
  </si>
  <si>
    <t xml:space="preserve">a) Como los pagos son mensuales y constantes, pueden ser calculados con las </t>
  </si>
  <si>
    <t>formulas de anualidades.</t>
  </si>
  <si>
    <t>A = 15,000 * (1.4% / (1-(1+1.4%)^-8) =</t>
  </si>
  <si>
    <t>b) Se calculan las amortizaciones constantes dividiendo el monto del préstamo en 8 pagos constantes;</t>
  </si>
  <si>
    <t>Amortización = 15,000 / 8 =</t>
  </si>
  <si>
    <t>SISTEMAS DE AMORTIZACIÓN</t>
  </si>
  <si>
    <t>CAMBIO DE TASA</t>
  </si>
  <si>
    <t>Cuando hay un cambio en las reglas de juego hay que calcular el saldo</t>
  </si>
  <si>
    <t>TEA</t>
  </si>
  <si>
    <t>considerarlo como un nuevo prestamo en las nuevas condiciones</t>
  </si>
  <si>
    <t>porque el pasado ya es historia.</t>
  </si>
  <si>
    <t>Problema: Si la tasa cambia a 20% TEA a partir del mes 3, determine el importe de la nueva cuota</t>
  </si>
  <si>
    <t>Ello significa que a partir del mes 3 habrá una nueva cuota, ésta la calculamos con el saldo al comenzar el mes 3 que es 8092,80 y la nueva TEM, utilizamos la función Pago para el recalculo de la cuota</t>
  </si>
  <si>
    <t>FCN</t>
  </si>
  <si>
    <t>Considerar como un nuevo préstamo</t>
  </si>
  <si>
    <t>TCC a.i. (TEM)</t>
  </si>
  <si>
    <t>TCC a.i. (TEA)</t>
  </si>
  <si>
    <t>Perpetuidad</t>
  </si>
  <si>
    <t xml:space="preserve">Para que mis dos hijos estudien becados en una universidad de prestigio, dentro </t>
  </si>
  <si>
    <t>de 10 años es requisito fundamental entre otros, depositar el día de hoy una suma</t>
  </si>
  <si>
    <t>de dinero en una institución financiera que paga mensualmente por ahorros de</t>
  </si>
  <si>
    <t>este tipo el 1.5% y que permite a la institución disponer de S/. 2,500 mensuales</t>
  </si>
  <si>
    <t>a perpetuidad. Cuánto debo depositar el día de hoy.</t>
  </si>
  <si>
    <t>Solución:</t>
  </si>
  <si>
    <t>A=</t>
  </si>
  <si>
    <t>i=</t>
  </si>
  <si>
    <t>P=</t>
  </si>
  <si>
    <t>|</t>
  </si>
  <si>
    <t>P perpetuo = Anualidad perpetua / interes</t>
  </si>
  <si>
    <t>Debo depositar hoy en día S/. 166,666.67, mensualmente el dinero gana S/. 2,500 de interes.</t>
  </si>
  <si>
    <t>Este interes constituye la beca.</t>
  </si>
  <si>
    <t>Caso 1:</t>
  </si>
  <si>
    <t>Una empresa de bienes raices, tiene los siguientes planes de venta para un determinado tipo de</t>
  </si>
  <si>
    <t>departamentos.</t>
  </si>
  <si>
    <t>Si la tasa de interes promedio de mercado es de 24% simple y se supone que no cambiará</t>
  </si>
  <si>
    <t>en los próximos 6 años. ¿Cuál es el mejor plan y por qué?</t>
  </si>
  <si>
    <t>A primera vista se escogería el Plan A, cuya cantidad es menor a la de los otros planes, sin</t>
  </si>
  <si>
    <t>embargo un análisita financiero les recomendaría analizar los valores presentes del plan B y C,</t>
  </si>
  <si>
    <t>y comparar estos resultados con el plan A.</t>
  </si>
  <si>
    <t>Calculo del valor presente para el Plan B:</t>
  </si>
  <si>
    <t>Hacemos una linea en el tiempo</t>
  </si>
  <si>
    <t>VP 0 = 200,000 + VP 1 + VP 2 + VP 3</t>
  </si>
  <si>
    <t>VP 1 = 150,000 / (1+24%)^1 =</t>
  </si>
  <si>
    <t>VP 2 = 150,000 / (1+24%)^2 =</t>
  </si>
  <si>
    <t>VP 3 = 150,000 / (1+24%)^3) =</t>
  </si>
  <si>
    <t>Valor Presente Plan B =</t>
  </si>
  <si>
    <t>VP =</t>
  </si>
  <si>
    <t>Calculo del valor presente para el Plan C:</t>
  </si>
  <si>
    <t>VP 0 = 300,000 + VP 6</t>
  </si>
  <si>
    <t>VP 6 = 500,000 / (1+24%)^6 =</t>
  </si>
  <si>
    <t>Valor Presente Plan C =</t>
  </si>
  <si>
    <t>Comparación</t>
  </si>
  <si>
    <t>Plan</t>
  </si>
  <si>
    <t>VP</t>
  </si>
  <si>
    <t>A</t>
  </si>
  <si>
    <t>B</t>
  </si>
  <si>
    <t>C</t>
  </si>
  <si>
    <t>La mejor opción es el Plan A</t>
  </si>
  <si>
    <t>Caso 02</t>
  </si>
  <si>
    <t>trimestral, fue vendido 9 meses antes de su vencimiento, con un rendimiento del 3% con</t>
  </si>
  <si>
    <t>capitalización mensual. Se desea saber el valor del documento que fue vendido.</t>
  </si>
  <si>
    <t>Primero calcularemos el valor del pagaré en su vencimiento, y luego calculamos su valor</t>
  </si>
  <si>
    <t>9 meses antes de su vencimiento.</t>
  </si>
  <si>
    <t>i = 24% annual</t>
  </si>
  <si>
    <t>Capitalizac Trimestral</t>
  </si>
  <si>
    <t>n = 9 meses</t>
  </si>
  <si>
    <t>i = 3% capitaliza mensual</t>
  </si>
  <si>
    <t>Calculo del valor del pagaré a su vencimiento:</t>
  </si>
  <si>
    <t>Calculo la tasa trimestral:</t>
  </si>
  <si>
    <t>I% trimestral = (1+i% año)^(1/4) - 1</t>
  </si>
  <si>
    <t>I % trimes =</t>
  </si>
  <si>
    <t>F = 3,000,000 (1+6%)^3*4 =</t>
  </si>
  <si>
    <t>F = P (1 + i%) ^t</t>
  </si>
  <si>
    <t>Calculo del valor al que fue vendido el documento:</t>
  </si>
  <si>
    <t>C = F / (1+3%)^9 =</t>
  </si>
  <si>
    <t xml:space="preserve">C = </t>
  </si>
  <si>
    <t>Es la cantidad a la que fue vendido el documento.</t>
  </si>
  <si>
    <t>Caso 03</t>
  </si>
  <si>
    <t>constante con una tasa de interés del 15% anual al rebatir, las condiciones de este financiamiento</t>
  </si>
  <si>
    <t>concepto de valorización o tasación de las garantias que van a respaldar al financiamiento del</t>
  </si>
  <si>
    <t>Banco. Determinar el costo neto de la deuda si el impuesto a la renta es 30%.</t>
  </si>
  <si>
    <t>El calendario de pago para la deuda es el siguiente:</t>
  </si>
  <si>
    <t>Año</t>
  </si>
  <si>
    <t>Deuda</t>
  </si>
  <si>
    <t>Total pago</t>
  </si>
  <si>
    <t>El flujo de caja de la deuda:</t>
  </si>
  <si>
    <t>I R =</t>
  </si>
  <si>
    <t>Total Pago</t>
  </si>
  <si>
    <t>Gastos</t>
  </si>
  <si>
    <t>Ahorro IR</t>
  </si>
  <si>
    <t>Flujo Neto</t>
  </si>
  <si>
    <t>Aplicando la condición de equivalencia del flujo neto se obtiene el costo de la deuda</t>
  </si>
  <si>
    <t>12,000 = 5,960 / (1+i) + 4,840 / (1+i)^2 + 4,420 / (1+i)^3</t>
  </si>
  <si>
    <t>Tanteando:</t>
  </si>
  <si>
    <t>dentro de 10 meses incluyéndose intereses. Sergio se da un plazo para cancelar sus deudas y acuerda con</t>
  </si>
  <si>
    <t>Suponiendo un rendimiento de 12% y considerando la fecha focal dentro de 6 meses, determinar el pago</t>
  </si>
  <si>
    <t>único mencionado.</t>
  </si>
  <si>
    <t>Solucion:</t>
  </si>
  <si>
    <t>Pero este esta por vencerse a los 6 meses, es decir ya transcurrió 12 meses.</t>
  </si>
  <si>
    <t>F1 = 2,500*(1+1.5*0.1) =</t>
  </si>
  <si>
    <t>F2 = 5,000</t>
  </si>
  <si>
    <t>vence dentro de 10 meses e incluye intereses.</t>
  </si>
  <si>
    <t xml:space="preserve">Fecha </t>
  </si>
  <si>
    <t>Pagos</t>
  </si>
  <si>
    <t>Focal</t>
  </si>
  <si>
    <t>Nuevos</t>
  </si>
  <si>
    <t>Sea "A" el pago único</t>
  </si>
  <si>
    <t>Entonces:</t>
  </si>
  <si>
    <t>Los pagos nuevos = Obligaciones originales</t>
  </si>
  <si>
    <t>´+4,000*(1+(6/12)*0.12) + A = 2,875 + 5,000/(1+(4/12)*0.12)</t>
  </si>
  <si>
    <t>´+ A =</t>
  </si>
  <si>
    <t>2,875 +</t>
  </si>
  <si>
    <t xml:space="preserve">Entonces: </t>
  </si>
  <si>
    <t>A =</t>
  </si>
  <si>
    <t>reemplazar los tres pagares por uno solo y con vencimiento el 31 de diciembre del mismo año. Siendo la tasa de</t>
  </si>
  <si>
    <t>de descuento 9% y 19 % de interés simple en caso de mora. Calcular el valor de este nuevo pagaré.</t>
  </si>
  <si>
    <t>Graficando las obligaciones tenemos:</t>
  </si>
  <si>
    <t>P3 =</t>
  </si>
  <si>
    <t>P2 =</t>
  </si>
  <si>
    <t>P1 =</t>
  </si>
  <si>
    <t>"A"</t>
  </si>
  <si>
    <t>Primero calculamos el valor de los pagares al 20 de mayo</t>
  </si>
  <si>
    <t xml:space="preserve">    en 20 días</t>
  </si>
  <si>
    <t>F = P * (1+i*n)</t>
  </si>
  <si>
    <t>F1 =</t>
  </si>
  <si>
    <t>b) Calculamos el valor del segundo pagare de S/. 25,000</t>
  </si>
  <si>
    <t>Formula: A = N * (1 - n*i)</t>
  </si>
  <si>
    <t>Donde A = Valor Actual</t>
  </si>
  <si>
    <t>i = 9%</t>
  </si>
  <si>
    <t xml:space="preserve">          N = Valor Nominal</t>
  </si>
  <si>
    <t>n = 11/360</t>
  </si>
  <si>
    <t>A2 =</t>
  </si>
  <si>
    <t>c) Calculamos el valor del segundo pagare de S/. 50,000</t>
  </si>
  <si>
    <t>n = 42/360</t>
  </si>
  <si>
    <t>A3 =</t>
  </si>
  <si>
    <t>Entoncés el Valor actual de los pagares al 20 de Mayo será de:</t>
  </si>
  <si>
    <t>A = F1 + A2 + A3</t>
  </si>
  <si>
    <t>Como conocemos el valor actual del pagaré al 20 de Mayo encontraremos su valor de vencimiento al 31 diciembre.</t>
  </si>
  <si>
    <t>n = 226/360</t>
  </si>
  <si>
    <t>Entonces: N = A / (1 - n*i)</t>
  </si>
  <si>
    <t>N =</t>
  </si>
  <si>
    <t>Entonces el valor del nuevo pagare al 31 de diciembre es de S/. 110,666.84</t>
  </si>
  <si>
    <t>EJERCICIO DE CAPITAL DE TRABAJO</t>
  </si>
  <si>
    <t>Ventas anuales</t>
  </si>
  <si>
    <t>Crecimiento en ventas</t>
  </si>
  <si>
    <t>Estructura de Costos:</t>
  </si>
  <si>
    <t>Mano de obra</t>
  </si>
  <si>
    <t>Materiales</t>
  </si>
  <si>
    <t>Caja</t>
  </si>
  <si>
    <t>% caja minimo</t>
  </si>
  <si>
    <t>% CAJA MINIMO * VENTAS</t>
  </si>
  <si>
    <t>OK</t>
  </si>
  <si>
    <t>Cuentas por cobrar</t>
  </si>
  <si>
    <t>días</t>
  </si>
  <si>
    <t>Período Promedio de Cobro</t>
  </si>
  <si>
    <t>PPC</t>
  </si>
  <si>
    <t>PPC * VENTAS / 360</t>
  </si>
  <si>
    <t xml:space="preserve">Inventario de materiales </t>
  </si>
  <si>
    <t>Mínimo (coverage) días</t>
  </si>
  <si>
    <t>Compras (lead time) días</t>
  </si>
  <si>
    <t>(INV.MIN+COMPRA/2)/360 *(%MAT*VENTAS)</t>
  </si>
  <si>
    <t>Inventario productos en proceso</t>
  </si>
  <si>
    <t>Duración días</t>
  </si>
  <si>
    <t>DURACION*((%MAT+%MO)/2*VENTAS)/360</t>
  </si>
  <si>
    <t>Inventario de producto terminado</t>
  </si>
  <si>
    <t>Inventario minimo (coverage) días</t>
  </si>
  <si>
    <t>INV. MIN PT*((%MAT+%MO)*VENTAS) / 360</t>
  </si>
  <si>
    <t>Cuentas por pagar</t>
  </si>
  <si>
    <t>PPP</t>
  </si>
  <si>
    <t>PPP * (%MAT*VENTAS) / 360</t>
  </si>
  <si>
    <t>OK ( - )</t>
  </si>
  <si>
    <t>NECESIDADES DE CAPITAL</t>
  </si>
  <si>
    <t>FLUJO DE NECESIDAD DE CAPITAL</t>
  </si>
  <si>
    <t>Variación de capital de trabajo</t>
  </si>
  <si>
    <t>Caso: SOCIEDAD CANGURO</t>
  </si>
  <si>
    <t>CALCULO DEL CAPITAL CIRCULANTE MINIMO</t>
  </si>
  <si>
    <t>DATOS:</t>
  </si>
  <si>
    <t>Ventas estimadas annual</t>
  </si>
  <si>
    <t>unidades</t>
  </si>
  <si>
    <t xml:space="preserve">Se debe tener existencias para atender ventas por </t>
  </si>
  <si>
    <t>(cobertura de ventas)</t>
  </si>
  <si>
    <t>Ciclo de producción</t>
  </si>
  <si>
    <t>Materiales direc: demora</t>
  </si>
  <si>
    <t>Plazo pago</t>
  </si>
  <si>
    <t>Ventas:</t>
  </si>
  <si>
    <t>% al contado</t>
  </si>
  <si>
    <t>a</t>
  </si>
  <si>
    <t>Estructura de costos por unidad:</t>
  </si>
  <si>
    <t>Unid medid</t>
  </si>
  <si>
    <t>Cantidad</t>
  </si>
  <si>
    <t>Cto unitario</t>
  </si>
  <si>
    <t>Costo total</t>
  </si>
  <si>
    <t>Costo materiales directos</t>
  </si>
  <si>
    <t>Kg</t>
  </si>
  <si>
    <t>Costo transformación</t>
  </si>
  <si>
    <t>Hr/Maq</t>
  </si>
  <si>
    <t>a) Cálculo de la inversión mínima en existencias de materiales</t>
  </si>
  <si>
    <t>Unidades a producir</t>
  </si>
  <si>
    <t>Para vender</t>
  </si>
  <si>
    <t>Para stock</t>
  </si>
  <si>
    <t>Consumo de materiales:</t>
  </si>
  <si>
    <t>soles annual</t>
  </si>
  <si>
    <t>Consumo materiales diario</t>
  </si>
  <si>
    <t>soles dia</t>
  </si>
  <si>
    <t>Inversión en materiales</t>
  </si>
  <si>
    <t>soles para tener stock de materiales por 15 días para atender la producción</t>
  </si>
  <si>
    <t>b) Cálculo de la inversión mínima de costo de producción en proceso</t>
  </si>
  <si>
    <t>Costo de produccion en proceso del ejercico</t>
  </si>
  <si>
    <t>Costo de producción medio diario</t>
  </si>
  <si>
    <t>Inversión del período en producción en curso</t>
  </si>
  <si>
    <t>c) Cálculo de la inversión mínima en productos terminados</t>
  </si>
  <si>
    <t>Costo de ventas del período</t>
  </si>
  <si>
    <t>Costo de ventas medio diario</t>
  </si>
  <si>
    <t>Inversión del período en Productos Terminados</t>
  </si>
  <si>
    <t>d) Inversión mínima en créditos concedidos a clientes</t>
  </si>
  <si>
    <t>Ventas del ejercicio</t>
  </si>
  <si>
    <t>Ventas media diaria</t>
  </si>
  <si>
    <t>Plazo crédito medio concedido a clientes:</t>
  </si>
  <si>
    <t>% ventas</t>
  </si>
  <si>
    <t>Credito días</t>
  </si>
  <si>
    <t>No días</t>
  </si>
  <si>
    <t>Crédito del período</t>
  </si>
  <si>
    <t>e) Financiamiento concedido por los proveedores de materiales</t>
  </si>
  <si>
    <t>Compras del ejercicio:</t>
  </si>
  <si>
    <t>Para consumo</t>
  </si>
  <si>
    <t>Compra media diaria</t>
  </si>
  <si>
    <t>Financiamiento proveed</t>
  </si>
  <si>
    <t>CALCULO FINAL DE NECESIDADES ESTIMADAS DE CAPITAL CIRCULANTE O CAPITAL MINIMO</t>
  </si>
  <si>
    <t>Activo Circulante</t>
  </si>
  <si>
    <t>Producción en Proceso</t>
  </si>
  <si>
    <t>Productos Terminados</t>
  </si>
  <si>
    <t>Ventas (Ctas x Cobrar)</t>
  </si>
  <si>
    <t>Total Activo Circulante</t>
  </si>
  <si>
    <t>Pasivo Circulante</t>
  </si>
  <si>
    <t>Proveedores (Ctas x Pag)</t>
  </si>
  <si>
    <t>Total Pasivo Circulante</t>
  </si>
  <si>
    <t>Capital Circulante Mínimo</t>
  </si>
  <si>
    <t>CICLO DE CONVERSION DE EFECTIVO</t>
  </si>
  <si>
    <t>CCE     =  Período de Inventarios   +   Período de Cobranza   -   Período de Pagos</t>
  </si>
  <si>
    <r>
      <t xml:space="preserve">Acabamos de calcular el </t>
    </r>
    <r>
      <rPr>
        <b/>
        <i/>
        <u/>
        <sz val="10"/>
        <color indexed="18"/>
        <rFont val="Arial"/>
        <family val="2"/>
      </rPr>
      <t xml:space="preserve">Período de Inmovilización </t>
    </r>
    <r>
      <rPr>
        <b/>
        <i/>
        <sz val="10"/>
        <color indexed="18"/>
        <rFont val="Arial"/>
        <family val="2"/>
      </rPr>
      <t xml:space="preserve">de los 3 tipos de </t>
    </r>
    <r>
      <rPr>
        <b/>
        <i/>
        <u/>
        <sz val="10"/>
        <color indexed="18"/>
        <rFont val="Arial"/>
        <family val="2"/>
      </rPr>
      <t>inventarios</t>
    </r>
    <r>
      <rPr>
        <b/>
        <i/>
        <sz val="10"/>
        <color indexed="18"/>
        <rFont val="Arial"/>
        <family val="2"/>
      </rPr>
      <t xml:space="preserve"> con los que trabaja la empresa industrial.                                                                                             Recordemos ahora cómo se calculaban los </t>
    </r>
    <r>
      <rPr>
        <b/>
        <i/>
        <u/>
        <sz val="10"/>
        <color indexed="18"/>
        <rFont val="Arial"/>
        <family val="2"/>
      </rPr>
      <t>Períodos de Cobranza</t>
    </r>
    <r>
      <rPr>
        <b/>
        <i/>
        <sz val="10"/>
        <color indexed="18"/>
        <rFont val="Arial"/>
        <family val="2"/>
      </rPr>
      <t xml:space="preserve"> y de </t>
    </r>
    <r>
      <rPr>
        <b/>
        <i/>
        <u/>
        <sz val="10"/>
        <color indexed="18"/>
        <rFont val="Arial"/>
        <family val="2"/>
      </rPr>
      <t>Pagos</t>
    </r>
    <r>
      <rPr>
        <b/>
        <i/>
        <sz val="10"/>
        <color indexed="18"/>
        <rFont val="Arial"/>
        <family val="2"/>
      </rPr>
      <t>.</t>
    </r>
  </si>
  <si>
    <t>Asumamos que la empresa que estamos analizando nos suministra la siguiente información adicional extraída tanto de su Balance General como de su Estado de Resultados:</t>
  </si>
  <si>
    <t>Ingresos por Ventas</t>
  </si>
  <si>
    <t>Compras de Materiales</t>
  </si>
  <si>
    <t>MD + MI</t>
  </si>
  <si>
    <t>Saldo promedio de Cuentas por cobrar</t>
  </si>
  <si>
    <t>Saldo promedio de Cuentas por pagar</t>
  </si>
  <si>
    <t>PERÍODO PROMEDIO DE INVENTARIOS     =      PP MD   +   PP PP    +    PP  PT</t>
  </si>
  <si>
    <t xml:space="preserve"> PERÍODO PROMEDIO DE INVENTARIOS     =   </t>
  </si>
  <si>
    <r>
      <t xml:space="preserve">PERÍODO PROMEDIO DE COBRANZA     =      VENTAS   </t>
    </r>
    <r>
      <rPr>
        <b/>
        <sz val="6"/>
        <color indexed="12"/>
        <rFont val="Arial"/>
        <family val="2"/>
      </rPr>
      <t xml:space="preserve">X </t>
    </r>
    <r>
      <rPr>
        <b/>
        <sz val="9"/>
        <color indexed="12"/>
        <rFont val="Arial"/>
        <family val="2"/>
      </rPr>
      <t xml:space="preserve">    360 </t>
    </r>
    <r>
      <rPr>
        <b/>
        <sz val="11"/>
        <color indexed="12"/>
        <rFont val="Arial"/>
        <family val="2"/>
      </rPr>
      <t xml:space="preserve"> /</t>
    </r>
    <r>
      <rPr>
        <b/>
        <sz val="9"/>
        <color indexed="12"/>
        <rFont val="Arial"/>
        <family val="2"/>
      </rPr>
      <t xml:space="preserve">  SALDO DE CUENTAS POR COBRAR</t>
    </r>
  </si>
  <si>
    <t xml:space="preserve"> PERÍODO PROMEDIO DE COBRANZA     =   </t>
  </si>
  <si>
    <r>
      <t xml:space="preserve">PERÍODO PROMEDIO DE PAGO     =      COMPRAS   </t>
    </r>
    <r>
      <rPr>
        <b/>
        <sz val="6"/>
        <color indexed="12"/>
        <rFont val="Arial"/>
        <family val="2"/>
      </rPr>
      <t xml:space="preserve"> X</t>
    </r>
    <r>
      <rPr>
        <b/>
        <sz val="11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 xml:space="preserve">   360 </t>
    </r>
    <r>
      <rPr>
        <b/>
        <sz val="12"/>
        <color indexed="12"/>
        <rFont val="Arial"/>
        <family val="2"/>
      </rPr>
      <t xml:space="preserve"> /</t>
    </r>
    <r>
      <rPr>
        <b/>
        <sz val="9"/>
        <color indexed="12"/>
        <rFont val="Arial"/>
        <family val="2"/>
      </rPr>
      <t xml:space="preserve">  SALDO DE CUENTAS POR PAGAR</t>
    </r>
  </si>
  <si>
    <t xml:space="preserve"> PERÍODO PROMEDIO DE PAGO A PROVEEDORES     =   </t>
  </si>
  <si>
    <t>CICLO OPERATIVO        =      PPI   +   PPC</t>
  </si>
  <si>
    <t>CICLO DE CONVERSIÓN DEL EFECTIVO        =      PPI   +   PPC  -  PPP</t>
  </si>
  <si>
    <t>CICLO DE CONVERSIÓN DEL EFECTIVO</t>
  </si>
  <si>
    <t>Siglas utilizadas.</t>
  </si>
  <si>
    <t>PP  MD    =      Período promedio de inmovilización de Materiales directos.</t>
  </si>
  <si>
    <t>PP  PP     =      Período promedio de inmovilización de Productos en Proceso.</t>
  </si>
  <si>
    <t>PP  PT     =      Período promedio de inmovilización de Productos Terminados.</t>
  </si>
  <si>
    <t xml:space="preserve">    PPI      =      Período promedio de inmovilización de inventarios.</t>
  </si>
  <si>
    <t xml:space="preserve">    PPC     =      Período promedio de Cobranzas.</t>
  </si>
  <si>
    <t xml:space="preserve">    PPP     =      Período promedio de Cobranzas.</t>
  </si>
  <si>
    <t>CICLO OPERATIVO DE CAJA</t>
  </si>
  <si>
    <t>Estado de Resultados</t>
  </si>
  <si>
    <t>Ventas</t>
  </si>
  <si>
    <t>%</t>
  </si>
  <si>
    <t>Costo Ventas</t>
  </si>
  <si>
    <t>Gasto Operativo</t>
  </si>
  <si>
    <t>Utilidad</t>
  </si>
  <si>
    <t>Ciclo Neto de Caja</t>
  </si>
  <si>
    <t>En días</t>
  </si>
  <si>
    <t>Empresa A</t>
  </si>
  <si>
    <t>Existencias</t>
  </si>
  <si>
    <t>Ciclo Operativo</t>
  </si>
  <si>
    <t>Gastos operativos</t>
  </si>
  <si>
    <t>Tengo caja para cubrir 85 dias de gastos operativos</t>
  </si>
  <si>
    <t>Preguntas:</t>
  </si>
  <si>
    <t>1) Cuánta caja se necesita por soles de venta para financiar los</t>
  </si>
  <si>
    <t>costos y gastos del Estado de Resultado?</t>
  </si>
  <si>
    <t>2) Cuánta venta se debe realizar para financiar S/. 1 en el ciclo</t>
  </si>
  <si>
    <t>siguiente</t>
  </si>
  <si>
    <t>3) Cuál es la tasa anual de crecimiento sostenible con recursos propios</t>
  </si>
  <si>
    <t>Pregunta 1</t>
  </si>
  <si>
    <t>Empresa "A"</t>
  </si>
  <si>
    <t>% de días</t>
  </si>
  <si>
    <t>de venta</t>
  </si>
  <si>
    <t>en el ciclo</t>
  </si>
  <si>
    <t>Costo de Ventas</t>
  </si>
  <si>
    <t>Gastos Operativos</t>
  </si>
  <si>
    <t>Pregunta 2</t>
  </si>
  <si>
    <t>X=</t>
  </si>
  <si>
    <t>Pregunta 3</t>
  </si>
  <si>
    <t>170 díás</t>
  </si>
  <si>
    <t xml:space="preserve">     S/. 1.00 financiará el Y%</t>
  </si>
  <si>
    <t>360 díás</t>
  </si>
  <si>
    <t>Y=</t>
  </si>
  <si>
    <t>para 170 días</t>
  </si>
  <si>
    <t>para 360 días</t>
  </si>
  <si>
    <t>Tiempo vida empresa=</t>
  </si>
  <si>
    <t>CPPC =</t>
  </si>
  <si>
    <t>Conceptos</t>
  </si>
  <si>
    <t>Antes</t>
  </si>
  <si>
    <t>Despues</t>
  </si>
  <si>
    <t>Ventas año 1</t>
  </si>
  <si>
    <t>Al contado</t>
  </si>
  <si>
    <t>A 90 días</t>
  </si>
  <si>
    <t>A 120 días</t>
  </si>
  <si>
    <t>A 180 días</t>
  </si>
  <si>
    <t>Costo Materiales</t>
  </si>
  <si>
    <t>Costo Mano Obra</t>
  </si>
  <si>
    <t>Incobrables</t>
  </si>
  <si>
    <t>Incremento Costo Fijo</t>
  </si>
  <si>
    <t>Crecimiento año 2</t>
  </si>
  <si>
    <t>Crecimiento año 3</t>
  </si>
  <si>
    <t>Crecimiento año 4</t>
  </si>
  <si>
    <t>Inversión adicional año=0</t>
  </si>
  <si>
    <t>FLUJO: ESCENARIO ANTES</t>
  </si>
  <si>
    <t>Año 0</t>
  </si>
  <si>
    <t>Año 1</t>
  </si>
  <si>
    <t>Año 2</t>
  </si>
  <si>
    <t>Año 3</t>
  </si>
  <si>
    <t>Año 4</t>
  </si>
  <si>
    <t>Inversión</t>
  </si>
  <si>
    <t>Necesidad de capital</t>
  </si>
  <si>
    <t>VAN =</t>
  </si>
  <si>
    <t>FLUJO: ESCENARIO DESPUES</t>
  </si>
  <si>
    <t>Incremento costo fijo</t>
  </si>
  <si>
    <t>DIFERENCIA VAN =</t>
  </si>
  <si>
    <t>El VAN diferencia significa que al cambiar nuestra política de créditos necesitamos una necesidad menor de capital de trabajo</t>
  </si>
  <si>
    <t>por lo tanto si podemos cambiar la política de créditos.</t>
  </si>
  <si>
    <t>CASO PRACTICO DE CUENTAS POR COBRAR:</t>
  </si>
  <si>
    <t>El valor de venta de un producto es S/ 10 por unidad de los cuales S/ 8 son costos variables.</t>
  </si>
  <si>
    <t>Dado que la empresa esta trabajando por debajo de su capacidad total, no se va a incurrir en costos fijos adicionales en</t>
  </si>
  <si>
    <t>caso de un incremento de la demanda y de las cuentas por cobrar.</t>
  </si>
  <si>
    <t>Actualmente, las ventas a créditos anuales es de S/ 2,400,000. La empresa puede decidir liberar hasta 2 meses el periodo</t>
  </si>
  <si>
    <t>promedio de cobranza para los nuevos clientes. No se espera que los clientes actuales modifiquen sus habitos de pago y</t>
  </si>
  <si>
    <t>continuen pagando en un mes.</t>
  </si>
  <si>
    <t>Se espera que este relajamiento en las normas de crédito produzca un incremento en las ventas en un 25% hasta llegar</t>
  </si>
  <si>
    <t>a los S/ 3,000,000 lo cual representa 60,000 unidades adicionales.</t>
  </si>
  <si>
    <t>El CPPC de soportar cuentas por cobrar adicionales es 20% antes de impuestos.</t>
  </si>
  <si>
    <t>Conviene relajar la políticas de crédito?</t>
  </si>
  <si>
    <t>SOLUCION</t>
  </si>
  <si>
    <t>1) Calculo de la rentabilidad de las ventas nuevas</t>
  </si>
  <si>
    <t>Rentabilidad = Unidades adicionales por el Margen de contribución</t>
  </si>
  <si>
    <t>Unidades adicionales</t>
  </si>
  <si>
    <t>MC unitario</t>
  </si>
  <si>
    <t>Rentabilidad</t>
  </si>
  <si>
    <t>2) Inversión en cuentas por cobrar adicionales</t>
  </si>
  <si>
    <t>Monto de cuentas por cobrar a soportar = ventas adicionales x dias</t>
  </si>
  <si>
    <t>Ventas adicionales</t>
  </si>
  <si>
    <t>Numero dias</t>
  </si>
  <si>
    <t>2 meses</t>
  </si>
  <si>
    <t>Días año</t>
  </si>
  <si>
    <t>Cuentas por cobrar adic</t>
  </si>
  <si>
    <t>Inversión CxC adicionales = CV unit x CxC adicional</t>
  </si>
  <si>
    <t>% de CV unit</t>
  </si>
  <si>
    <t xml:space="preserve">Inversión CxC adicionales </t>
  </si>
  <si>
    <t>3) Rendimiento requerido sobre la inversión adicional</t>
  </si>
  <si>
    <t>Rendimiento requerido = CPPC x Inversión CxC adicionales</t>
  </si>
  <si>
    <t>Rendimiento requerido</t>
  </si>
  <si>
    <t>Costo de capital de trabajo adicional</t>
  </si>
  <si>
    <t>SE ACEPTA PORQUE LA RENTABILIDAD ES MAYOR AL COSTO DE CREDITO ADICIONAL</t>
  </si>
  <si>
    <t>CALCULO DE CAPITAL DE TRABAJO</t>
  </si>
  <si>
    <t>METODO DEL DEFICIT ACUMULADO</t>
  </si>
  <si>
    <t>Saldo Inicial</t>
  </si>
  <si>
    <t>Ingreso S/.</t>
  </si>
  <si>
    <t>Egreso S/.</t>
  </si>
  <si>
    <t>Saldo Final</t>
  </si>
  <si>
    <t>Saldo Acum</t>
  </si>
  <si>
    <t>Capital de trabajo fijo</t>
  </si>
  <si>
    <t>Capital de trabajo variable por mes</t>
  </si>
  <si>
    <t>Margen bruto</t>
  </si>
  <si>
    <t>Plazo cobranza actual (días)</t>
  </si>
  <si>
    <t>Plazo cobranza a evaluar (días)</t>
  </si>
  <si>
    <t>Aumento en ventas por ampliar el plazo</t>
  </si>
  <si>
    <t>Margen bruto en nuevas ventas</t>
  </si>
  <si>
    <t>Aumento en Ctas x Cobrar por nuevas ventas</t>
  </si>
  <si>
    <t>Inversión adicional en cuentas por cobrar adic</t>
  </si>
  <si>
    <t>Margen = ventas - costos</t>
  </si>
  <si>
    <t>Nuevo nivel de Ctas x Cobrar de los clientes viejos al aumentar el plazo</t>
  </si>
  <si>
    <t>Inversión adicional en el nuevo nivel de Ctas x cobrar de clientes viejos</t>
  </si>
  <si>
    <t>Costo de mantener la inversión la inversión adicional en Ctas x cobrar</t>
  </si>
  <si>
    <t>Con estas cifras se concluye que si vale la pena cambiar la politica de cobranzas para obtener</t>
  </si>
  <si>
    <t>360 millones adicionales, ya que esto produce un beneficio adicional de 108 millones y el costo</t>
  </si>
  <si>
    <t>para lograrlo es de 87.12 millones.</t>
  </si>
  <si>
    <t>Cuentas incobrables 8% ventas nuevas</t>
  </si>
  <si>
    <t>Ingreso annual creciente</t>
  </si>
  <si>
    <t>Costo cobranzas (4% ventas nuevas)</t>
  </si>
  <si>
    <t>Costos ventas y admn (80% ventas nuevas)</t>
  </si>
  <si>
    <t>Ingreso annual antes de impuestos</t>
  </si>
  <si>
    <t>Impuestos 30%</t>
  </si>
  <si>
    <t>Ingreso annual creciente despues impuestos</t>
  </si>
  <si>
    <t>SI ES ACEPTABLE</t>
  </si>
  <si>
    <t>b) Cuentas por cobrar = ventas / rotacion de las cuentas por cobrar</t>
  </si>
  <si>
    <t>CASO EMPRESA REAL SAC</t>
  </si>
  <si>
    <t>ACTIVOS</t>
  </si>
  <si>
    <t>Activos Corrientes</t>
  </si>
  <si>
    <t>Caja y Bancos</t>
  </si>
  <si>
    <t>Cuentas por cobrar comerciales - terceros</t>
  </si>
  <si>
    <t>Cuentas por cobrar comerciales - relacionadas</t>
  </si>
  <si>
    <t>Cuentas por cobrar al personal, a los acc direc y ger</t>
  </si>
  <si>
    <t>Cuentas por cobrar diversas - terceras</t>
  </si>
  <si>
    <t>Cuentas por cobrar diversas - relacionadas</t>
  </si>
  <si>
    <t>Servicios y otros contratados por anticipo</t>
  </si>
  <si>
    <t>Estimación de cuentas por cobranza dudosa</t>
  </si>
  <si>
    <t>Mercaderias</t>
  </si>
  <si>
    <t>Materiales auxiliares y embalajes</t>
  </si>
  <si>
    <t>Envases y embalajes</t>
  </si>
  <si>
    <t>Activos no corrientes mantenidos para la venta</t>
  </si>
  <si>
    <t>Existencias por recibir</t>
  </si>
  <si>
    <t>Activo diferido</t>
  </si>
  <si>
    <t>Otros activos corrientes</t>
  </si>
  <si>
    <t>Anticipo proveedores</t>
  </si>
  <si>
    <t>Total activos corrientes</t>
  </si>
  <si>
    <t>Activo No corriente</t>
  </si>
  <si>
    <t>Activos adquiridos en arrendamiento financiero</t>
  </si>
  <si>
    <t>Inmueble, maquinaria y equipo</t>
  </si>
  <si>
    <t>Intangibles</t>
  </si>
  <si>
    <t>Depreciación, amortización y agotamiento acumulados</t>
  </si>
  <si>
    <t>Total activos No corrientes</t>
  </si>
  <si>
    <t>TOTAL DE ACTIVOS</t>
  </si>
  <si>
    <t>PASIVO Y PATRIMONIO</t>
  </si>
  <si>
    <t>Pasivo Corriente</t>
  </si>
  <si>
    <t>Sobregiro bancario</t>
  </si>
  <si>
    <t>Anticipos recibidos</t>
  </si>
  <si>
    <t>Tributos y aportes al sistema de pensiones y de salud por pagar</t>
  </si>
  <si>
    <t>Remuneraciones y participaciones por pagar</t>
  </si>
  <si>
    <t>Cuentas por pagar comerciales - terceros</t>
  </si>
  <si>
    <t>Cuentas por pagar comerciales - relacionadas</t>
  </si>
  <si>
    <t>Cuentas por pagar accionistas directores gerentes</t>
  </si>
  <si>
    <t>Obligaciones financieras</t>
  </si>
  <si>
    <t>Cuentas por pagar diversas - terceros</t>
  </si>
  <si>
    <t>Cuentas por pagar diversas - relacionadas</t>
  </si>
  <si>
    <t>Total pasivos corrientes</t>
  </si>
  <si>
    <t>Pasivos No Corrientes</t>
  </si>
  <si>
    <t>Pasivo no corriente</t>
  </si>
  <si>
    <t>Total pasivos corrientes y No corrientes</t>
  </si>
  <si>
    <t>Patrimonio</t>
  </si>
  <si>
    <t>Capital adicional</t>
  </si>
  <si>
    <t>Reservas</t>
  </si>
  <si>
    <t>Resultados acumulados</t>
  </si>
  <si>
    <t>Resultados del ejercicio</t>
  </si>
  <si>
    <t>Total patrimonio</t>
  </si>
  <si>
    <t>TOTAL PASIVO Y PATRIMONIO</t>
  </si>
  <si>
    <t>Descuentos, rebajas y bonificaciones concedidas</t>
  </si>
  <si>
    <t>Ventas Netas</t>
  </si>
  <si>
    <t>Costo de ventas</t>
  </si>
  <si>
    <t>Utilidad Bruta</t>
  </si>
  <si>
    <t>Gastos Administrativos</t>
  </si>
  <si>
    <t>Gastos de Ventas</t>
  </si>
  <si>
    <t>Gasto de Servicio Técnico</t>
  </si>
  <si>
    <t>Resultado de la Operación</t>
  </si>
  <si>
    <t>Otros ingresos y/o egresos</t>
  </si>
  <si>
    <t>Descuentos, rebajas y bonificaciones obtenidas</t>
  </si>
  <si>
    <t>Otros ingresos de gestión</t>
  </si>
  <si>
    <t>Ingresos financieros</t>
  </si>
  <si>
    <t>Gastos financieros</t>
  </si>
  <si>
    <t>Utilidad Antes de impuesto a la renta</t>
  </si>
  <si>
    <t>Impuesto a la Renta</t>
  </si>
  <si>
    <t>Utilidad Neta despues Impuesto a la Renta</t>
  </si>
  <si>
    <t>Utilidad antes de intereses e impuestos</t>
  </si>
  <si>
    <t>ESTRUCTURA DE COSTOS Y GASTOS</t>
  </si>
  <si>
    <t>2021*</t>
  </si>
  <si>
    <t>Gastos Servicio Tecnico</t>
  </si>
  <si>
    <t>Gastos Financieros</t>
  </si>
  <si>
    <t>EMPRESA REAL</t>
  </si>
  <si>
    <t>CIFRAS EN SOLES</t>
  </si>
  <si>
    <t>Monto S/</t>
  </si>
  <si>
    <t>Tasa %</t>
  </si>
  <si>
    <t>% Deuda</t>
  </si>
  <si>
    <t>Ponderado %</t>
  </si>
  <si>
    <t>Banco</t>
  </si>
  <si>
    <t>Deuda a Banco</t>
  </si>
  <si>
    <t>Proveedor</t>
  </si>
  <si>
    <t>Deuda a Proveedores</t>
  </si>
  <si>
    <t>Total tercero</t>
  </si>
  <si>
    <t>Ki</t>
  </si>
  <si>
    <t>Accionista</t>
  </si>
  <si>
    <t>Total Total</t>
  </si>
  <si>
    <t>Xi = D / (D+C)</t>
  </si>
  <si>
    <t>Xe = C / (D+C)</t>
  </si>
  <si>
    <t>Xi + Xe = 1</t>
  </si>
  <si>
    <t>R del Negocio</t>
  </si>
  <si>
    <t>Ke</t>
  </si>
  <si>
    <t>Xi</t>
  </si>
  <si>
    <t>Xe</t>
  </si>
  <si>
    <t>J</t>
  </si>
  <si>
    <t xml:space="preserve"> (Pagos constantes)</t>
  </si>
  <si>
    <t>Función PAGO</t>
  </si>
  <si>
    <t>Todo se amortiza al fina del último periodol</t>
  </si>
  <si>
    <t>Plan A: S/ 550,000 al contado</t>
  </si>
  <si>
    <t>Plan B: S/ 200,000 de enganche y tres pagos iguales anuales de S/ 150,000</t>
  </si>
  <si>
    <t>Plan C: S/ 300,000 de enganche y S/ 500,000 dentro de 6 años.</t>
  </si>
  <si>
    <t>Un pagaré firmado por S/ 3,000,000 a 3 años, a una tasa de interés de 24% con capitalización</t>
  </si>
  <si>
    <t>Una empresa asume un préstamo por S/ 12,000 pagaderos en tres cuotas anuales de principal</t>
  </si>
  <si>
    <t>requieren que la empresa al final del primer año realice un gasto adicional de S/ 1,000 por</t>
  </si>
  <si>
    <t>El día de hoy Sergio debe S/ 2,500 por un préstamo que vence dentro de 6 meses, esté prestamo fue</t>
  </si>
  <si>
    <t>hecho inicialmente a 18 meses y a una tasa de 10% de interés simple. Además debe S/ 5,000 que vence</t>
  </si>
  <si>
    <t>su acreedor pagar S/ 4,000 de inmediato y liquidar el saldo mediante un pago único dentro de seis meses.</t>
  </si>
  <si>
    <t>Calculando el valor del vencimiento de S/ 2,500 con intereses, a 18 meses y una tasa de 10% anual.</t>
  </si>
  <si>
    <t>Sergio debe al Banco de Crédito trea pagarés así: S/ 30,000 con vencimiento el 30 de Abril; S/ 25,000 con</t>
  </si>
  <si>
    <t>vencimiento el 31 de mayo y S/ 50,000 con vencimiento el 30 de Junio. El 20 de mayo, Sergio propone al Banco</t>
  </si>
  <si>
    <t>a) El primer pagare de S/ 30,000 vencido el 30 de abril calculamos su monto futuro con los intereses de mora de 10%</t>
  </si>
  <si>
    <t>Valor Venta Unitario S/</t>
  </si>
  <si>
    <t>S/ por S/</t>
  </si>
  <si>
    <t>S/1 de venta implica un retorno de S/ 0.05</t>
  </si>
  <si>
    <t>S/ X de venta implican un financ. de S/ 0.6691</t>
  </si>
  <si>
    <t>Si  S/13.382 financia el 100% del ciclo</t>
  </si>
  <si>
    <t xml:space="preserve">      S/ 1.00 financiará el Y%</t>
  </si>
  <si>
    <t>S/</t>
  </si>
  <si>
    <t>Estado de Situación Financiera al 31 de Diciembre (en Soles)</t>
  </si>
  <si>
    <t>Estado de Resultados al 31 de Diciembre (en Soles)</t>
  </si>
  <si>
    <t>2025*</t>
  </si>
  <si>
    <t>2024*</t>
  </si>
  <si>
    <t>CALCULO DEL CPPC 2021, 2022, 2023, 2024, 2025*</t>
  </si>
  <si>
    <t>LA CONVERSION DE TASAS</t>
  </si>
  <si>
    <t xml:space="preserve">SI SE TIENE UNA TASA DE UN PERIODO MAYOR Y SE TIENE QUE CALCULAR UNA TASA DE UN </t>
  </si>
  <si>
    <t>PERIODO MENOR SE TIENE RADICAR</t>
  </si>
  <si>
    <t xml:space="preserve">SI SE TIENE UNA TASA DE UN PERIODO MENOR Y SE TIENE QUE CALCULAR UNA TASA DE UN </t>
  </si>
  <si>
    <t>PERIODO MAYOR SE TIENE POTENCIAR</t>
  </si>
  <si>
    <t>no se aplica</t>
  </si>
  <si>
    <t>en finanzas</t>
  </si>
  <si>
    <t>Tasa efectiva</t>
  </si>
  <si>
    <t>Valor aritmetico, que no considera el valor del dinero en el tiempo</t>
  </si>
  <si>
    <t>Este valor no es financiero</t>
  </si>
  <si>
    <t>Tasa nominal, no se aplica en finanzas</t>
  </si>
  <si>
    <t>Por intereses</t>
  </si>
  <si>
    <t>Por ahorros</t>
  </si>
  <si>
    <t>Seguro por el cual el banco cobraria el dinero del prestamo si al deudor le suceda algo (fallecimiento)</t>
  </si>
  <si>
    <t>LA EVALUACION DE ALTERNATIVAS DE CREDITO</t>
  </si>
  <si>
    <t>NO ES EN FUNCION DEL MONTO SINO DEL INTERES</t>
  </si>
  <si>
    <t>CRITERIOS FINANCIEROS:</t>
  </si>
  <si>
    <t>ES MEJOR SIEMPRE RECIBIR DINERO EN EL MENOR TIEMPO POSIBLE (COBRAR)</t>
  </si>
  <si>
    <t>ES MEJOR SIEMPRE DARR DINERO EN EL MAYOR TIEMPO POSIBLE (PAGAR)</t>
  </si>
  <si>
    <t>TENER UN MONTO DE RESERVA EN UN 30% MINIMO DE LOS INGRESOS</t>
  </si>
  <si>
    <t>LA LINE QUE CONVIENE A LA EMPRESA ES LA LINEA B PORQUE ES MAS BARATO SEGÚN LAS FINANZAS</t>
  </si>
  <si>
    <t>EN LAS FINANZAS TODO ES RELATIVO</t>
  </si>
  <si>
    <t>Una empresa solicita un préstamo de S/ 25,000 por un plazo de 8 meses. El banco  Continental y el Banco de Crédito</t>
  </si>
  <si>
    <t>le propone las siguientes condiciones</t>
  </si>
  <si>
    <t>Tasa Anual TCEA</t>
  </si>
  <si>
    <t>Tasa anual TCEA</t>
  </si>
  <si>
    <t>Mantenimiento mes</t>
  </si>
  <si>
    <t>Mes del saldo</t>
  </si>
  <si>
    <t>AMORTIZACION</t>
  </si>
  <si>
    <t>QUE BANCO SE ESCOJE:</t>
  </si>
  <si>
    <t>SE DECIDE POR ACEPTAR EL CREDITO DEL BANCO DE CREDITO POR TENER UN MENOR COSTO DE CREDIITO</t>
  </si>
  <si>
    <t>TASA DE COSTO EFECTIVO DEL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</si>
</sst>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8" formatCode="&quot;S/&quot;\ #,##0.00;[Red]\-&quot;S/&quot;\ #,##0.00"/>
    <numFmt numFmtId="43" formatCode="_-* #,##0.00_-;\-* #,##0.00_-;_-* &quot;-&quot;??_-;_-@_-"/>
    <numFmt numFmtId="164" formatCode="&quot;S/&quot;\ #,##0.00;[Red]&quot;S/&quot;\ \-#,##0.00"/>
    <numFmt numFmtId="165" formatCode="_ * #,##0.00_ ;_ * \-#,##0.00_ ;_ * &quot;-&quot;??_ ;_ @_ "/>
    <numFmt numFmtId="166" formatCode="0.000%"/>
    <numFmt numFmtId="167" formatCode="0.0000%"/>
    <numFmt numFmtId="168" formatCode="#,##0.00_ ;[Red]\-#,##0.00\ "/>
    <numFmt numFmtId="169" formatCode="#,##0_ ;[Red]\-#,##0\ "/>
    <numFmt numFmtId="170" formatCode="#,##0.00000000_);\(#,##0.00000000\)"/>
    <numFmt numFmtId="171" formatCode="0.0%"/>
    <numFmt numFmtId="172" formatCode="_(* #,##0.00_);_(* \(#,##0.00\);_(* &quot;-&quot;??_);_(@_)"/>
    <numFmt numFmtId="173" formatCode="&quot;S/.&quot;\ #,##0.00"/>
    <numFmt numFmtId="174" formatCode="#,##0.0000"/>
    <numFmt numFmtId="175" formatCode="_-* #,##0.00\ _€_-;\-* #,##0.00\ _€_-;_-* &quot;-&quot;??\ _€_-;_-@_-"/>
    <numFmt numFmtId="176" formatCode="_(* #,##0_);_(* \(#,##0\);_(* &quot;-&quot;??_);_(@_)"/>
    <numFmt numFmtId="177" formatCode="0.0"/>
    <numFmt numFmtId="178" formatCode="0.000"/>
    <numFmt numFmtId="179" formatCode="[$$-2C0A]\ #,##0.0000"/>
    <numFmt numFmtId="180" formatCode="#,##0;[Red]\(#,##0\)"/>
    <numFmt numFmtId="181" formatCode="#,##0.0000_ ;[Red]\-#,##0.0000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0"/>
      <name val="Arial"/>
      <family val="2"/>
    </font>
    <font>
      <sz val="10"/>
      <name val="Calibri"/>
      <family val="2"/>
    </font>
    <font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8"/>
      <color indexed="81"/>
      <name val="Tahoma"/>
      <family val="2"/>
    </font>
    <font>
      <sz val="14"/>
      <name val="Arial"/>
      <family val="2"/>
    </font>
    <font>
      <b/>
      <sz val="11"/>
      <color rgb="FF003399"/>
      <name val="Arial"/>
      <family val="2"/>
    </font>
    <font>
      <b/>
      <i/>
      <sz val="10"/>
      <color rgb="FF003399"/>
      <name val="Arial"/>
      <family val="2"/>
    </font>
    <font>
      <b/>
      <i/>
      <u/>
      <sz val="10"/>
      <color indexed="18"/>
      <name val="Arial"/>
      <family val="2"/>
    </font>
    <font>
      <b/>
      <i/>
      <sz val="10"/>
      <color indexed="18"/>
      <name val="Arial"/>
      <family val="2"/>
    </font>
    <font>
      <i/>
      <sz val="12"/>
      <color rgb="FF005000"/>
      <name val="Arial"/>
      <family val="2"/>
    </font>
    <font>
      <i/>
      <sz val="10"/>
      <name val="Arial"/>
      <family val="2"/>
    </font>
    <font>
      <b/>
      <i/>
      <sz val="9"/>
      <color rgb="FFFF0000"/>
      <name val="Arial"/>
      <family val="2"/>
    </font>
    <font>
      <b/>
      <sz val="10"/>
      <color rgb="FF0000FF"/>
      <name val="Arial"/>
      <family val="2"/>
    </font>
    <font>
      <i/>
      <sz val="12"/>
      <name val="Arial"/>
      <family val="2"/>
    </font>
    <font>
      <b/>
      <sz val="9"/>
      <color rgb="FF0000FF"/>
      <name val="Arial"/>
      <family val="2"/>
    </font>
    <font>
      <b/>
      <sz val="6"/>
      <color indexed="12"/>
      <name val="Arial"/>
      <family val="2"/>
    </font>
    <font>
      <b/>
      <sz val="9"/>
      <color indexed="12"/>
      <name val="Arial"/>
      <family val="2"/>
    </font>
    <font>
      <b/>
      <sz val="11"/>
      <color indexed="12"/>
      <name val="Arial"/>
      <family val="2"/>
    </font>
    <font>
      <b/>
      <sz val="12"/>
      <color indexed="12"/>
      <name val="Arial"/>
      <family val="2"/>
    </font>
    <font>
      <b/>
      <sz val="12"/>
      <color rgb="FF0000FF"/>
      <name val="Arial"/>
      <family val="2"/>
    </font>
    <font>
      <b/>
      <sz val="16"/>
      <color rgb="FFFF0000"/>
      <name val="Arial"/>
      <family val="2"/>
    </font>
    <font>
      <b/>
      <i/>
      <sz val="10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b/>
      <sz val="11"/>
      <color theme="1"/>
      <name val="Arial"/>
      <family val="2"/>
    </font>
    <font>
      <b/>
      <sz val="18"/>
      <color indexed="18"/>
      <name val="Arial"/>
      <family val="2"/>
    </font>
    <font>
      <sz val="10"/>
      <color indexed="18"/>
      <name val="Arial"/>
      <family val="2"/>
    </font>
    <font>
      <b/>
      <sz val="20"/>
      <color indexed="18"/>
      <name val="Arial"/>
      <family val="2"/>
    </font>
    <font>
      <b/>
      <sz val="10"/>
      <color indexed="1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7FFB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5" fillId="0" borderId="0">
      <alignment vertical="top"/>
    </xf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" fillId="0" borderId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54">
    <xf numFmtId="0" fontId="0" fillId="0" borderId="0" xfId="0"/>
    <xf numFmtId="0" fontId="4" fillId="2" borderId="0" xfId="3" applyFont="1" applyFill="1"/>
    <xf numFmtId="0" fontId="3" fillId="2" borderId="0" xfId="3" applyFill="1"/>
    <xf numFmtId="0" fontId="4" fillId="4" borderId="1" xfId="3" applyFont="1" applyFill="1" applyBorder="1"/>
    <xf numFmtId="0" fontId="4" fillId="4" borderId="1" xfId="3" applyFont="1" applyFill="1" applyBorder="1" applyAlignment="1">
      <alignment horizontal="center"/>
    </xf>
    <xf numFmtId="10" fontId="3" fillId="3" borderId="1" xfId="3" applyNumberFormat="1" applyFill="1" applyBorder="1" applyAlignment="1">
      <alignment horizontal="center"/>
    </xf>
    <xf numFmtId="10" fontId="3" fillId="2" borderId="1" xfId="3" applyNumberFormat="1" applyFill="1" applyBorder="1" applyAlignment="1">
      <alignment horizontal="center"/>
    </xf>
    <xf numFmtId="166" fontId="3" fillId="2" borderId="1" xfId="3" applyNumberFormat="1" applyFill="1" applyBorder="1" applyAlignment="1">
      <alignment horizontal="center"/>
    </xf>
    <xf numFmtId="0" fontId="4" fillId="3" borderId="2" xfId="7" applyFont="1" applyFill="1" applyBorder="1" applyAlignment="1">
      <alignment horizontal="left" vertical="center"/>
    </xf>
    <xf numFmtId="0" fontId="4" fillId="3" borderId="3" xfId="7" applyFont="1" applyFill="1" applyBorder="1" applyAlignment="1">
      <alignment horizontal="left" vertical="center"/>
    </xf>
    <xf numFmtId="0" fontId="4" fillId="3" borderId="4" xfId="7" applyFont="1" applyFill="1" applyBorder="1" applyAlignment="1">
      <alignment horizontal="left" vertical="center"/>
    </xf>
    <xf numFmtId="0" fontId="3" fillId="3" borderId="4" xfId="3" applyFill="1" applyBorder="1"/>
    <xf numFmtId="10" fontId="0" fillId="2" borderId="0" xfId="8" applyNumberFormat="1" applyFont="1" applyFill="1"/>
    <xf numFmtId="167" fontId="3" fillId="3" borderId="1" xfId="3" applyNumberFormat="1" applyFill="1" applyBorder="1" applyAlignment="1">
      <alignment horizontal="center"/>
    </xf>
    <xf numFmtId="167" fontId="0" fillId="2" borderId="0" xfId="8" applyNumberFormat="1" applyFont="1" applyFill="1" applyAlignment="1">
      <alignment horizontal="center"/>
    </xf>
    <xf numFmtId="10" fontId="3" fillId="2" borderId="0" xfId="3" applyNumberFormat="1" applyFill="1"/>
    <xf numFmtId="0" fontId="4" fillId="2" borderId="0" xfId="4" applyFont="1" applyFill="1"/>
    <xf numFmtId="0" fontId="3" fillId="2" borderId="0" xfId="4" applyFill="1"/>
    <xf numFmtId="3" fontId="3" fillId="2" borderId="0" xfId="4" applyNumberFormat="1" applyFill="1"/>
    <xf numFmtId="10" fontId="3" fillId="2" borderId="0" xfId="4" applyNumberFormat="1" applyFill="1"/>
    <xf numFmtId="168" fontId="3" fillId="4" borderId="1" xfId="4" applyNumberFormat="1" applyFill="1" applyBorder="1"/>
    <xf numFmtId="3" fontId="3" fillId="4" borderId="1" xfId="4" applyNumberFormat="1" applyFill="1" applyBorder="1"/>
    <xf numFmtId="10" fontId="0" fillId="0" borderId="0" xfId="8" applyNumberFormat="1" applyFont="1"/>
    <xf numFmtId="164" fontId="3" fillId="2" borderId="0" xfId="3" applyNumberFormat="1" applyFill="1"/>
    <xf numFmtId="10" fontId="4" fillId="4" borderId="1" xfId="8" applyNumberFormat="1" applyFont="1" applyFill="1" applyBorder="1"/>
    <xf numFmtId="169" fontId="3" fillId="2" borderId="0" xfId="4" applyNumberFormat="1" applyFill="1"/>
    <xf numFmtId="169" fontId="3" fillId="4" borderId="1" xfId="4" applyNumberFormat="1" applyFill="1" applyBorder="1"/>
    <xf numFmtId="10" fontId="3" fillId="4" borderId="1" xfId="8" applyNumberFormat="1" applyFont="1" applyFill="1" applyBorder="1"/>
    <xf numFmtId="3" fontId="3" fillId="2" borderId="0" xfId="3" applyNumberFormat="1" applyFill="1"/>
    <xf numFmtId="0" fontId="3" fillId="2" borderId="0" xfId="3" applyFill="1" applyAlignment="1">
      <alignment horizontal="center"/>
    </xf>
    <xf numFmtId="168" fontId="3" fillId="4" borderId="0" xfId="3" applyNumberFormat="1" applyFill="1"/>
    <xf numFmtId="3" fontId="3" fillId="2" borderId="0" xfId="3" applyNumberFormat="1" applyFill="1" applyAlignment="1">
      <alignment horizontal="center"/>
    </xf>
    <xf numFmtId="165" fontId="0" fillId="2" borderId="0" xfId="9" applyFont="1" applyFill="1"/>
    <xf numFmtId="168" fontId="3" fillId="4" borderId="1" xfId="3" applyNumberFormat="1" applyFill="1" applyBorder="1"/>
    <xf numFmtId="4" fontId="3" fillId="2" borderId="0" xfId="4" applyNumberFormat="1" applyFill="1"/>
    <xf numFmtId="4" fontId="3" fillId="4" borderId="1" xfId="4" applyNumberFormat="1" applyFill="1" applyBorder="1"/>
    <xf numFmtId="9" fontId="3" fillId="2" borderId="0" xfId="3" applyNumberFormat="1" applyFill="1"/>
    <xf numFmtId="168" fontId="3" fillId="2" borderId="0" xfId="4" applyNumberFormat="1" applyFill="1"/>
    <xf numFmtId="0" fontId="4" fillId="0" borderId="0" xfId="3" applyFont="1"/>
    <xf numFmtId="0" fontId="3" fillId="0" borderId="0" xfId="3"/>
    <xf numFmtId="0" fontId="7" fillId="0" borderId="0" xfId="3" applyFont="1"/>
    <xf numFmtId="0" fontId="3" fillId="0" borderId="0" xfId="3" applyAlignment="1">
      <alignment horizontal="center"/>
    </xf>
    <xf numFmtId="0" fontId="7" fillId="5" borderId="0" xfId="10" applyFill="1" applyAlignment="1">
      <alignment horizontal="right"/>
    </xf>
    <xf numFmtId="0" fontId="7" fillId="5" borderId="0" xfId="10" applyFill="1"/>
    <xf numFmtId="0" fontId="7" fillId="5" borderId="0" xfId="10" applyFill="1" applyAlignment="1">
      <alignment horizontal="centerContinuous"/>
    </xf>
    <xf numFmtId="0" fontId="7" fillId="5" borderId="0" xfId="10" applyFill="1" applyAlignment="1">
      <alignment horizontal="center"/>
    </xf>
    <xf numFmtId="0" fontId="7" fillId="5" borderId="5" xfId="10" applyFill="1" applyBorder="1" applyAlignment="1">
      <alignment horizontal="right"/>
    </xf>
    <xf numFmtId="0" fontId="7" fillId="5" borderId="6" xfId="10" applyFill="1" applyBorder="1"/>
    <xf numFmtId="0" fontId="7" fillId="5" borderId="7" xfId="10" applyFill="1" applyBorder="1" applyAlignment="1">
      <alignment horizontal="right"/>
    </xf>
    <xf numFmtId="0" fontId="7" fillId="5" borderId="8" xfId="10" applyFill="1" applyBorder="1"/>
    <xf numFmtId="170" fontId="7" fillId="5" borderId="0" xfId="10" applyNumberFormat="1" applyFill="1"/>
    <xf numFmtId="171" fontId="3" fillId="0" borderId="0" xfId="3" applyNumberFormat="1"/>
    <xf numFmtId="10" fontId="3" fillId="0" borderId="0" xfId="3" applyNumberFormat="1"/>
    <xf numFmtId="3" fontId="3" fillId="0" borderId="0" xfId="3" applyNumberFormat="1" applyAlignment="1">
      <alignment horizontal="center"/>
    </xf>
    <xf numFmtId="3" fontId="3" fillId="0" borderId="0" xfId="3" applyNumberFormat="1"/>
    <xf numFmtId="0" fontId="8" fillId="0" borderId="0" xfId="3" applyFont="1"/>
    <xf numFmtId="0" fontId="9" fillId="0" borderId="0" xfId="3" applyFont="1"/>
    <xf numFmtId="0" fontId="3" fillId="6" borderId="9" xfId="3" applyFill="1" applyBorder="1"/>
    <xf numFmtId="0" fontId="4" fillId="7" borderId="10" xfId="3" applyFont="1" applyFill="1" applyBorder="1" applyAlignment="1">
      <alignment horizontal="center"/>
    </xf>
    <xf numFmtId="0" fontId="4" fillId="7" borderId="9" xfId="3" applyFont="1" applyFill="1" applyBorder="1" applyAlignment="1">
      <alignment horizontal="center"/>
    </xf>
    <xf numFmtId="0" fontId="4" fillId="5" borderId="9" xfId="3" applyFont="1" applyFill="1" applyBorder="1" applyAlignment="1">
      <alignment horizontal="centerContinuous" vertical="center" wrapText="1"/>
    </xf>
    <xf numFmtId="0" fontId="3" fillId="0" borderId="10" xfId="3" applyBorder="1" applyAlignment="1">
      <alignment horizontal="justify" vertical="center" wrapText="1"/>
    </xf>
    <xf numFmtId="0" fontId="3" fillId="0" borderId="9" xfId="3" applyBorder="1" applyAlignment="1">
      <alignment horizontal="justify" vertical="center" wrapText="1"/>
    </xf>
    <xf numFmtId="0" fontId="4" fillId="5" borderId="11" xfId="3" applyFont="1" applyFill="1" applyBorder="1"/>
    <xf numFmtId="0" fontId="3" fillId="0" borderId="12" xfId="3" applyBorder="1" applyAlignment="1">
      <alignment horizontal="justify" vertical="center" wrapText="1"/>
    </xf>
    <xf numFmtId="0" fontId="3" fillId="0" borderId="13" xfId="3" applyBorder="1" applyAlignment="1">
      <alignment horizontal="justify" vertical="center" wrapText="1"/>
    </xf>
    <xf numFmtId="0" fontId="4" fillId="5" borderId="14" xfId="3" applyFont="1" applyFill="1" applyBorder="1"/>
    <xf numFmtId="0" fontId="3" fillId="0" borderId="15" xfId="3" applyBorder="1" applyAlignment="1">
      <alignment horizontal="justify" vertical="center" wrapText="1"/>
    </xf>
    <xf numFmtId="0" fontId="3" fillId="0" borderId="16" xfId="3" applyBorder="1" applyAlignment="1">
      <alignment horizontal="justify" vertical="center" wrapText="1"/>
    </xf>
    <xf numFmtId="0" fontId="4" fillId="5" borderId="17" xfId="3" applyFont="1" applyFill="1" applyBorder="1"/>
    <xf numFmtId="0" fontId="3" fillId="0" borderId="18" xfId="3" applyBorder="1" applyAlignment="1">
      <alignment horizontal="justify" vertical="center" wrapText="1"/>
    </xf>
    <xf numFmtId="0" fontId="3" fillId="0" borderId="17" xfId="3" applyBorder="1"/>
    <xf numFmtId="0" fontId="4" fillId="0" borderId="18" xfId="3" applyFont="1" applyBorder="1" applyAlignment="1">
      <alignment horizontal="center" vertical="center" wrapText="1"/>
    </xf>
    <xf numFmtId="0" fontId="4" fillId="0" borderId="17" xfId="3" applyFont="1" applyBorder="1" applyAlignment="1">
      <alignment horizontal="center" vertical="center" wrapText="1"/>
    </xf>
    <xf numFmtId="0" fontId="4" fillId="8" borderId="0" xfId="3" applyFont="1" applyFill="1"/>
    <xf numFmtId="0" fontId="3" fillId="8" borderId="0" xfId="3" applyFill="1"/>
    <xf numFmtId="0" fontId="4" fillId="9" borderId="0" xfId="3" applyFont="1" applyFill="1"/>
    <xf numFmtId="0" fontId="4" fillId="3" borderId="1" xfId="3" applyFont="1" applyFill="1" applyBorder="1" applyAlignment="1">
      <alignment horizontal="center"/>
    </xf>
    <xf numFmtId="0" fontId="3" fillId="0" borderId="1" xfId="3" applyBorder="1"/>
    <xf numFmtId="3" fontId="3" fillId="0" borderId="1" xfId="3" applyNumberFormat="1" applyBorder="1" applyAlignment="1">
      <alignment horizontal="center"/>
    </xf>
    <xf numFmtId="169" fontId="3" fillId="0" borderId="1" xfId="3" applyNumberFormat="1" applyBorder="1" applyAlignment="1">
      <alignment horizontal="center"/>
    </xf>
    <xf numFmtId="169" fontId="3" fillId="9" borderId="1" xfId="3" applyNumberFormat="1" applyFill="1" applyBorder="1" applyAlignment="1">
      <alignment horizontal="center"/>
    </xf>
    <xf numFmtId="9" fontId="3" fillId="0" borderId="1" xfId="3" applyNumberFormat="1" applyBorder="1" applyAlignment="1">
      <alignment horizontal="center"/>
    </xf>
    <xf numFmtId="0" fontId="4" fillId="10" borderId="2" xfId="3" applyFont="1" applyFill="1" applyBorder="1"/>
    <xf numFmtId="9" fontId="4" fillId="10" borderId="4" xfId="3" applyNumberFormat="1" applyFont="1" applyFill="1" applyBorder="1" applyAlignment="1">
      <alignment horizontal="center"/>
    </xf>
    <xf numFmtId="9" fontId="0" fillId="0" borderId="1" xfId="8" applyFont="1" applyBorder="1" applyAlignment="1">
      <alignment horizontal="center"/>
    </xf>
    <xf numFmtId="9" fontId="0" fillId="0" borderId="0" xfId="8" applyFont="1" applyBorder="1" applyAlignment="1">
      <alignment horizontal="center"/>
    </xf>
    <xf numFmtId="0" fontId="3" fillId="11" borderId="1" xfId="3" applyFill="1" applyBorder="1"/>
    <xf numFmtId="3" fontId="3" fillId="11" borderId="1" xfId="3" applyNumberFormat="1" applyFill="1" applyBorder="1"/>
    <xf numFmtId="9" fontId="3" fillId="11" borderId="1" xfId="8" applyFont="1" applyFill="1" applyBorder="1"/>
    <xf numFmtId="167" fontId="4" fillId="12" borderId="9" xfId="8" applyNumberFormat="1" applyFont="1" applyFill="1" applyBorder="1" applyAlignment="1">
      <alignment horizontal="center"/>
    </xf>
    <xf numFmtId="9" fontId="3" fillId="11" borderId="1" xfId="3" applyNumberFormat="1" applyFill="1" applyBorder="1"/>
    <xf numFmtId="167" fontId="3" fillId="0" borderId="0" xfId="3" applyNumberFormat="1"/>
    <xf numFmtId="0" fontId="4" fillId="5" borderId="1" xfId="3" applyFont="1" applyFill="1" applyBorder="1" applyAlignment="1">
      <alignment horizontal="center"/>
    </xf>
    <xf numFmtId="0" fontId="3" fillId="0" borderId="1" xfId="3" applyBorder="1" applyAlignment="1">
      <alignment horizontal="center"/>
    </xf>
    <xf numFmtId="4" fontId="3" fillId="0" borderId="1" xfId="3" applyNumberFormat="1" applyBorder="1" applyAlignment="1">
      <alignment horizontal="center"/>
    </xf>
    <xf numFmtId="4" fontId="3" fillId="3" borderId="1" xfId="3" applyNumberFormat="1" applyFill="1" applyBorder="1" applyAlignment="1">
      <alignment horizontal="center"/>
    </xf>
    <xf numFmtId="4" fontId="3" fillId="0" borderId="0" xfId="3" applyNumberFormat="1" applyAlignment="1">
      <alignment horizontal="center"/>
    </xf>
    <xf numFmtId="0" fontId="10" fillId="0" borderId="0" xfId="3" applyFont="1"/>
    <xf numFmtId="0" fontId="3" fillId="11" borderId="19" xfId="3" applyFill="1" applyBorder="1"/>
    <xf numFmtId="3" fontId="3" fillId="11" borderId="20" xfId="3" applyNumberFormat="1" applyFill="1" applyBorder="1"/>
    <xf numFmtId="0" fontId="4" fillId="14" borderId="2" xfId="3" applyFont="1" applyFill="1" applyBorder="1"/>
    <xf numFmtId="0" fontId="4" fillId="14" borderId="3" xfId="3" applyFont="1" applyFill="1" applyBorder="1"/>
    <xf numFmtId="0" fontId="4" fillId="14" borderId="4" xfId="3" applyFont="1" applyFill="1" applyBorder="1"/>
    <xf numFmtId="0" fontId="3" fillId="11" borderId="21" xfId="3" applyFill="1" applyBorder="1"/>
    <xf numFmtId="0" fontId="3" fillId="11" borderId="22" xfId="3" applyFill="1" applyBorder="1"/>
    <xf numFmtId="9" fontId="3" fillId="11" borderId="22" xfId="8" applyFont="1" applyFill="1" applyBorder="1"/>
    <xf numFmtId="9" fontId="3" fillId="11" borderId="22" xfId="3" applyNumberFormat="1" applyFill="1" applyBorder="1"/>
    <xf numFmtId="4" fontId="4" fillId="2" borderId="1" xfId="3" applyNumberFormat="1" applyFont="1" applyFill="1" applyBorder="1" applyAlignment="1">
      <alignment horizontal="center"/>
    </xf>
    <xf numFmtId="4" fontId="4" fillId="3" borderId="1" xfId="3" applyNumberFormat="1" applyFont="1" applyFill="1" applyBorder="1" applyAlignment="1">
      <alignment horizontal="center"/>
    </xf>
    <xf numFmtId="4" fontId="4" fillId="13" borderId="1" xfId="3" applyNumberFormat="1" applyFont="1" applyFill="1" applyBorder="1" applyAlignment="1">
      <alignment horizontal="center"/>
    </xf>
    <xf numFmtId="167" fontId="4" fillId="13" borderId="1" xfId="3" applyNumberFormat="1" applyFont="1" applyFill="1" applyBorder="1" applyAlignment="1">
      <alignment horizontal="center"/>
    </xf>
    <xf numFmtId="0" fontId="4" fillId="10" borderId="1" xfId="3" applyFont="1" applyFill="1" applyBorder="1" applyAlignment="1">
      <alignment horizontal="center"/>
    </xf>
    <xf numFmtId="166" fontId="3" fillId="0" borderId="0" xfId="3" applyNumberFormat="1"/>
    <xf numFmtId="0" fontId="4" fillId="0" borderId="0" xfId="3" applyFont="1" applyAlignment="1">
      <alignment horizontal="center"/>
    </xf>
    <xf numFmtId="0" fontId="4" fillId="9" borderId="1" xfId="3" applyFont="1" applyFill="1" applyBorder="1" applyAlignment="1">
      <alignment horizontal="center"/>
    </xf>
    <xf numFmtId="0" fontId="4" fillId="9" borderId="1" xfId="3" applyFont="1" applyFill="1" applyBorder="1"/>
    <xf numFmtId="168" fontId="4" fillId="9" borderId="1" xfId="11" applyNumberFormat="1" applyFont="1" applyFill="1" applyBorder="1" applyAlignment="1">
      <alignment horizontal="center"/>
    </xf>
    <xf numFmtId="168" fontId="4" fillId="9" borderId="1" xfId="3" applyNumberFormat="1" applyFont="1" applyFill="1" applyBorder="1" applyAlignment="1">
      <alignment horizontal="center"/>
    </xf>
    <xf numFmtId="168" fontId="3" fillId="0" borderId="1" xfId="3" applyNumberFormat="1" applyBorder="1" applyAlignment="1">
      <alignment horizontal="center"/>
    </xf>
    <xf numFmtId="168" fontId="3" fillId="0" borderId="0" xfId="3" applyNumberFormat="1" applyAlignment="1">
      <alignment horizontal="center"/>
    </xf>
    <xf numFmtId="4" fontId="4" fillId="0" borderId="1" xfId="3" applyNumberFormat="1" applyFont="1" applyBorder="1" applyAlignment="1">
      <alignment horizontal="center"/>
    </xf>
    <xf numFmtId="10" fontId="4" fillId="9" borderId="1" xfId="8" applyNumberFormat="1" applyFont="1" applyFill="1" applyBorder="1" applyAlignment="1">
      <alignment horizontal="center"/>
    </xf>
    <xf numFmtId="10" fontId="4" fillId="15" borderId="1" xfId="3" applyNumberFormat="1" applyFont="1" applyFill="1" applyBorder="1" applyAlignment="1">
      <alignment horizontal="center"/>
    </xf>
    <xf numFmtId="0" fontId="11" fillId="0" borderId="0" xfId="3" applyFont="1"/>
    <xf numFmtId="3" fontId="7" fillId="0" borderId="0" xfId="3" applyNumberFormat="1" applyFont="1"/>
    <xf numFmtId="10" fontId="11" fillId="0" borderId="0" xfId="3" applyNumberFormat="1" applyFont="1"/>
    <xf numFmtId="10" fontId="7" fillId="0" borderId="0" xfId="3" applyNumberFormat="1" applyFont="1"/>
    <xf numFmtId="171" fontId="7" fillId="0" borderId="0" xfId="8" applyNumberFormat="1" applyFont="1"/>
    <xf numFmtId="0" fontId="11" fillId="3" borderId="1" xfId="3" applyFont="1" applyFill="1" applyBorder="1"/>
    <xf numFmtId="4" fontId="11" fillId="3" borderId="1" xfId="3" applyNumberFormat="1" applyFont="1" applyFill="1" applyBorder="1"/>
    <xf numFmtId="173" fontId="7" fillId="0" borderId="0" xfId="3" applyNumberFormat="1" applyFont="1"/>
    <xf numFmtId="2" fontId="7" fillId="0" borderId="0" xfId="3" applyNumberFormat="1" applyFont="1"/>
    <xf numFmtId="0" fontId="11" fillId="7" borderId="1" xfId="3" applyFont="1" applyFill="1" applyBorder="1"/>
    <xf numFmtId="0" fontId="11" fillId="7" borderId="1" xfId="3" applyFont="1" applyFill="1" applyBorder="1" applyAlignment="1">
      <alignment horizontal="center"/>
    </xf>
    <xf numFmtId="0" fontId="11" fillId="0" borderId="1" xfId="3" applyFont="1" applyBorder="1"/>
    <xf numFmtId="168" fontId="7" fillId="0" borderId="1" xfId="3" applyNumberFormat="1" applyFont="1" applyBorder="1" applyAlignment="1">
      <alignment horizontal="center"/>
    </xf>
    <xf numFmtId="168" fontId="11" fillId="0" borderId="1" xfId="3" applyNumberFormat="1" applyFont="1" applyBorder="1" applyAlignment="1">
      <alignment horizontal="center"/>
    </xf>
    <xf numFmtId="0" fontId="11" fillId="16" borderId="1" xfId="3" applyFont="1" applyFill="1" applyBorder="1"/>
    <xf numFmtId="168" fontId="11" fillId="16" borderId="1" xfId="3" applyNumberFormat="1" applyFont="1" applyFill="1" applyBorder="1" applyAlignment="1">
      <alignment horizontal="center" vertical="center"/>
    </xf>
    <xf numFmtId="168" fontId="11" fillId="0" borderId="23" xfId="3" applyNumberFormat="1" applyFont="1" applyBorder="1" applyAlignment="1">
      <alignment horizontal="center" vertical="center"/>
    </xf>
    <xf numFmtId="168" fontId="11" fillId="0" borderId="0" xfId="3" applyNumberFormat="1" applyFont="1" applyAlignment="1">
      <alignment horizontal="center" vertical="center"/>
    </xf>
    <xf numFmtId="10" fontId="11" fillId="3" borderId="23" xfId="3" applyNumberFormat="1" applyFont="1" applyFill="1" applyBorder="1" applyAlignment="1">
      <alignment horizontal="center"/>
    </xf>
    <xf numFmtId="168" fontId="7" fillId="0" borderId="0" xfId="3" applyNumberFormat="1" applyFont="1" applyAlignment="1">
      <alignment horizontal="center"/>
    </xf>
    <xf numFmtId="168" fontId="11" fillId="0" borderId="1" xfId="3" applyNumberFormat="1" applyFont="1" applyBorder="1" applyAlignment="1">
      <alignment horizontal="center" vertical="center"/>
    </xf>
    <xf numFmtId="10" fontId="11" fillId="3" borderId="1" xfId="3" applyNumberFormat="1" applyFont="1" applyFill="1" applyBorder="1" applyAlignment="1">
      <alignment horizontal="center"/>
    </xf>
    <xf numFmtId="3" fontId="4" fillId="7" borderId="0" xfId="3" applyNumberFormat="1" applyFont="1" applyFill="1"/>
    <xf numFmtId="9" fontId="4" fillId="7" borderId="0" xfId="3" applyNumberFormat="1" applyFont="1" applyFill="1"/>
    <xf numFmtId="10" fontId="4" fillId="0" borderId="0" xfId="3" applyNumberFormat="1" applyFont="1"/>
    <xf numFmtId="0" fontId="4" fillId="7" borderId="0" xfId="3" applyFont="1" applyFill="1"/>
    <xf numFmtId="10" fontId="4" fillId="3" borderId="0" xfId="8" applyNumberFormat="1" applyFont="1" applyFill="1"/>
    <xf numFmtId="10" fontId="4" fillId="0" borderId="0" xfId="12" applyNumberFormat="1" applyFont="1"/>
    <xf numFmtId="0" fontId="4" fillId="3" borderId="1" xfId="3" applyFont="1" applyFill="1" applyBorder="1"/>
    <xf numFmtId="40" fontId="4" fillId="0" borderId="1" xfId="3" applyNumberFormat="1" applyFont="1" applyBorder="1" applyAlignment="1">
      <alignment horizontal="center"/>
    </xf>
    <xf numFmtId="40" fontId="3" fillId="0" borderId="1" xfId="3" applyNumberFormat="1" applyBorder="1" applyAlignment="1">
      <alignment horizontal="center"/>
    </xf>
    <xf numFmtId="0" fontId="4" fillId="16" borderId="1" xfId="3" applyFont="1" applyFill="1" applyBorder="1"/>
    <xf numFmtId="40" fontId="4" fillId="16" borderId="1" xfId="3" applyNumberFormat="1" applyFont="1" applyFill="1" applyBorder="1" applyAlignment="1">
      <alignment horizontal="center"/>
    </xf>
    <xf numFmtId="40" fontId="3" fillId="0" borderId="0" xfId="3" applyNumberFormat="1"/>
    <xf numFmtId="9" fontId="4" fillId="0" borderId="0" xfId="3" applyNumberFormat="1" applyFont="1"/>
    <xf numFmtId="10" fontId="4" fillId="3" borderId="0" xfId="3" applyNumberFormat="1" applyFont="1" applyFill="1"/>
    <xf numFmtId="0" fontId="9" fillId="0" borderId="24" xfId="3" applyFont="1" applyBorder="1"/>
    <xf numFmtId="0" fontId="3" fillId="15" borderId="10" xfId="3" applyFill="1" applyBorder="1" applyAlignment="1">
      <alignment horizontal="right"/>
    </xf>
    <xf numFmtId="167" fontId="3" fillId="15" borderId="25" xfId="8" applyNumberFormat="1" applyFont="1" applyFill="1" applyBorder="1" applyAlignment="1">
      <alignment horizontal="center"/>
    </xf>
    <xf numFmtId="0" fontId="3" fillId="15" borderId="26" xfId="3" applyFill="1" applyBorder="1" applyAlignment="1">
      <alignment horizontal="right"/>
    </xf>
    <xf numFmtId="4" fontId="3" fillId="15" borderId="25" xfId="3" applyNumberFormat="1" applyFill="1" applyBorder="1" applyAlignment="1">
      <alignment horizontal="center"/>
    </xf>
    <xf numFmtId="168" fontId="3" fillId="0" borderId="1" xfId="3" applyNumberFormat="1" applyBorder="1"/>
    <xf numFmtId="2" fontId="3" fillId="0" borderId="1" xfId="3" applyNumberFormat="1" applyBorder="1" applyAlignment="1">
      <alignment horizontal="center"/>
    </xf>
    <xf numFmtId="168" fontId="3" fillId="17" borderId="1" xfId="3" applyNumberFormat="1" applyFill="1" applyBorder="1" applyAlignment="1">
      <alignment horizontal="center"/>
    </xf>
    <xf numFmtId="4" fontId="3" fillId="17" borderId="1" xfId="3" applyNumberFormat="1" applyFill="1" applyBorder="1" applyAlignment="1">
      <alignment horizontal="center"/>
    </xf>
    <xf numFmtId="168" fontId="3" fillId="0" borderId="0" xfId="3" applyNumberFormat="1"/>
    <xf numFmtId="167" fontId="3" fillId="0" borderId="0" xfId="8" applyNumberFormat="1" applyFont="1"/>
    <xf numFmtId="0" fontId="4" fillId="15" borderId="2" xfId="3" applyFont="1" applyFill="1" applyBorder="1"/>
    <xf numFmtId="0" fontId="4" fillId="15" borderId="3" xfId="3" applyFont="1" applyFill="1" applyBorder="1"/>
    <xf numFmtId="0" fontId="4" fillId="15" borderId="27" xfId="3" applyFont="1" applyFill="1" applyBorder="1"/>
    <xf numFmtId="0" fontId="3" fillId="15" borderId="4" xfId="3" applyFill="1" applyBorder="1"/>
    <xf numFmtId="0" fontId="3" fillId="0" borderId="0" xfId="3" applyAlignment="1">
      <alignment horizontal="justify" vertical="center" wrapText="1"/>
    </xf>
    <xf numFmtId="0" fontId="3" fillId="0" borderId="0" xfId="3" applyAlignment="1">
      <alignment horizontal="right"/>
    </xf>
    <xf numFmtId="0" fontId="4" fillId="5" borderId="28" xfId="3" applyFont="1" applyFill="1" applyBorder="1" applyAlignment="1">
      <alignment horizontal="center"/>
    </xf>
    <xf numFmtId="0" fontId="3" fillId="7" borderId="20" xfId="3" applyFill="1" applyBorder="1" applyAlignment="1">
      <alignment horizontal="center"/>
    </xf>
    <xf numFmtId="4" fontId="3" fillId="7" borderId="22" xfId="3" applyNumberFormat="1" applyFill="1" applyBorder="1" applyAlignment="1">
      <alignment horizontal="center"/>
    </xf>
    <xf numFmtId="0" fontId="3" fillId="7" borderId="1" xfId="3" applyFill="1" applyBorder="1" applyAlignment="1">
      <alignment horizontal="center"/>
    </xf>
    <xf numFmtId="4" fontId="4" fillId="7" borderId="1" xfId="3" applyNumberFormat="1" applyFont="1" applyFill="1" applyBorder="1" applyAlignment="1">
      <alignment horizontal="center"/>
    </xf>
    <xf numFmtId="2" fontId="3" fillId="7" borderId="1" xfId="3" applyNumberFormat="1" applyFill="1" applyBorder="1" applyAlignment="1">
      <alignment horizontal="center"/>
    </xf>
    <xf numFmtId="4" fontId="3" fillId="7" borderId="1" xfId="3" applyNumberFormat="1" applyFill="1" applyBorder="1" applyAlignment="1">
      <alignment horizontal="center"/>
    </xf>
    <xf numFmtId="4" fontId="3" fillId="7" borderId="29" xfId="3" applyNumberFormat="1" applyFill="1" applyBorder="1" applyAlignment="1">
      <alignment horizontal="center"/>
    </xf>
    <xf numFmtId="4" fontId="3" fillId="7" borderId="30" xfId="3" applyNumberFormat="1" applyFill="1" applyBorder="1" applyAlignment="1">
      <alignment horizontal="center"/>
    </xf>
    <xf numFmtId="0" fontId="4" fillId="12" borderId="1" xfId="3" applyFont="1" applyFill="1" applyBorder="1" applyAlignment="1">
      <alignment horizontal="center"/>
    </xf>
    <xf numFmtId="167" fontId="4" fillId="12" borderId="1" xfId="3" applyNumberFormat="1" applyFont="1" applyFill="1" applyBorder="1"/>
    <xf numFmtId="9" fontId="7" fillId="0" borderId="0" xfId="3" applyNumberFormat="1" applyFont="1"/>
    <xf numFmtId="0" fontId="11" fillId="3" borderId="0" xfId="3" applyFont="1" applyFill="1"/>
    <xf numFmtId="0" fontId="7" fillId="3" borderId="0" xfId="3" applyFont="1" applyFill="1"/>
    <xf numFmtId="40" fontId="11" fillId="0" borderId="0" xfId="3" applyNumberFormat="1" applyFont="1"/>
    <xf numFmtId="168" fontId="7" fillId="0" borderId="0" xfId="3" applyNumberFormat="1" applyFont="1"/>
    <xf numFmtId="168" fontId="11" fillId="0" borderId="0" xfId="3" applyNumberFormat="1" applyFont="1"/>
    <xf numFmtId="169" fontId="7" fillId="0" borderId="0" xfId="3" applyNumberFormat="1" applyFont="1"/>
    <xf numFmtId="9" fontId="7" fillId="0" borderId="0" xfId="12" applyFont="1"/>
    <xf numFmtId="169" fontId="11" fillId="0" borderId="0" xfId="3" applyNumberFormat="1" applyFont="1"/>
    <xf numFmtId="4" fontId="7" fillId="0" borderId="0" xfId="3" applyNumberFormat="1" applyFont="1"/>
    <xf numFmtId="10" fontId="7" fillId="0" borderId="0" xfId="12" applyNumberFormat="1" applyFont="1"/>
    <xf numFmtId="174" fontId="7" fillId="0" borderId="0" xfId="3" applyNumberFormat="1" applyFont="1"/>
    <xf numFmtId="9" fontId="3" fillId="0" borderId="0" xfId="3" applyNumberFormat="1"/>
    <xf numFmtId="175" fontId="3" fillId="0" borderId="0" xfId="13"/>
    <xf numFmtId="0" fontId="4" fillId="3" borderId="0" xfId="3" applyFont="1" applyFill="1"/>
    <xf numFmtId="172" fontId="4" fillId="18" borderId="0" xfId="3" applyNumberFormat="1" applyFont="1" applyFill="1"/>
    <xf numFmtId="16" fontId="3" fillId="0" borderId="0" xfId="3" applyNumberFormat="1"/>
    <xf numFmtId="16" fontId="3" fillId="0" borderId="0" xfId="3" applyNumberFormat="1" applyAlignment="1">
      <alignment horizontal="center"/>
    </xf>
    <xf numFmtId="172" fontId="3" fillId="0" borderId="0" xfId="3" applyNumberFormat="1"/>
    <xf numFmtId="175" fontId="4" fillId="18" borderId="0" xfId="13" applyFont="1" applyFill="1"/>
    <xf numFmtId="0" fontId="9" fillId="0" borderId="0" xfId="4" applyFont="1"/>
    <xf numFmtId="0" fontId="13" fillId="0" borderId="0" xfId="4" applyFont="1"/>
    <xf numFmtId="0" fontId="3" fillId="0" borderId="0" xfId="4"/>
    <xf numFmtId="0" fontId="4" fillId="0" borderId="0" xfId="4" applyFont="1"/>
    <xf numFmtId="0" fontId="10" fillId="0" borderId="0" xfId="4" applyFont="1"/>
    <xf numFmtId="176" fontId="11" fillId="0" borderId="0" xfId="14" applyNumberFormat="1" applyFont="1"/>
    <xf numFmtId="9" fontId="11" fillId="0" borderId="0" xfId="4" applyNumberFormat="1" applyFont="1"/>
    <xf numFmtId="0" fontId="11" fillId="0" borderId="0" xfId="4" applyFont="1"/>
    <xf numFmtId="0" fontId="9" fillId="18" borderId="0" xfId="4" applyFont="1" applyFill="1"/>
    <xf numFmtId="176" fontId="4" fillId="19" borderId="0" xfId="14" applyNumberFormat="1" applyFont="1" applyFill="1"/>
    <xf numFmtId="0" fontId="4" fillId="0" borderId="0" xfId="4" applyFont="1" applyAlignment="1">
      <alignment horizontal="right"/>
    </xf>
    <xf numFmtId="0" fontId="3" fillId="0" borderId="0" xfId="4" applyAlignment="1">
      <alignment horizontal="right"/>
    </xf>
    <xf numFmtId="176" fontId="10" fillId="19" borderId="0" xfId="4" applyNumberFormat="1" applyFont="1" applyFill="1"/>
    <xf numFmtId="172" fontId="4" fillId="19" borderId="0" xfId="4" applyNumberFormat="1" applyFont="1" applyFill="1"/>
    <xf numFmtId="0" fontId="9" fillId="3" borderId="0" xfId="4" applyFont="1" applyFill="1"/>
    <xf numFmtId="0" fontId="4" fillId="3" borderId="0" xfId="4" applyFont="1" applyFill="1"/>
    <xf numFmtId="0" fontId="3" fillId="3" borderId="0" xfId="4" applyFill="1"/>
    <xf numFmtId="9" fontId="4" fillId="0" borderId="0" xfId="4" applyNumberFormat="1" applyFont="1"/>
    <xf numFmtId="0" fontId="11" fillId="18" borderId="0" xfId="4" applyFont="1" applyFill="1"/>
    <xf numFmtId="172" fontId="11" fillId="18" borderId="0" xfId="4" applyNumberFormat="1" applyFont="1" applyFill="1"/>
    <xf numFmtId="176" fontId="4" fillId="0" borderId="0" xfId="14" applyNumberFormat="1" applyFont="1"/>
    <xf numFmtId="176" fontId="3" fillId="0" borderId="0" xfId="4" applyNumberFormat="1"/>
    <xf numFmtId="3" fontId="3" fillId="0" borderId="0" xfId="4" applyNumberFormat="1"/>
    <xf numFmtId="9" fontId="3" fillId="0" borderId="0" xfId="4" applyNumberFormat="1"/>
    <xf numFmtId="168" fontId="3" fillId="0" borderId="0" xfId="4" applyNumberFormat="1"/>
    <xf numFmtId="169" fontId="3" fillId="0" borderId="0" xfId="4" applyNumberFormat="1"/>
    <xf numFmtId="169" fontId="4" fillId="3" borderId="0" xfId="4" applyNumberFormat="1" applyFont="1" applyFill="1"/>
    <xf numFmtId="169" fontId="4" fillId="0" borderId="0" xfId="4" applyNumberFormat="1" applyFont="1"/>
    <xf numFmtId="0" fontId="3" fillId="0" borderId="0" xfId="4" applyAlignment="1">
      <alignment vertical="center"/>
    </xf>
    <xf numFmtId="169" fontId="4" fillId="0" borderId="9" xfId="4" applyNumberFormat="1" applyFont="1" applyBorder="1" applyAlignment="1">
      <alignment vertical="center"/>
    </xf>
    <xf numFmtId="0" fontId="20" fillId="20" borderId="0" xfId="4" applyFont="1" applyFill="1" applyAlignment="1">
      <alignment horizontal="center" vertical="center"/>
    </xf>
    <xf numFmtId="0" fontId="7" fillId="0" borderId="0" xfId="4" applyFont="1"/>
    <xf numFmtId="0" fontId="11" fillId="3" borderId="1" xfId="4" applyFont="1" applyFill="1" applyBorder="1"/>
    <xf numFmtId="0" fontId="11" fillId="3" borderId="1" xfId="4" applyFont="1" applyFill="1" applyBorder="1" applyAlignment="1">
      <alignment horizontal="center"/>
    </xf>
    <xf numFmtId="0" fontId="7" fillId="0" borderId="1" xfId="4" applyFont="1" applyBorder="1"/>
    <xf numFmtId="171" fontId="7" fillId="0" borderId="1" xfId="15" applyNumberFormat="1" applyFont="1" applyBorder="1" applyAlignment="1">
      <alignment horizontal="center"/>
    </xf>
    <xf numFmtId="168" fontId="7" fillId="0" borderId="1" xfId="4" applyNumberFormat="1" applyFont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11" fillId="0" borderId="1" xfId="4" applyFont="1" applyBorder="1"/>
    <xf numFmtId="0" fontId="11" fillId="0" borderId="1" xfId="4" applyFont="1" applyBorder="1" applyAlignment="1">
      <alignment horizontal="center"/>
    </xf>
    <xf numFmtId="0" fontId="31" fillId="0" borderId="24" xfId="4" applyFont="1" applyBorder="1"/>
    <xf numFmtId="0" fontId="7" fillId="0" borderId="31" xfId="4" applyFont="1" applyBorder="1"/>
    <xf numFmtId="0" fontId="7" fillId="0" borderId="32" xfId="4" applyFont="1" applyBorder="1"/>
    <xf numFmtId="0" fontId="31" fillId="0" borderId="35" xfId="4" applyFont="1" applyBorder="1"/>
    <xf numFmtId="0" fontId="7" fillId="0" borderId="36" xfId="4" applyFont="1" applyBorder="1" applyAlignment="1">
      <alignment horizontal="center"/>
    </xf>
    <xf numFmtId="0" fontId="7" fillId="0" borderId="35" xfId="4" applyFont="1" applyBorder="1"/>
    <xf numFmtId="0" fontId="32" fillId="0" borderId="36" xfId="4" applyFont="1" applyBorder="1" applyAlignment="1">
      <alignment horizontal="center"/>
    </xf>
    <xf numFmtId="2" fontId="7" fillId="0" borderId="1" xfId="4" applyNumberFormat="1" applyFont="1" applyBorder="1" applyAlignment="1">
      <alignment horizontal="center"/>
    </xf>
    <xf numFmtId="178" fontId="7" fillId="0" borderId="1" xfId="4" quotePrefix="1" applyNumberFormat="1" applyFont="1" applyBorder="1" applyAlignment="1">
      <alignment horizontal="center"/>
    </xf>
    <xf numFmtId="2" fontId="7" fillId="0" borderId="36" xfId="4" applyNumberFormat="1" applyFont="1" applyBorder="1"/>
    <xf numFmtId="2" fontId="7" fillId="0" borderId="0" xfId="4" applyNumberFormat="1" applyFont="1" applyAlignment="1">
      <alignment horizontal="center"/>
    </xf>
    <xf numFmtId="0" fontId="7" fillId="0" borderId="33" xfId="4" applyFont="1" applyBorder="1"/>
    <xf numFmtId="2" fontId="7" fillId="0" borderId="18" xfId="4" applyNumberFormat="1" applyFont="1" applyBorder="1"/>
    <xf numFmtId="179" fontId="7" fillId="0" borderId="18" xfId="4" applyNumberFormat="1" applyFont="1" applyBorder="1"/>
    <xf numFmtId="2" fontId="7" fillId="0" borderId="34" xfId="4" applyNumberFormat="1" applyFont="1" applyBorder="1"/>
    <xf numFmtId="2" fontId="7" fillId="0" borderId="31" xfId="4" applyNumberFormat="1" applyFont="1" applyBorder="1"/>
    <xf numFmtId="179" fontId="7" fillId="0" borderId="31" xfId="4" applyNumberFormat="1" applyFont="1" applyBorder="1"/>
    <xf numFmtId="2" fontId="7" fillId="0" borderId="32" xfId="4" applyNumberFormat="1" applyFont="1" applyBorder="1"/>
    <xf numFmtId="2" fontId="7" fillId="0" borderId="0" xfId="4" applyNumberFormat="1" applyFont="1"/>
    <xf numFmtId="179" fontId="7" fillId="0" borderId="0" xfId="4" applyNumberFormat="1" applyFont="1"/>
    <xf numFmtId="2" fontId="11" fillId="0" borderId="1" xfId="4" applyNumberFormat="1" applyFont="1" applyBorder="1" applyAlignment="1">
      <alignment horizontal="center"/>
    </xf>
    <xf numFmtId="0" fontId="7" fillId="0" borderId="18" xfId="4" applyFont="1" applyBorder="1"/>
    <xf numFmtId="0" fontId="7" fillId="0" borderId="34" xfId="4" applyFont="1" applyBorder="1"/>
    <xf numFmtId="10" fontId="11" fillId="13" borderId="1" xfId="4" applyNumberFormat="1" applyFont="1" applyFill="1" applyBorder="1"/>
    <xf numFmtId="10" fontId="3" fillId="0" borderId="0" xfId="4" applyNumberFormat="1"/>
    <xf numFmtId="38" fontId="4" fillId="0" borderId="0" xfId="4" applyNumberFormat="1" applyFont="1"/>
    <xf numFmtId="38" fontId="3" fillId="0" borderId="0" xfId="4" applyNumberFormat="1"/>
    <xf numFmtId="38" fontId="4" fillId="0" borderId="0" xfId="4" applyNumberFormat="1" applyFont="1" applyAlignment="1">
      <alignment horizontal="right"/>
    </xf>
    <xf numFmtId="38" fontId="3" fillId="0" borderId="0" xfId="4" applyNumberFormat="1" applyAlignment="1">
      <alignment horizontal="right"/>
    </xf>
    <xf numFmtId="3" fontId="4" fillId="3" borderId="0" xfId="4" applyNumberFormat="1" applyFont="1" applyFill="1"/>
    <xf numFmtId="171" fontId="3" fillId="0" borderId="0" xfId="4" applyNumberFormat="1"/>
    <xf numFmtId="169" fontId="3" fillId="3" borderId="0" xfId="4" applyNumberFormat="1" applyFill="1"/>
    <xf numFmtId="0" fontId="4" fillId="3" borderId="1" xfId="4" applyFont="1" applyFill="1" applyBorder="1"/>
    <xf numFmtId="169" fontId="4" fillId="3" borderId="1" xfId="4" applyNumberFormat="1" applyFont="1" applyFill="1" applyBorder="1" applyAlignment="1">
      <alignment horizontal="center"/>
    </xf>
    <xf numFmtId="0" fontId="3" fillId="0" borderId="1" xfId="4" applyBorder="1"/>
    <xf numFmtId="169" fontId="3" fillId="0" borderId="1" xfId="4" applyNumberFormat="1" applyBorder="1" applyAlignment="1">
      <alignment horizontal="center"/>
    </xf>
    <xf numFmtId="169" fontId="4" fillId="23" borderId="1" xfId="4" applyNumberFormat="1" applyFont="1" applyFill="1" applyBorder="1" applyAlignment="1">
      <alignment horizontal="center"/>
    </xf>
    <xf numFmtId="3" fontId="3" fillId="3" borderId="0" xfId="4" applyNumberFormat="1" applyFill="1"/>
    <xf numFmtId="3" fontId="4" fillId="0" borderId="0" xfId="4" applyNumberFormat="1" applyFont="1"/>
    <xf numFmtId="0" fontId="33" fillId="0" borderId="0" xfId="1" applyFont="1"/>
    <xf numFmtId="0" fontId="1" fillId="0" borderId="0" xfId="1"/>
    <xf numFmtId="0" fontId="33" fillId="0" borderId="0" xfId="1" applyFont="1" applyAlignment="1">
      <alignment horizontal="center"/>
    </xf>
    <xf numFmtId="0" fontId="4" fillId="4" borderId="2" xfId="4" applyFont="1" applyFill="1" applyBorder="1" applyProtection="1">
      <protection hidden="1"/>
    </xf>
    <xf numFmtId="0" fontId="4" fillId="4" borderId="4" xfId="4" applyFont="1" applyFill="1" applyBorder="1" applyProtection="1">
      <protection hidden="1"/>
    </xf>
    <xf numFmtId="0" fontId="4" fillId="24" borderId="1" xfId="4" applyFont="1" applyFill="1" applyBorder="1" applyAlignment="1" applyProtection="1">
      <alignment horizontal="center"/>
      <protection hidden="1"/>
    </xf>
    <xf numFmtId="0" fontId="4" fillId="23" borderId="1" xfId="4" applyFont="1" applyFill="1" applyBorder="1" applyAlignment="1" applyProtection="1">
      <alignment horizontal="center"/>
      <protection hidden="1"/>
    </xf>
    <xf numFmtId="0" fontId="4" fillId="25" borderId="1" xfId="4" applyFont="1" applyFill="1" applyBorder="1" applyProtection="1">
      <protection hidden="1"/>
    </xf>
    <xf numFmtId="0" fontId="3" fillId="25" borderId="1" xfId="4" applyFill="1" applyBorder="1" applyProtection="1">
      <protection hidden="1"/>
    </xf>
    <xf numFmtId="180" fontId="3" fillId="0" borderId="1" xfId="16" applyNumberFormat="1" applyBorder="1" applyAlignment="1" applyProtection="1">
      <alignment horizontal="center"/>
      <protection hidden="1"/>
    </xf>
    <xf numFmtId="180" fontId="4" fillId="0" borderId="1" xfId="16" applyNumberFormat="1" applyFont="1" applyBorder="1" applyAlignment="1" applyProtection="1">
      <alignment horizontal="center"/>
      <protection hidden="1"/>
    </xf>
    <xf numFmtId="0" fontId="3" fillId="3" borderId="1" xfId="4" applyFill="1" applyBorder="1" applyProtection="1">
      <protection hidden="1"/>
    </xf>
    <xf numFmtId="180" fontId="3" fillId="3" borderId="1" xfId="16" applyNumberFormat="1" applyFill="1" applyBorder="1" applyAlignment="1" applyProtection="1">
      <alignment horizontal="center"/>
      <protection hidden="1"/>
    </xf>
    <xf numFmtId="9" fontId="1" fillId="0" borderId="0" xfId="1" applyNumberFormat="1"/>
    <xf numFmtId="180" fontId="3" fillId="3" borderId="0" xfId="16" applyNumberFormat="1" applyFill="1" applyBorder="1" applyAlignment="1" applyProtection="1">
      <alignment horizontal="center"/>
      <protection hidden="1"/>
    </xf>
    <xf numFmtId="171" fontId="0" fillId="0" borderId="0" xfId="17" applyNumberFormat="1" applyFont="1"/>
    <xf numFmtId="166" fontId="1" fillId="0" borderId="0" xfId="1" applyNumberFormat="1"/>
    <xf numFmtId="180" fontId="1" fillId="0" borderId="0" xfId="1" applyNumberFormat="1"/>
    <xf numFmtId="171" fontId="1" fillId="0" borderId="0" xfId="1" applyNumberFormat="1"/>
    <xf numFmtId="0" fontId="4" fillId="3" borderId="1" xfId="4" applyFont="1" applyFill="1" applyBorder="1" applyProtection="1">
      <protection hidden="1"/>
    </xf>
    <xf numFmtId="180" fontId="4" fillId="3" borderId="1" xfId="16" applyNumberFormat="1" applyFont="1" applyFill="1" applyBorder="1" applyAlignment="1" applyProtection="1">
      <alignment horizontal="center"/>
      <protection hidden="1"/>
    </xf>
    <xf numFmtId="0" fontId="4" fillId="4" borderId="37" xfId="4" applyFont="1" applyFill="1" applyBorder="1" applyProtection="1">
      <protection hidden="1"/>
    </xf>
    <xf numFmtId="0" fontId="4" fillId="4" borderId="38" xfId="4" applyFont="1" applyFill="1" applyBorder="1" applyProtection="1">
      <protection hidden="1"/>
    </xf>
    <xf numFmtId="180" fontId="3" fillId="2" borderId="1" xfId="4" applyNumberFormat="1" applyFill="1" applyBorder="1" applyAlignment="1" applyProtection="1">
      <alignment horizontal="center"/>
      <protection hidden="1"/>
    </xf>
    <xf numFmtId="180" fontId="4" fillId="2" borderId="1" xfId="4" applyNumberFormat="1" applyFont="1" applyFill="1" applyBorder="1" applyAlignment="1" applyProtection="1">
      <alignment horizontal="center"/>
      <protection hidden="1"/>
    </xf>
    <xf numFmtId="168" fontId="1" fillId="0" borderId="0" xfId="1" applyNumberFormat="1"/>
    <xf numFmtId="180" fontId="3" fillId="2" borderId="1" xfId="16" applyNumberFormat="1" applyFill="1" applyBorder="1" applyAlignment="1" applyProtection="1">
      <alignment horizontal="center"/>
      <protection hidden="1"/>
    </xf>
    <xf numFmtId="180" fontId="4" fillId="2" borderId="1" xfId="16" applyNumberFormat="1" applyFont="1" applyFill="1" applyBorder="1" applyAlignment="1" applyProtection="1">
      <alignment horizontal="center"/>
      <protection hidden="1"/>
    </xf>
    <xf numFmtId="0" fontId="33" fillId="0" borderId="1" xfId="1" applyFont="1" applyBorder="1"/>
    <xf numFmtId="0" fontId="3" fillId="25" borderId="0" xfId="4" applyFill="1" applyProtection="1">
      <protection hidden="1"/>
    </xf>
    <xf numFmtId="43" fontId="0" fillId="0" borderId="0" xfId="18" applyFont="1"/>
    <xf numFmtId="0" fontId="1" fillId="0" borderId="0" xfId="1" applyAlignment="1">
      <alignment horizontal="center"/>
    </xf>
    <xf numFmtId="0" fontId="33" fillId="4" borderId="1" xfId="1" applyFont="1" applyFill="1" applyBorder="1"/>
    <xf numFmtId="0" fontId="1" fillId="3" borderId="1" xfId="1" applyFill="1" applyBorder="1"/>
    <xf numFmtId="180" fontId="1" fillId="3" borderId="1" xfId="1" applyNumberFormat="1" applyFill="1" applyBorder="1"/>
    <xf numFmtId="171" fontId="0" fillId="3" borderId="1" xfId="17" applyNumberFormat="1" applyFont="1" applyFill="1" applyBorder="1" applyAlignment="1">
      <alignment horizontal="center"/>
    </xf>
    <xf numFmtId="0" fontId="1" fillId="0" borderId="1" xfId="1" applyBorder="1"/>
    <xf numFmtId="180" fontId="1" fillId="0" borderId="1" xfId="1" applyNumberFormat="1" applyBorder="1"/>
    <xf numFmtId="171" fontId="0" fillId="0" borderId="1" xfId="17" applyNumberFormat="1" applyFont="1" applyBorder="1" applyAlignment="1">
      <alignment horizontal="center"/>
    </xf>
    <xf numFmtId="0" fontId="33" fillId="23" borderId="1" xfId="1" applyFont="1" applyFill="1" applyBorder="1"/>
    <xf numFmtId="180" fontId="33" fillId="23" borderId="1" xfId="1" applyNumberFormat="1" applyFont="1" applyFill="1" applyBorder="1"/>
    <xf numFmtId="171" fontId="33" fillId="23" borderId="1" xfId="17" applyNumberFormat="1" applyFont="1" applyFill="1" applyBorder="1" applyAlignment="1">
      <alignment horizontal="center"/>
    </xf>
    <xf numFmtId="0" fontId="34" fillId="25" borderId="0" xfId="6" applyFont="1" applyFill="1" applyAlignment="1">
      <alignment horizontal="left"/>
    </xf>
    <xf numFmtId="0" fontId="35" fillId="25" borderId="0" xfId="6" applyFont="1" applyFill="1" applyAlignment="1">
      <alignment horizontal="center"/>
    </xf>
    <xf numFmtId="0" fontId="34" fillId="25" borderId="0" xfId="6" applyFont="1" applyFill="1" applyAlignment="1">
      <alignment horizontal="center"/>
    </xf>
    <xf numFmtId="0" fontId="1" fillId="0" borderId="0" xfId="19"/>
    <xf numFmtId="0" fontId="37" fillId="25" borderId="0" xfId="6" applyFont="1" applyFill="1" applyAlignment="1">
      <alignment horizontal="left"/>
    </xf>
    <xf numFmtId="0" fontId="33" fillId="16" borderId="1" xfId="19" applyFont="1" applyFill="1" applyBorder="1"/>
    <xf numFmtId="0" fontId="33" fillId="3" borderId="1" xfId="19" applyFont="1" applyFill="1" applyBorder="1"/>
    <xf numFmtId="0" fontId="33" fillId="3" borderId="1" xfId="19" applyFont="1" applyFill="1" applyBorder="1" applyAlignment="1">
      <alignment horizontal="center" vertical="center"/>
    </xf>
    <xf numFmtId="0" fontId="1" fillId="0" borderId="1" xfId="19" applyBorder="1"/>
    <xf numFmtId="38" fontId="1" fillId="0" borderId="1" xfId="19" applyNumberFormat="1" applyBorder="1"/>
    <xf numFmtId="38" fontId="1" fillId="0" borderId="1" xfId="19" applyNumberFormat="1" applyBorder="1" applyAlignment="1">
      <alignment horizontal="center"/>
    </xf>
    <xf numFmtId="10" fontId="1" fillId="4" borderId="1" xfId="19" applyNumberFormat="1" applyFill="1" applyBorder="1" applyAlignment="1">
      <alignment horizontal="center"/>
    </xf>
    <xf numFmtId="171" fontId="1" fillId="0" borderId="1" xfId="17" applyNumberFormat="1" applyFont="1" applyBorder="1" applyAlignment="1">
      <alignment horizontal="center"/>
    </xf>
    <xf numFmtId="10" fontId="1" fillId="0" borderId="1" xfId="19" applyNumberFormat="1" applyBorder="1" applyAlignment="1">
      <alignment horizontal="center"/>
    </xf>
    <xf numFmtId="0" fontId="33" fillId="0" borderId="1" xfId="19" applyFont="1" applyBorder="1"/>
    <xf numFmtId="38" fontId="33" fillId="0" borderId="1" xfId="19" applyNumberFormat="1" applyFont="1" applyBorder="1"/>
    <xf numFmtId="38" fontId="1" fillId="0" borderId="0" xfId="19" applyNumberFormat="1" applyAlignment="1">
      <alignment horizontal="center"/>
    </xf>
    <xf numFmtId="0" fontId="1" fillId="0" borderId="0" xfId="19" applyAlignment="1">
      <alignment horizontal="center"/>
    </xf>
    <xf numFmtId="171" fontId="1" fillId="0" borderId="0" xfId="19" applyNumberFormat="1" applyAlignment="1">
      <alignment horizontal="center"/>
    </xf>
    <xf numFmtId="10" fontId="33" fillId="8" borderId="1" xfId="19" applyNumberFormat="1" applyFont="1" applyFill="1" applyBorder="1" applyAlignment="1">
      <alignment horizontal="center"/>
    </xf>
    <xf numFmtId="10" fontId="1" fillId="0" borderId="0" xfId="19" applyNumberFormat="1" applyAlignment="1">
      <alignment horizontal="center"/>
    </xf>
    <xf numFmtId="0" fontId="33" fillId="3" borderId="1" xfId="19" applyFont="1" applyFill="1" applyBorder="1" applyAlignment="1">
      <alignment horizontal="center"/>
    </xf>
    <xf numFmtId="0" fontId="33" fillId="9" borderId="1" xfId="19" applyFont="1" applyFill="1" applyBorder="1"/>
    <xf numFmtId="9" fontId="1" fillId="8" borderId="1" xfId="19" applyNumberFormat="1" applyFill="1" applyBorder="1" applyAlignment="1">
      <alignment horizontal="center"/>
    </xf>
    <xf numFmtId="178" fontId="1" fillId="0" borderId="1" xfId="19" applyNumberFormat="1" applyBorder="1" applyAlignment="1">
      <alignment horizontal="center"/>
    </xf>
    <xf numFmtId="171" fontId="1" fillId="0" borderId="1" xfId="19" applyNumberFormat="1" applyBorder="1" applyAlignment="1">
      <alignment horizontal="center"/>
    </xf>
    <xf numFmtId="0" fontId="33" fillId="23" borderId="1" xfId="19" applyFont="1" applyFill="1" applyBorder="1"/>
    <xf numFmtId="181" fontId="7" fillId="0" borderId="1" xfId="4" applyNumberFormat="1" applyFont="1" applyBorder="1" applyAlignment="1">
      <alignment horizontal="center"/>
    </xf>
    <xf numFmtId="181" fontId="11" fillId="13" borderId="1" xfId="4" applyNumberFormat="1" applyFont="1" applyFill="1" applyBorder="1" applyAlignment="1">
      <alignment horizontal="center"/>
    </xf>
    <xf numFmtId="0" fontId="3" fillId="0" borderId="0" xfId="3" applyAlignment="1">
      <alignment horizontal="justify" vertical="center" wrapText="1"/>
    </xf>
    <xf numFmtId="0" fontId="30" fillId="8" borderId="26" xfId="4" applyFont="1" applyFill="1" applyBorder="1" applyAlignment="1">
      <alignment horizontal="left" vertical="center" indent="1"/>
    </xf>
    <xf numFmtId="0" fontId="30" fillId="8" borderId="10" xfId="4" applyFont="1" applyFill="1" applyBorder="1" applyAlignment="1">
      <alignment horizontal="left" vertical="center" indent="1"/>
    </xf>
    <xf numFmtId="0" fontId="30" fillId="8" borderId="25" xfId="4" applyFont="1" applyFill="1" applyBorder="1" applyAlignment="1">
      <alignment horizontal="left" vertical="center" indent="1"/>
    </xf>
    <xf numFmtId="0" fontId="29" fillId="9" borderId="24" xfId="4" applyFont="1" applyFill="1" applyBorder="1" applyAlignment="1">
      <alignment horizontal="center" vertical="center"/>
    </xf>
    <xf numFmtId="0" fontId="29" fillId="9" borderId="31" xfId="4" applyFont="1" applyFill="1" applyBorder="1" applyAlignment="1">
      <alignment horizontal="center" vertical="center"/>
    </xf>
    <xf numFmtId="0" fontId="29" fillId="9" borderId="32" xfId="4" applyFont="1" applyFill="1" applyBorder="1" applyAlignment="1">
      <alignment horizontal="center" vertical="center"/>
    </xf>
    <xf numFmtId="0" fontId="29" fillId="9" borderId="33" xfId="4" applyFont="1" applyFill="1" applyBorder="1" applyAlignment="1">
      <alignment horizontal="center" vertical="center"/>
    </xf>
    <xf numFmtId="0" fontId="29" fillId="9" borderId="18" xfId="4" applyFont="1" applyFill="1" applyBorder="1" applyAlignment="1">
      <alignment horizontal="center" vertical="center"/>
    </xf>
    <xf numFmtId="0" fontId="29" fillId="9" borderId="34" xfId="4" applyFont="1" applyFill="1" applyBorder="1" applyAlignment="1">
      <alignment horizontal="center" vertical="center"/>
    </xf>
    <xf numFmtId="0" fontId="30" fillId="20" borderId="26" xfId="4" applyFont="1" applyFill="1" applyBorder="1" applyAlignment="1">
      <alignment horizontal="left" vertical="center" indent="1"/>
    </xf>
    <xf numFmtId="0" fontId="30" fillId="20" borderId="10" xfId="4" applyFont="1" applyFill="1" applyBorder="1" applyAlignment="1">
      <alignment horizontal="left" vertical="center" indent="1"/>
    </xf>
    <xf numFmtId="0" fontId="30" fillId="20" borderId="25" xfId="4" applyFont="1" applyFill="1" applyBorder="1" applyAlignment="1">
      <alignment horizontal="left" vertical="center" indent="1"/>
    </xf>
    <xf numFmtId="0" fontId="28" fillId="21" borderId="24" xfId="4" applyFont="1" applyFill="1" applyBorder="1" applyAlignment="1">
      <alignment horizontal="center" vertical="center" wrapText="1"/>
    </xf>
    <xf numFmtId="0" fontId="7" fillId="21" borderId="31" xfId="4" applyFont="1" applyFill="1" applyBorder="1"/>
    <xf numFmtId="0" fontId="7" fillId="21" borderId="32" xfId="4" applyFont="1" applyFill="1" applyBorder="1"/>
    <xf numFmtId="0" fontId="7" fillId="21" borderId="33" xfId="4" applyFont="1" applyFill="1" applyBorder="1"/>
    <xf numFmtId="0" fontId="7" fillId="21" borderId="18" xfId="4" applyFont="1" applyFill="1" applyBorder="1"/>
    <xf numFmtId="0" fontId="7" fillId="21" borderId="34" xfId="4" applyFont="1" applyFill="1" applyBorder="1"/>
    <xf numFmtId="0" fontId="21" fillId="15" borderId="24" xfId="4" applyFont="1" applyFill="1" applyBorder="1" applyAlignment="1">
      <alignment horizontal="left" vertical="center" wrapText="1"/>
    </xf>
    <xf numFmtId="0" fontId="21" fillId="15" borderId="31" xfId="4" applyFont="1" applyFill="1" applyBorder="1" applyAlignment="1">
      <alignment horizontal="left" vertical="center" wrapText="1"/>
    </xf>
    <xf numFmtId="0" fontId="21" fillId="15" borderId="32" xfId="4" applyFont="1" applyFill="1" applyBorder="1" applyAlignment="1">
      <alignment horizontal="left" vertical="center" wrapText="1"/>
    </xf>
    <xf numFmtId="0" fontId="21" fillId="15" borderId="33" xfId="4" applyFont="1" applyFill="1" applyBorder="1" applyAlignment="1">
      <alignment horizontal="left" vertical="center" wrapText="1"/>
    </xf>
    <xf numFmtId="0" fontId="21" fillId="15" borderId="18" xfId="4" applyFont="1" applyFill="1" applyBorder="1" applyAlignment="1">
      <alignment horizontal="left" vertical="center" wrapText="1"/>
    </xf>
    <xf numFmtId="0" fontId="21" fillId="15" borderId="34" xfId="4" applyFont="1" applyFill="1" applyBorder="1" applyAlignment="1">
      <alignment horizontal="left" vertical="center" wrapText="1"/>
    </xf>
    <xf numFmtId="177" fontId="11" fillId="0" borderId="11" xfId="4" applyNumberFormat="1" applyFont="1" applyBorder="1" applyAlignment="1">
      <alignment horizontal="center" vertical="center"/>
    </xf>
    <xf numFmtId="177" fontId="11" fillId="0" borderId="17" xfId="4" applyNumberFormat="1" applyFont="1" applyBorder="1" applyAlignment="1">
      <alignment horizontal="center" vertical="center"/>
    </xf>
    <xf numFmtId="0" fontId="22" fillId="0" borderId="24" xfId="4" applyFont="1" applyBorder="1" applyAlignment="1">
      <alignment horizontal="center" vertical="center"/>
    </xf>
    <xf numFmtId="0" fontId="22" fillId="0" borderId="32" xfId="4" applyFont="1" applyBorder="1" applyAlignment="1">
      <alignment horizontal="center" vertical="center"/>
    </xf>
    <xf numFmtId="0" fontId="22" fillId="0" borderId="33" xfId="4" applyFont="1" applyBorder="1" applyAlignment="1">
      <alignment horizontal="center" vertical="center"/>
    </xf>
    <xf numFmtId="0" fontId="22" fillId="0" borderId="34" xfId="4" applyFont="1" applyBorder="1" applyAlignment="1">
      <alignment horizontal="center" vertical="center"/>
    </xf>
    <xf numFmtId="0" fontId="28" fillId="3" borderId="24" xfId="4" applyFont="1" applyFill="1" applyBorder="1" applyAlignment="1">
      <alignment horizontal="center" vertical="center" wrapText="1"/>
    </xf>
    <xf numFmtId="0" fontId="7" fillId="3" borderId="31" xfId="4" applyFont="1" applyFill="1" applyBorder="1"/>
    <xf numFmtId="0" fontId="7" fillId="3" borderId="32" xfId="4" applyFont="1" applyFill="1" applyBorder="1"/>
    <xf numFmtId="0" fontId="7" fillId="3" borderId="33" xfId="4" applyFont="1" applyFill="1" applyBorder="1"/>
    <xf numFmtId="0" fontId="7" fillId="3" borderId="18" xfId="4" applyFont="1" applyFill="1" applyBorder="1"/>
    <xf numFmtId="0" fontId="7" fillId="3" borderId="34" xfId="4" applyFont="1" applyFill="1" applyBorder="1"/>
    <xf numFmtId="0" fontId="21" fillId="15" borderId="24" xfId="4" applyFont="1" applyFill="1" applyBorder="1" applyAlignment="1">
      <alignment horizontal="left" vertical="center" wrapText="1" indent="1"/>
    </xf>
    <xf numFmtId="0" fontId="21" fillId="15" borderId="31" xfId="4" applyFont="1" applyFill="1" applyBorder="1" applyAlignment="1">
      <alignment horizontal="left" vertical="center" wrapText="1" indent="1"/>
    </xf>
    <xf numFmtId="0" fontId="21" fillId="15" borderId="32" xfId="4" applyFont="1" applyFill="1" applyBorder="1" applyAlignment="1">
      <alignment horizontal="left" vertical="center" wrapText="1" indent="1"/>
    </xf>
    <xf numFmtId="0" fontId="21" fillId="15" borderId="33" xfId="4" applyFont="1" applyFill="1" applyBorder="1" applyAlignment="1">
      <alignment horizontal="left" vertical="center" wrapText="1" indent="1"/>
    </xf>
    <xf numFmtId="0" fontId="21" fillId="15" borderId="18" xfId="4" applyFont="1" applyFill="1" applyBorder="1" applyAlignment="1">
      <alignment horizontal="left" vertical="center" wrapText="1" indent="1"/>
    </xf>
    <xf numFmtId="0" fontId="21" fillId="15" borderId="34" xfId="4" applyFont="1" applyFill="1" applyBorder="1" applyAlignment="1">
      <alignment horizontal="left" vertical="center" wrapText="1" indent="1"/>
    </xf>
    <xf numFmtId="0" fontId="21" fillId="22" borderId="24" xfId="4" applyFont="1" applyFill="1" applyBorder="1" applyAlignment="1">
      <alignment horizontal="left" vertical="center" wrapText="1"/>
    </xf>
    <xf numFmtId="0" fontId="21" fillId="22" borderId="31" xfId="4" applyFont="1" applyFill="1" applyBorder="1" applyAlignment="1">
      <alignment horizontal="left" vertical="center" wrapText="1"/>
    </xf>
    <xf numFmtId="0" fontId="21" fillId="22" borderId="32" xfId="4" applyFont="1" applyFill="1" applyBorder="1" applyAlignment="1">
      <alignment horizontal="left" vertical="center" wrapText="1"/>
    </xf>
    <xf numFmtId="0" fontId="21" fillId="22" borderId="33" xfId="4" applyFont="1" applyFill="1" applyBorder="1" applyAlignment="1">
      <alignment horizontal="left" vertical="center" wrapText="1"/>
    </xf>
    <xf numFmtId="0" fontId="21" fillId="22" borderId="18" xfId="4" applyFont="1" applyFill="1" applyBorder="1" applyAlignment="1">
      <alignment horizontal="left" vertical="center" wrapText="1"/>
    </xf>
    <xf numFmtId="0" fontId="21" fillId="22" borderId="34" xfId="4" applyFont="1" applyFill="1" applyBorder="1" applyAlignment="1">
      <alignment horizontal="left" vertical="center" wrapText="1"/>
    </xf>
    <xf numFmtId="0" fontId="23" fillId="21" borderId="24" xfId="4" applyFont="1" applyFill="1" applyBorder="1" applyAlignment="1">
      <alignment horizontal="center" vertical="center" wrapText="1"/>
    </xf>
    <xf numFmtId="0" fontId="3" fillId="21" borderId="31" xfId="4" applyFill="1" applyBorder="1"/>
    <xf numFmtId="0" fontId="3" fillId="21" borderId="32" xfId="4" applyFill="1" applyBorder="1"/>
    <xf numFmtId="0" fontId="3" fillId="21" borderId="33" xfId="4" applyFill="1" applyBorder="1"/>
    <xf numFmtId="0" fontId="3" fillId="21" borderId="18" xfId="4" applyFill="1" applyBorder="1"/>
    <xf numFmtId="0" fontId="3" fillId="21" borderId="34" xfId="4" applyFill="1" applyBorder="1"/>
    <xf numFmtId="0" fontId="19" fillId="0" borderId="26" xfId="4" applyFont="1" applyBorder="1" applyAlignment="1">
      <alignment horizontal="left" vertical="center" indent="1"/>
    </xf>
    <xf numFmtId="0" fontId="19" fillId="0" borderId="10" xfId="4" applyFont="1" applyBorder="1" applyAlignment="1">
      <alignment horizontal="left" vertical="center" indent="1"/>
    </xf>
    <xf numFmtId="0" fontId="19" fillId="0" borderId="25" xfId="4" applyFont="1" applyBorder="1" applyAlignment="1">
      <alignment horizontal="left" vertical="center" indent="1"/>
    </xf>
    <xf numFmtId="0" fontId="21" fillId="20" borderId="24" xfId="4" applyFont="1" applyFill="1" applyBorder="1" applyAlignment="1">
      <alignment horizontal="center" vertical="center" wrapText="1"/>
    </xf>
    <xf numFmtId="0" fontId="3" fillId="0" borderId="31" xfId="4" applyBorder="1"/>
    <xf numFmtId="0" fontId="3" fillId="0" borderId="32" xfId="4" applyBorder="1"/>
    <xf numFmtId="0" fontId="3" fillId="0" borderId="33" xfId="4" applyBorder="1"/>
    <xf numFmtId="0" fontId="3" fillId="0" borderId="18" xfId="4" applyBorder="1"/>
    <xf numFmtId="0" fontId="3" fillId="0" borderId="34" xfId="4" applyBorder="1"/>
    <xf numFmtId="0" fontId="23" fillId="20" borderId="24" xfId="4" applyFont="1" applyFill="1" applyBorder="1" applyAlignment="1">
      <alignment horizontal="center" vertical="center" wrapText="1"/>
    </xf>
    <xf numFmtId="0" fontId="14" fillId="15" borderId="24" xfId="4" applyFont="1" applyFill="1" applyBorder="1" applyAlignment="1">
      <alignment horizontal="center" vertical="center" wrapText="1"/>
    </xf>
    <xf numFmtId="0" fontId="14" fillId="15" borderId="31" xfId="4" applyFont="1" applyFill="1" applyBorder="1" applyAlignment="1">
      <alignment horizontal="center" vertical="center" wrapText="1"/>
    </xf>
    <xf numFmtId="0" fontId="14" fillId="15" borderId="32" xfId="4" applyFont="1" applyFill="1" applyBorder="1" applyAlignment="1">
      <alignment horizontal="center" vertical="center" wrapText="1"/>
    </xf>
    <xf numFmtId="0" fontId="14" fillId="15" borderId="33" xfId="4" applyFont="1" applyFill="1" applyBorder="1" applyAlignment="1">
      <alignment horizontal="center" vertical="center" wrapText="1"/>
    </xf>
    <xf numFmtId="0" fontId="14" fillId="15" borderId="18" xfId="4" applyFont="1" applyFill="1" applyBorder="1" applyAlignment="1">
      <alignment horizontal="center" vertical="center" wrapText="1"/>
    </xf>
    <xf numFmtId="0" fontId="14" fillId="15" borderId="34" xfId="4" applyFont="1" applyFill="1" applyBorder="1" applyAlignment="1">
      <alignment horizontal="center" vertical="center" wrapText="1"/>
    </xf>
    <xf numFmtId="0" fontId="15" fillId="20" borderId="24" xfId="4" applyFont="1" applyFill="1" applyBorder="1" applyAlignment="1">
      <alignment horizontal="center" vertical="center" wrapText="1"/>
    </xf>
    <xf numFmtId="0" fontId="15" fillId="20" borderId="31" xfId="4" applyFont="1" applyFill="1" applyBorder="1" applyAlignment="1">
      <alignment horizontal="center" vertical="center" wrapText="1"/>
    </xf>
    <xf numFmtId="0" fontId="15" fillId="20" borderId="32" xfId="4" applyFont="1" applyFill="1" applyBorder="1" applyAlignment="1">
      <alignment horizontal="center" vertical="center" wrapText="1"/>
    </xf>
    <xf numFmtId="0" fontId="15" fillId="20" borderId="35" xfId="4" applyFont="1" applyFill="1" applyBorder="1" applyAlignment="1">
      <alignment horizontal="center" vertical="center" wrapText="1"/>
    </xf>
    <xf numFmtId="0" fontId="15" fillId="20" borderId="0" xfId="4" applyFont="1" applyFill="1" applyAlignment="1">
      <alignment horizontal="center" vertical="center" wrapText="1"/>
    </xf>
    <xf numFmtId="0" fontId="15" fillId="20" borderId="36" xfId="4" applyFont="1" applyFill="1" applyBorder="1" applyAlignment="1">
      <alignment horizontal="center" vertical="center" wrapText="1"/>
    </xf>
    <xf numFmtId="0" fontId="15" fillId="20" borderId="33" xfId="4" applyFont="1" applyFill="1" applyBorder="1" applyAlignment="1">
      <alignment horizontal="center" vertical="center" wrapText="1"/>
    </xf>
    <xf numFmtId="0" fontId="15" fillId="20" borderId="18" xfId="4" applyFont="1" applyFill="1" applyBorder="1" applyAlignment="1">
      <alignment horizontal="center" vertical="center" wrapText="1"/>
    </xf>
    <xf numFmtId="0" fontId="15" fillId="20" borderId="34" xfId="4" applyFont="1" applyFill="1" applyBorder="1" applyAlignment="1">
      <alignment horizontal="center" vertical="center" wrapText="1"/>
    </xf>
    <xf numFmtId="0" fontId="18" fillId="21" borderId="0" xfId="4" applyFont="1" applyFill="1" applyAlignment="1">
      <alignment horizontal="left" vertical="center" wrapText="1" indent="1"/>
    </xf>
    <xf numFmtId="0" fontId="36" fillId="25" borderId="0" xfId="6" applyFont="1" applyFill="1" applyAlignment="1">
      <alignment horizontal="left"/>
    </xf>
    <xf numFmtId="0" fontId="37" fillId="13" borderId="1" xfId="6" applyFont="1" applyFill="1" applyBorder="1" applyAlignment="1">
      <alignment horizontal="center"/>
    </xf>
    <xf numFmtId="0" fontId="3" fillId="3" borderId="0" xfId="3" applyFill="1"/>
    <xf numFmtId="168" fontId="3" fillId="2" borderId="0" xfId="3" applyNumberFormat="1" applyFill="1"/>
    <xf numFmtId="4" fontId="3" fillId="2" borderId="0" xfId="4" applyNumberFormat="1" applyFill="1" applyAlignment="1">
      <alignment horizontal="center"/>
    </xf>
    <xf numFmtId="0" fontId="4" fillId="4" borderId="0" xfId="3" applyFont="1" applyFill="1"/>
    <xf numFmtId="0" fontId="3" fillId="4" borderId="0" xfId="3" applyFill="1"/>
    <xf numFmtId="8" fontId="3" fillId="0" borderId="0" xfId="3" applyNumberFormat="1"/>
    <xf numFmtId="4" fontId="4" fillId="4" borderId="1" xfId="3" applyNumberFormat="1" applyFont="1" applyFill="1" applyBorder="1" applyAlignment="1">
      <alignment horizontal="center"/>
    </xf>
    <xf numFmtId="167" fontId="4" fillId="4" borderId="1" xfId="3" applyNumberFormat="1" applyFont="1" applyFill="1" applyBorder="1" applyAlignment="1">
      <alignment horizontal="center"/>
    </xf>
    <xf numFmtId="168" fontId="4" fillId="4" borderId="1" xfId="3" applyNumberFormat="1" applyFont="1" applyFill="1" applyBorder="1" applyAlignment="1">
      <alignment horizontal="center"/>
    </xf>
    <xf numFmtId="167" fontId="4" fillId="4" borderId="1" xfId="8" applyNumberFormat="1" applyFont="1" applyFill="1" applyBorder="1" applyAlignment="1">
      <alignment horizontal="center"/>
    </xf>
    <xf numFmtId="4" fontId="11" fillId="3" borderId="4" xfId="3" applyNumberFormat="1" applyFont="1" applyFill="1" applyBorder="1"/>
    <xf numFmtId="0" fontId="11" fillId="3" borderId="39" xfId="3" applyFont="1" applyFill="1" applyBorder="1"/>
    <xf numFmtId="0" fontId="7" fillId="3" borderId="25" xfId="3" applyFont="1" applyFill="1" applyBorder="1"/>
  </cellXfs>
  <cellStyles count="20">
    <cellStyle name="Millares 2" xfId="9" xr:uid="{8D72D7D3-AA99-48EE-99DC-EC3537F41A1D}"/>
    <cellStyle name="Millares 2 3" xfId="16" xr:uid="{AED459E2-6898-43D5-83EA-16F189DAC6EB}"/>
    <cellStyle name="Millares 2 4" xfId="14" xr:uid="{44DF4C96-CCB2-4F07-AB96-A4D9DEC0A4CA}"/>
    <cellStyle name="Millares 3" xfId="11" xr:uid="{81515D7D-9C84-4615-8616-5890B518270F}"/>
    <cellStyle name="Millares 6" xfId="18" xr:uid="{A466500B-77F5-4819-909F-606D55B9FF45}"/>
    <cellStyle name="Millares_TG 01 GP234W 2006 01 Correccion" xfId="13" xr:uid="{82D78F0E-508B-4390-A88D-A8DD6FFAACEA}"/>
    <cellStyle name="Normal" xfId="0" builtinId="0"/>
    <cellStyle name="Normal 2" xfId="3" xr:uid="{AB543370-A600-4190-971C-68EC6700A77C}"/>
    <cellStyle name="Normal 2 2" xfId="4" xr:uid="{2E25673C-F64E-42CE-B498-B195FE44586B}"/>
    <cellStyle name="Normal 2 3" xfId="7" xr:uid="{48476644-CA8A-4AB3-B3C0-E3CE76A72009}"/>
    <cellStyle name="Normal 3" xfId="2" xr:uid="{00000000-0005-0000-0000-000001000000}"/>
    <cellStyle name="Normal 3 2" xfId="6" xr:uid="{9749AFFF-2811-4DD2-BDA6-6716BE6B4DF9}"/>
    <cellStyle name="Normal 3 3" xfId="19" xr:uid="{1647B020-2576-42D7-9EDB-5ABF8BED6FB4}"/>
    <cellStyle name="Normal 4" xfId="5" xr:uid="{2B819A50-BFC0-43B8-97CF-ED58F0D8B746}"/>
    <cellStyle name="Normal 4 2" xfId="1" xr:uid="{00000000-0005-0000-0000-000002000000}"/>
    <cellStyle name="Normal_Casos Ses 04 GP234W 2006 02" xfId="10" xr:uid="{F754ECE2-2D39-4612-AA8D-1BA588C91960}"/>
    <cellStyle name="Porcentaje 2" xfId="8" xr:uid="{67F704D4-AADA-41F8-9E12-B7D4EA2B981E}"/>
    <cellStyle name="Porcentaje 2 2" xfId="15" xr:uid="{AEB87A39-DA3A-4062-AB89-3F85DE6255D4}"/>
    <cellStyle name="Porcentaje 3" xfId="17" xr:uid="{BD711458-B43A-444B-8958-7695B9013D9F}"/>
    <cellStyle name="Porcentual 2" xfId="12" xr:uid="{F86780CC-5109-4EF5-862A-D894F1E7C32F}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1" defaultTableStyle="TableStyleMedium2" defaultPivotStyle="PivotStyleLight16">
    <tableStyle name="Invisible" pivot="0" table="0" count="0" xr9:uid="{BE442429-D80B-457B-A193-ED800C1142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47" Type="http://schemas.openxmlformats.org/officeDocument/2006/relationships/externalLink" Target="externalLinks/externalLink9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14</xdr:row>
      <xdr:rowOff>133350</xdr:rowOff>
    </xdr:from>
    <xdr:ext cx="729623" cy="254557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B1F128A0-5028-4B33-914B-BA8582C0CC3A}"/>
            </a:ext>
          </a:extLst>
        </xdr:cNvPr>
        <xdr:cNvSpPr txBox="1"/>
      </xdr:nvSpPr>
      <xdr:spPr>
        <a:xfrm>
          <a:off x="1270635" y="2480310"/>
          <a:ext cx="72962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I efect = </a:t>
          </a:r>
        </a:p>
      </xdr:txBody>
    </xdr:sp>
    <xdr:clientData/>
  </xdr:oneCellAnchor>
  <xdr:twoCellAnchor>
    <xdr:from>
      <xdr:col>2</xdr:col>
      <xdr:colOff>333375</xdr:colOff>
      <xdr:row>14</xdr:row>
      <xdr:rowOff>28575</xdr:rowOff>
    </xdr:from>
    <xdr:to>
      <xdr:col>2</xdr:col>
      <xdr:colOff>390525</xdr:colOff>
      <xdr:row>16</xdr:row>
      <xdr:rowOff>161925</xdr:rowOff>
    </xdr:to>
    <xdr:sp macro="" textlink="">
      <xdr:nvSpPr>
        <xdr:cNvPr id="3" name="25 Abrir corchete">
          <a:extLst>
            <a:ext uri="{FF2B5EF4-FFF2-40B4-BE49-F238E27FC236}">
              <a16:creationId xmlns:a16="http://schemas.microsoft.com/office/drawing/2014/main" id="{D28D74D4-625E-4E14-B9C6-414F29FB8611}"/>
            </a:ext>
          </a:extLst>
        </xdr:cNvPr>
        <xdr:cNvSpPr>
          <a:spLocks/>
        </xdr:cNvSpPr>
      </xdr:nvSpPr>
      <xdr:spPr bwMode="auto">
        <a:xfrm>
          <a:off x="1903095" y="2375535"/>
          <a:ext cx="57150" cy="514350"/>
        </a:xfrm>
        <a:prstGeom prst="leftBracket">
          <a:avLst>
            <a:gd name="adj" fmla="val 8333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</xdr:col>
      <xdr:colOff>371475</xdr:colOff>
      <xdr:row>14</xdr:row>
      <xdr:rowOff>152400</xdr:rowOff>
    </xdr:from>
    <xdr:ext cx="609600" cy="254557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CF81FD83-C587-4D1A-A022-62D124FB96FA}"/>
            </a:ext>
          </a:extLst>
        </xdr:cNvPr>
        <xdr:cNvSpPr txBox="1"/>
      </xdr:nvSpPr>
      <xdr:spPr>
        <a:xfrm>
          <a:off x="1941195" y="2499360"/>
          <a:ext cx="60960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1 + In         </a:t>
          </a:r>
        </a:p>
      </xdr:txBody>
    </xdr:sp>
    <xdr:clientData/>
  </xdr:oneCellAnchor>
  <xdr:twoCellAnchor>
    <xdr:from>
      <xdr:col>2</xdr:col>
      <xdr:colOff>676275</xdr:colOff>
      <xdr:row>16</xdr:row>
      <xdr:rowOff>28575</xdr:rowOff>
    </xdr:from>
    <xdr:to>
      <xdr:col>3</xdr:col>
      <xdr:colOff>104775</xdr:colOff>
      <xdr:row>16</xdr:row>
      <xdr:rowOff>28575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313817BB-EA18-464B-A0E5-FB8FCF9DF6C5}"/>
            </a:ext>
          </a:extLst>
        </xdr:cNvPr>
        <xdr:cNvCxnSpPr>
          <a:cxnSpLocks noChangeShapeType="1"/>
          <a:stCxn id="4" idx="2"/>
        </xdr:cNvCxnSpPr>
      </xdr:nvCxnSpPr>
      <xdr:spPr bwMode="auto">
        <a:xfrm rot="16200000" flipH="1">
          <a:off x="2352675" y="2649855"/>
          <a:ext cx="0" cy="21336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</xdr:col>
      <xdr:colOff>628650</xdr:colOff>
      <xdr:row>15</xdr:row>
      <xdr:rowOff>171450</xdr:rowOff>
    </xdr:from>
    <xdr:ext cx="302199" cy="254557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18AA89F2-AE96-4224-B85F-8F148D514EC3}"/>
            </a:ext>
          </a:extLst>
        </xdr:cNvPr>
        <xdr:cNvSpPr txBox="1"/>
      </xdr:nvSpPr>
      <xdr:spPr>
        <a:xfrm>
          <a:off x="2198370" y="2708910"/>
          <a:ext cx="30219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m</a:t>
          </a:r>
        </a:p>
      </xdr:txBody>
    </xdr:sp>
    <xdr:clientData/>
  </xdr:oneCellAnchor>
  <xdr:twoCellAnchor>
    <xdr:from>
      <xdr:col>3</xdr:col>
      <xdr:colOff>209550</xdr:colOff>
      <xdr:row>14</xdr:row>
      <xdr:rowOff>19050</xdr:rowOff>
    </xdr:from>
    <xdr:to>
      <xdr:col>3</xdr:col>
      <xdr:colOff>257175</xdr:colOff>
      <xdr:row>16</xdr:row>
      <xdr:rowOff>171450</xdr:rowOff>
    </xdr:to>
    <xdr:sp macro="" textlink="">
      <xdr:nvSpPr>
        <xdr:cNvPr id="7" name="32 Cerrar corchete">
          <a:extLst>
            <a:ext uri="{FF2B5EF4-FFF2-40B4-BE49-F238E27FC236}">
              <a16:creationId xmlns:a16="http://schemas.microsoft.com/office/drawing/2014/main" id="{516C3203-5AA1-4913-A309-A18E03E6382A}"/>
            </a:ext>
          </a:extLst>
        </xdr:cNvPr>
        <xdr:cNvSpPr>
          <a:spLocks/>
        </xdr:cNvSpPr>
      </xdr:nvSpPr>
      <xdr:spPr bwMode="auto">
        <a:xfrm>
          <a:off x="2564130" y="2366010"/>
          <a:ext cx="47625" cy="533400"/>
        </a:xfrm>
        <a:prstGeom prst="rightBracket">
          <a:avLst>
            <a:gd name="adj" fmla="val 7985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</xdr:col>
      <xdr:colOff>276225</xdr:colOff>
      <xdr:row>13</xdr:row>
      <xdr:rowOff>104775</xdr:rowOff>
    </xdr:from>
    <xdr:ext cx="263149" cy="254557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48294CDD-C762-4D45-B160-CDF0ECF91A3A}"/>
            </a:ext>
          </a:extLst>
        </xdr:cNvPr>
        <xdr:cNvSpPr txBox="1"/>
      </xdr:nvSpPr>
      <xdr:spPr>
        <a:xfrm>
          <a:off x="2630805" y="2284095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1</xdr:col>
      <xdr:colOff>390525</xdr:colOff>
      <xdr:row>33</xdr:row>
      <xdr:rowOff>133350</xdr:rowOff>
    </xdr:from>
    <xdr:to>
      <xdr:col>4</xdr:col>
      <xdr:colOff>485775</xdr:colOff>
      <xdr:row>33</xdr:row>
      <xdr:rowOff>142875</xdr:rowOff>
    </xdr:to>
    <xdr:cxnSp macro="">
      <xdr:nvCxnSpPr>
        <xdr:cNvPr id="9" name="9 Conector recto">
          <a:extLst>
            <a:ext uri="{FF2B5EF4-FFF2-40B4-BE49-F238E27FC236}">
              <a16:creationId xmlns:a16="http://schemas.microsoft.com/office/drawing/2014/main" id="{5E0881AC-93B6-4E45-ABC9-2FA1B1EDF9C0}"/>
            </a:ext>
          </a:extLst>
        </xdr:cNvPr>
        <xdr:cNvCxnSpPr>
          <a:cxnSpLocks noChangeShapeType="1"/>
        </xdr:cNvCxnSpPr>
      </xdr:nvCxnSpPr>
      <xdr:spPr bwMode="auto">
        <a:xfrm flipV="1">
          <a:off x="1175385" y="5871210"/>
          <a:ext cx="2449830" cy="95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361950</xdr:colOff>
      <xdr:row>31</xdr:row>
      <xdr:rowOff>95250</xdr:rowOff>
    </xdr:from>
    <xdr:to>
      <xdr:col>1</xdr:col>
      <xdr:colOff>371475</xdr:colOff>
      <xdr:row>33</xdr:row>
      <xdr:rowOff>123825</xdr:rowOff>
    </xdr:to>
    <xdr:cxnSp macro="">
      <xdr:nvCxnSpPr>
        <xdr:cNvPr id="10" name="11 Conector recto de flecha">
          <a:extLst>
            <a:ext uri="{FF2B5EF4-FFF2-40B4-BE49-F238E27FC236}">
              <a16:creationId xmlns:a16="http://schemas.microsoft.com/office/drawing/2014/main" id="{80799D6C-D84A-450B-A0FE-D648E5A67688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9645" y="5674995"/>
          <a:ext cx="363855" cy="95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742950</xdr:colOff>
      <xdr:row>31</xdr:row>
      <xdr:rowOff>38100</xdr:rowOff>
    </xdr:from>
    <xdr:to>
      <xdr:col>2</xdr:col>
      <xdr:colOff>742950</xdr:colOff>
      <xdr:row>33</xdr:row>
      <xdr:rowOff>133350</xdr:rowOff>
    </xdr:to>
    <xdr:cxnSp macro="">
      <xdr:nvCxnSpPr>
        <xdr:cNvPr id="11" name="13 Conector recto de flecha">
          <a:extLst>
            <a:ext uri="{FF2B5EF4-FFF2-40B4-BE49-F238E27FC236}">
              <a16:creationId xmlns:a16="http://schemas.microsoft.com/office/drawing/2014/main" id="{9FE835EE-78E4-4B9A-B870-994CE6A1A3BD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2097405" y="5655945"/>
          <a:ext cx="43053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428625</xdr:colOff>
      <xdr:row>37</xdr:row>
      <xdr:rowOff>95250</xdr:rowOff>
    </xdr:from>
    <xdr:to>
      <xdr:col>2</xdr:col>
      <xdr:colOff>409575</xdr:colOff>
      <xdr:row>37</xdr:row>
      <xdr:rowOff>95250</xdr:rowOff>
    </xdr:to>
    <xdr:cxnSp macro="">
      <xdr:nvCxnSpPr>
        <xdr:cNvPr id="12" name="17 Conector recto">
          <a:extLst>
            <a:ext uri="{FF2B5EF4-FFF2-40B4-BE49-F238E27FC236}">
              <a16:creationId xmlns:a16="http://schemas.microsoft.com/office/drawing/2014/main" id="{D60A1EA7-BC6F-4EFE-A210-21A03DBD1BB2}"/>
            </a:ext>
          </a:extLst>
        </xdr:cNvPr>
        <xdr:cNvCxnSpPr>
          <a:cxnSpLocks noChangeShapeType="1"/>
        </xdr:cNvCxnSpPr>
      </xdr:nvCxnSpPr>
      <xdr:spPr bwMode="auto">
        <a:xfrm>
          <a:off x="1213485" y="6503670"/>
          <a:ext cx="76581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</xdr:col>
      <xdr:colOff>457200</xdr:colOff>
      <xdr:row>35</xdr:row>
      <xdr:rowOff>142875</xdr:rowOff>
    </xdr:from>
    <xdr:ext cx="756682" cy="254557"/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FF14C2FA-0EFE-4F82-ADB6-76170FBD0414}"/>
            </a:ext>
          </a:extLst>
        </xdr:cNvPr>
        <xdr:cNvSpPr txBox="1"/>
      </xdr:nvSpPr>
      <xdr:spPr>
        <a:xfrm>
          <a:off x="1242060" y="6216015"/>
          <a:ext cx="75668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P - (P - I)</a:t>
          </a:r>
        </a:p>
      </xdr:txBody>
    </xdr:sp>
    <xdr:clientData/>
  </xdr:oneCellAnchor>
  <xdr:oneCellAnchor>
    <xdr:from>
      <xdr:col>1</xdr:col>
      <xdr:colOff>571500</xdr:colOff>
      <xdr:row>37</xdr:row>
      <xdr:rowOff>142875</xdr:rowOff>
    </xdr:from>
    <xdr:ext cx="537263" cy="254557"/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E32E621B-6D80-47CA-B470-AE1AF117D95A}"/>
            </a:ext>
          </a:extLst>
        </xdr:cNvPr>
        <xdr:cNvSpPr txBox="1"/>
      </xdr:nvSpPr>
      <xdr:spPr>
        <a:xfrm>
          <a:off x="1356360" y="6551295"/>
          <a:ext cx="53726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(P - I)</a:t>
          </a:r>
        </a:p>
      </xdr:txBody>
    </xdr:sp>
    <xdr:clientData/>
  </xdr:oneCellAnchor>
  <xdr:oneCellAnchor>
    <xdr:from>
      <xdr:col>2</xdr:col>
      <xdr:colOff>447675</xdr:colOff>
      <xdr:row>36</xdr:row>
      <xdr:rowOff>104775</xdr:rowOff>
    </xdr:from>
    <xdr:ext cx="254942" cy="264560"/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D9CE7AD8-9200-48A5-A81E-8B22E47149FA}"/>
            </a:ext>
          </a:extLst>
        </xdr:cNvPr>
        <xdr:cNvSpPr txBox="1"/>
      </xdr:nvSpPr>
      <xdr:spPr>
        <a:xfrm>
          <a:off x="2017395" y="6345555"/>
          <a:ext cx="2549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=</a:t>
          </a:r>
        </a:p>
      </xdr:txBody>
    </xdr:sp>
    <xdr:clientData/>
  </xdr:oneCellAnchor>
  <xdr:twoCellAnchor>
    <xdr:from>
      <xdr:col>2</xdr:col>
      <xdr:colOff>704850</xdr:colOff>
      <xdr:row>37</xdr:row>
      <xdr:rowOff>85725</xdr:rowOff>
    </xdr:from>
    <xdr:to>
      <xdr:col>3</xdr:col>
      <xdr:colOff>685800</xdr:colOff>
      <xdr:row>37</xdr:row>
      <xdr:rowOff>85725</xdr:rowOff>
    </xdr:to>
    <xdr:cxnSp macro="">
      <xdr:nvCxnSpPr>
        <xdr:cNvPr id="16" name="21 Conector recto">
          <a:extLst>
            <a:ext uri="{FF2B5EF4-FFF2-40B4-BE49-F238E27FC236}">
              <a16:creationId xmlns:a16="http://schemas.microsoft.com/office/drawing/2014/main" id="{54CC1AE9-58A1-46AC-A87E-44E3051AEE0F}"/>
            </a:ext>
          </a:extLst>
        </xdr:cNvPr>
        <xdr:cNvCxnSpPr>
          <a:cxnSpLocks noChangeShapeType="1"/>
        </xdr:cNvCxnSpPr>
      </xdr:nvCxnSpPr>
      <xdr:spPr bwMode="auto">
        <a:xfrm>
          <a:off x="2274570" y="6494145"/>
          <a:ext cx="76581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</xdr:col>
      <xdr:colOff>295275</xdr:colOff>
      <xdr:row>35</xdr:row>
      <xdr:rowOff>133350</xdr:rowOff>
    </xdr:from>
    <xdr:ext cx="223844" cy="254557"/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BDD32DF3-E005-4A93-A2D7-1B1612A020D5}"/>
            </a:ext>
          </a:extLst>
        </xdr:cNvPr>
        <xdr:cNvSpPr txBox="1"/>
      </xdr:nvSpPr>
      <xdr:spPr>
        <a:xfrm>
          <a:off x="2649855" y="6206490"/>
          <a:ext cx="223844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I</a:t>
          </a:r>
        </a:p>
      </xdr:txBody>
    </xdr:sp>
    <xdr:clientData/>
  </xdr:oneCellAnchor>
  <xdr:oneCellAnchor>
    <xdr:from>
      <xdr:col>3</xdr:col>
      <xdr:colOff>85725</xdr:colOff>
      <xdr:row>37</xdr:row>
      <xdr:rowOff>133350</xdr:rowOff>
    </xdr:from>
    <xdr:ext cx="537263" cy="254557"/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C680FAE0-B298-4732-BD4C-4B7065550A58}"/>
            </a:ext>
          </a:extLst>
        </xdr:cNvPr>
        <xdr:cNvSpPr txBox="1"/>
      </xdr:nvSpPr>
      <xdr:spPr>
        <a:xfrm>
          <a:off x="2440305" y="6541770"/>
          <a:ext cx="53726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(P - I)</a:t>
          </a:r>
        </a:p>
      </xdr:txBody>
    </xdr:sp>
    <xdr:clientData/>
  </xdr:oneCellAnchor>
  <xdr:oneCellAnchor>
    <xdr:from>
      <xdr:col>3</xdr:col>
      <xdr:colOff>523875</xdr:colOff>
      <xdr:row>14</xdr:row>
      <xdr:rowOff>155575</xdr:rowOff>
    </xdr:from>
    <xdr:ext cx="349326" cy="254557"/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1715DF1F-3B31-4FE5-9F05-1365290D0011}"/>
            </a:ext>
          </a:extLst>
        </xdr:cNvPr>
        <xdr:cNvSpPr txBox="1"/>
      </xdr:nvSpPr>
      <xdr:spPr>
        <a:xfrm>
          <a:off x="2878455" y="2502535"/>
          <a:ext cx="349326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- 1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2</xdr:row>
      <xdr:rowOff>114300</xdr:rowOff>
    </xdr:from>
    <xdr:to>
      <xdr:col>2</xdr:col>
      <xdr:colOff>571500</xdr:colOff>
      <xdr:row>2</xdr:row>
      <xdr:rowOff>114300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45D5314-2114-4E64-8511-CE24E1E04E48}"/>
            </a:ext>
          </a:extLst>
        </xdr:cNvPr>
        <xdr:cNvSpPr>
          <a:spLocks noChangeShapeType="1"/>
        </xdr:cNvSpPr>
      </xdr:nvSpPr>
      <xdr:spPr bwMode="auto">
        <a:xfrm>
          <a:off x="1297305" y="449580"/>
          <a:ext cx="85915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</xdr:row>
      <xdr:rowOff>85725</xdr:rowOff>
    </xdr:from>
    <xdr:to>
      <xdr:col>1</xdr:col>
      <xdr:colOff>419100</xdr:colOff>
      <xdr:row>4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3CC56689-5B56-48A6-B80B-2FF9016B0C67}"/>
            </a:ext>
          </a:extLst>
        </xdr:cNvPr>
        <xdr:cNvSpPr>
          <a:spLocks noChangeShapeType="1"/>
        </xdr:cNvSpPr>
      </xdr:nvSpPr>
      <xdr:spPr bwMode="auto">
        <a:xfrm>
          <a:off x="1211580" y="253365"/>
          <a:ext cx="0" cy="5314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1</xdr:row>
      <xdr:rowOff>123825</xdr:rowOff>
    </xdr:from>
    <xdr:to>
      <xdr:col>2</xdr:col>
      <xdr:colOff>676275</xdr:colOff>
      <xdr:row>4</xdr:row>
      <xdr:rowOff>85725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883A4629-668A-4455-89A8-A91FA6809191}"/>
            </a:ext>
          </a:extLst>
        </xdr:cNvPr>
        <xdr:cNvSpPr>
          <a:spLocks noChangeShapeType="1"/>
        </xdr:cNvSpPr>
      </xdr:nvSpPr>
      <xdr:spPr bwMode="auto">
        <a:xfrm>
          <a:off x="2261235" y="291465"/>
          <a:ext cx="0" cy="4648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581025</xdr:colOff>
      <xdr:row>1</xdr:row>
      <xdr:rowOff>76200</xdr:rowOff>
    </xdr:from>
    <xdr:ext cx="689932" cy="175176"/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FB69A801-7136-40DA-BC1F-4DF98A2049CC}"/>
            </a:ext>
          </a:extLst>
        </xdr:cNvPr>
        <xdr:cNvSpPr txBox="1">
          <a:spLocks noChangeArrowheads="1"/>
        </xdr:cNvSpPr>
      </xdr:nvSpPr>
      <xdr:spPr bwMode="auto">
        <a:xfrm>
          <a:off x="1373505" y="243840"/>
          <a:ext cx="689932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1-(1+i%)^-n</a:t>
          </a:r>
        </a:p>
      </xdr:txBody>
    </xdr:sp>
    <xdr:clientData/>
  </xdr:oneCellAnchor>
  <xdr:oneCellAnchor>
    <xdr:from>
      <xdr:col>2</xdr:col>
      <xdr:colOff>95250</xdr:colOff>
      <xdr:row>3</xdr:row>
      <xdr:rowOff>19050</xdr:rowOff>
    </xdr:from>
    <xdr:ext cx="56169" cy="185371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1B40849C-FB96-4DAB-BA95-3D5ECC405FFA}"/>
            </a:ext>
          </a:extLst>
        </xdr:cNvPr>
        <xdr:cNvSpPr txBox="1">
          <a:spLocks noChangeArrowheads="1"/>
        </xdr:cNvSpPr>
      </xdr:nvSpPr>
      <xdr:spPr bwMode="auto">
        <a:xfrm>
          <a:off x="1680210" y="521970"/>
          <a:ext cx="56169" cy="185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oneCellAnchor>
  <xdr:twoCellAnchor>
    <xdr:from>
      <xdr:col>1</xdr:col>
      <xdr:colOff>504825</xdr:colOff>
      <xdr:row>12</xdr:row>
      <xdr:rowOff>114300</xdr:rowOff>
    </xdr:from>
    <xdr:to>
      <xdr:col>2</xdr:col>
      <xdr:colOff>571500</xdr:colOff>
      <xdr:row>12</xdr:row>
      <xdr:rowOff>114300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FD8AF010-87B4-4CF8-A75F-2D8CCDD3E368}"/>
            </a:ext>
          </a:extLst>
        </xdr:cNvPr>
        <xdr:cNvSpPr>
          <a:spLocks noChangeShapeType="1"/>
        </xdr:cNvSpPr>
      </xdr:nvSpPr>
      <xdr:spPr bwMode="auto">
        <a:xfrm>
          <a:off x="1297305" y="2125980"/>
          <a:ext cx="85915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85725</xdr:rowOff>
    </xdr:from>
    <xdr:to>
      <xdr:col>1</xdr:col>
      <xdr:colOff>419100</xdr:colOff>
      <xdr:row>14</xdr:row>
      <xdr:rowOff>114300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4F1C029C-2217-43AC-888B-46D25185619B}"/>
            </a:ext>
          </a:extLst>
        </xdr:cNvPr>
        <xdr:cNvSpPr>
          <a:spLocks noChangeShapeType="1"/>
        </xdr:cNvSpPr>
      </xdr:nvSpPr>
      <xdr:spPr bwMode="auto">
        <a:xfrm>
          <a:off x="1211580" y="1929765"/>
          <a:ext cx="0" cy="5314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11</xdr:row>
      <xdr:rowOff>123825</xdr:rowOff>
    </xdr:from>
    <xdr:to>
      <xdr:col>2</xdr:col>
      <xdr:colOff>676275</xdr:colOff>
      <xdr:row>14</xdr:row>
      <xdr:rowOff>85725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F7FAC474-01B9-44E8-AB03-E2413B683278}"/>
            </a:ext>
          </a:extLst>
        </xdr:cNvPr>
        <xdr:cNvSpPr>
          <a:spLocks noChangeShapeType="1"/>
        </xdr:cNvSpPr>
      </xdr:nvSpPr>
      <xdr:spPr bwMode="auto">
        <a:xfrm>
          <a:off x="2261235" y="1967865"/>
          <a:ext cx="0" cy="4648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581025</xdr:colOff>
      <xdr:row>11</xdr:row>
      <xdr:rowOff>76200</xdr:rowOff>
    </xdr:from>
    <xdr:ext cx="754181" cy="175176"/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49B16255-C654-47DB-9B99-58C05E5C42FC}"/>
            </a:ext>
          </a:extLst>
        </xdr:cNvPr>
        <xdr:cNvSpPr txBox="1">
          <a:spLocks noChangeArrowheads="1"/>
        </xdr:cNvSpPr>
      </xdr:nvSpPr>
      <xdr:spPr bwMode="auto">
        <a:xfrm>
          <a:off x="1373505" y="1920240"/>
          <a:ext cx="754181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(1+i%)^n  - 1</a:t>
          </a:r>
        </a:p>
      </xdr:txBody>
    </xdr:sp>
    <xdr:clientData/>
  </xdr:oneCellAnchor>
  <xdr:oneCellAnchor>
    <xdr:from>
      <xdr:col>2</xdr:col>
      <xdr:colOff>95250</xdr:colOff>
      <xdr:row>13</xdr:row>
      <xdr:rowOff>19050</xdr:rowOff>
    </xdr:from>
    <xdr:ext cx="56169" cy="185371"/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2DD60552-CE26-493B-AF12-11F0442C4EE6}"/>
            </a:ext>
          </a:extLst>
        </xdr:cNvPr>
        <xdr:cNvSpPr txBox="1">
          <a:spLocks noChangeArrowheads="1"/>
        </xdr:cNvSpPr>
      </xdr:nvSpPr>
      <xdr:spPr bwMode="auto">
        <a:xfrm>
          <a:off x="1680210" y="2198370"/>
          <a:ext cx="56169" cy="185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10</xdr:row>
      <xdr:rowOff>28575</xdr:rowOff>
    </xdr:from>
    <xdr:to>
      <xdr:col>12</xdr:col>
      <xdr:colOff>38100</xdr:colOff>
      <xdr:row>21</xdr:row>
      <xdr:rowOff>152401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5500CB87-934B-4E26-B776-3EF8C141A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655"/>
        <a:stretch>
          <a:fillRect/>
        </a:stretch>
      </xdr:blipFill>
      <xdr:spPr bwMode="auto">
        <a:xfrm>
          <a:off x="57150" y="1647825"/>
          <a:ext cx="91249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22</xdr:row>
      <xdr:rowOff>66675</xdr:rowOff>
    </xdr:from>
    <xdr:to>
      <xdr:col>12</xdr:col>
      <xdr:colOff>19050</xdr:colOff>
      <xdr:row>33</xdr:row>
      <xdr:rowOff>66676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17485B3-229D-4B7B-A964-8789BE95A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629025"/>
          <a:ext cx="910590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12</xdr:col>
      <xdr:colOff>57150</xdr:colOff>
      <xdr:row>10</xdr:row>
      <xdr:rowOff>14287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177E21BA-A2E7-4D26-BA57-EFA44FEB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3186"/>
        <a:stretch>
          <a:fillRect/>
        </a:stretch>
      </xdr:blipFill>
      <xdr:spPr bwMode="auto">
        <a:xfrm>
          <a:off x="66675" y="38100"/>
          <a:ext cx="9134475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58225</xdr:colOff>
      <xdr:row>0</xdr:row>
      <xdr:rowOff>145624</xdr:rowOff>
    </xdr:from>
    <xdr:to>
      <xdr:col>6</xdr:col>
      <xdr:colOff>556743</xdr:colOff>
      <xdr:row>19</xdr:row>
      <xdr:rowOff>43735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FE73C70A-1BF0-408E-BF6D-4F1BBC16C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5" y="145624"/>
          <a:ext cx="5070518" cy="30015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676275</xdr:colOff>
      <xdr:row>1</xdr:row>
      <xdr:rowOff>132491</xdr:rowOff>
    </xdr:from>
    <xdr:to>
      <xdr:col>12</xdr:col>
      <xdr:colOff>228296</xdr:colOff>
      <xdr:row>5</xdr:row>
      <xdr:rowOff>104673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FB7607-851D-4137-84E9-109AC932D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294416"/>
          <a:ext cx="1838021" cy="619882"/>
        </a:xfrm>
        <a:prstGeom prst="rect">
          <a:avLst/>
        </a:prstGeom>
      </xdr:spPr>
    </xdr:pic>
    <xdr:clientData/>
  </xdr:twoCellAnchor>
  <xdr:twoCellAnchor editAs="oneCell">
    <xdr:from>
      <xdr:col>10</xdr:col>
      <xdr:colOff>38099</xdr:colOff>
      <xdr:row>11</xdr:row>
      <xdr:rowOff>42825</xdr:rowOff>
    </xdr:from>
    <xdr:to>
      <xdr:col>12</xdr:col>
      <xdr:colOff>266392</xdr:colOff>
      <xdr:row>13</xdr:row>
      <xdr:rowOff>133277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1F2BD3-0A68-4099-BD4B-859825D04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49" y="1824000"/>
          <a:ext cx="1752293" cy="414302"/>
        </a:xfrm>
        <a:prstGeom prst="rect">
          <a:avLst/>
        </a:prstGeom>
      </xdr:spPr>
    </xdr:pic>
    <xdr:clientData/>
  </xdr:twoCellAnchor>
  <xdr:twoCellAnchor editAs="oneCell">
    <xdr:from>
      <xdr:col>11</xdr:col>
      <xdr:colOff>721753</xdr:colOff>
      <xdr:row>20</xdr:row>
      <xdr:rowOff>151595</xdr:rowOff>
    </xdr:from>
    <xdr:to>
      <xdr:col>14</xdr:col>
      <xdr:colOff>252309</xdr:colOff>
      <xdr:row>24</xdr:row>
      <xdr:rowOff>124716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0AD1D0C-69B9-4E9E-A64C-33BC52068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4260" y="3505468"/>
          <a:ext cx="1880950" cy="638530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600074</xdr:colOff>
      <xdr:row>31</xdr:row>
      <xdr:rowOff>38720</xdr:rowOff>
    </xdr:from>
    <xdr:to>
      <xdr:col>14</xdr:col>
      <xdr:colOff>63684</xdr:colOff>
      <xdr:row>33</xdr:row>
      <xdr:rowOff>128233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EE886AF-B369-4054-8A43-4B823734E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65250" y="5056114"/>
          <a:ext cx="1757659" cy="411485"/>
        </a:xfrm>
        <a:prstGeom prst="rect">
          <a:avLst/>
        </a:prstGeom>
      </xdr:spPr>
    </xdr:pic>
    <xdr:clientData/>
  </xdr:twoCellAnchor>
  <xdr:twoCellAnchor editAs="oneCell">
    <xdr:from>
      <xdr:col>10</xdr:col>
      <xdr:colOff>92969</xdr:colOff>
      <xdr:row>46</xdr:row>
      <xdr:rowOff>14160</xdr:rowOff>
    </xdr:from>
    <xdr:to>
      <xdr:col>13</xdr:col>
      <xdr:colOff>140290</xdr:colOff>
      <xdr:row>49</xdr:row>
      <xdr:rowOff>140515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E596398-87D5-4757-BD64-145996757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3462" y="7446343"/>
          <a:ext cx="2341370" cy="609313"/>
        </a:xfrm>
        <a:prstGeom prst="rect">
          <a:avLst/>
        </a:prstGeom>
      </xdr:spPr>
    </xdr:pic>
    <xdr:clientData/>
  </xdr:twoCellAnchor>
  <xdr:twoCellAnchor editAs="oneCell">
    <xdr:from>
      <xdr:col>10</xdr:col>
      <xdr:colOff>181108</xdr:colOff>
      <xdr:row>56</xdr:row>
      <xdr:rowOff>40247</xdr:rowOff>
    </xdr:from>
    <xdr:to>
      <xdr:col>13</xdr:col>
      <xdr:colOff>399870</xdr:colOff>
      <xdr:row>60</xdr:row>
      <xdr:rowOff>78260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3D00B6-B4B5-43A2-807A-B3CF27409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81601" y="9082289"/>
          <a:ext cx="2512811" cy="681957"/>
        </a:xfrm>
        <a:prstGeom prst="rect">
          <a:avLst/>
        </a:prstGeom>
      </xdr:spPr>
    </xdr:pic>
    <xdr:clientData/>
  </xdr:twoCellAnchor>
  <xdr:twoCellAnchor>
    <xdr:from>
      <xdr:col>10</xdr:col>
      <xdr:colOff>87197</xdr:colOff>
      <xdr:row>47</xdr:row>
      <xdr:rowOff>20124</xdr:rowOff>
    </xdr:from>
    <xdr:to>
      <xdr:col>10</xdr:col>
      <xdr:colOff>462831</xdr:colOff>
      <xdr:row>49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9291741-18E1-42ED-97B6-18E10048AAC7}"/>
            </a:ext>
          </a:extLst>
        </xdr:cNvPr>
        <xdr:cNvSpPr txBox="1"/>
      </xdr:nvSpPr>
      <xdr:spPr>
        <a:xfrm>
          <a:off x="7787690" y="7613293"/>
          <a:ext cx="375634" cy="301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P*</a:t>
          </a:r>
        </a:p>
      </xdr:txBody>
    </xdr:sp>
    <xdr:clientData/>
  </xdr:twoCellAnchor>
  <xdr:twoCellAnchor>
    <xdr:from>
      <xdr:col>10</xdr:col>
      <xdr:colOff>185934</xdr:colOff>
      <xdr:row>57</xdr:row>
      <xdr:rowOff>78616</xdr:rowOff>
    </xdr:from>
    <xdr:to>
      <xdr:col>10</xdr:col>
      <xdr:colOff>561568</xdr:colOff>
      <xdr:row>59</xdr:row>
      <xdr:rowOff>58492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3B8FAC7-F4D8-4075-A4C7-D54FBFACFAC8}"/>
            </a:ext>
          </a:extLst>
        </xdr:cNvPr>
        <xdr:cNvSpPr txBox="1"/>
      </xdr:nvSpPr>
      <xdr:spPr>
        <a:xfrm>
          <a:off x="7886427" y="9281644"/>
          <a:ext cx="375634" cy="301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F*</a:t>
          </a:r>
        </a:p>
      </xdr:txBody>
    </xdr:sp>
    <xdr:clientData/>
  </xdr:twoCellAnchor>
  <xdr:twoCellAnchor editAs="oneCell">
    <xdr:from>
      <xdr:col>16</xdr:col>
      <xdr:colOff>570158</xdr:colOff>
      <xdr:row>5</xdr:row>
      <xdr:rowOff>140862</xdr:rowOff>
    </xdr:from>
    <xdr:to>
      <xdr:col>19</xdr:col>
      <xdr:colOff>122179</xdr:colOff>
      <xdr:row>9</xdr:row>
      <xdr:rowOff>113045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3FE309D-08E7-443E-9D79-ADD86241E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50" y="945792"/>
          <a:ext cx="1846070" cy="616126"/>
        </a:xfrm>
        <a:prstGeom prst="rect">
          <a:avLst/>
        </a:prstGeom>
      </xdr:spPr>
    </xdr:pic>
    <xdr:clientData/>
  </xdr:twoCellAnchor>
  <xdr:twoCellAnchor editAs="oneCell">
    <xdr:from>
      <xdr:col>16</xdr:col>
      <xdr:colOff>751267</xdr:colOff>
      <xdr:row>17</xdr:row>
      <xdr:rowOff>0</xdr:rowOff>
    </xdr:from>
    <xdr:to>
      <xdr:col>19</xdr:col>
      <xdr:colOff>214877</xdr:colOff>
      <xdr:row>19</xdr:row>
      <xdr:rowOff>90453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0E7D4D0-AF22-49E7-A4B0-0DB3B1861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39859" y="2763592"/>
          <a:ext cx="1757659" cy="4124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761999</xdr:colOff>
      <xdr:row>9</xdr:row>
      <xdr:rowOff>164336</xdr:rowOff>
    </xdr:from>
    <xdr:to>
      <xdr:col>12</xdr:col>
      <xdr:colOff>348341</xdr:colOff>
      <xdr:row>17</xdr:row>
      <xdr:rowOff>122278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0148F12-20E8-4408-A18A-5F0BA886F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655"/>
        <a:stretch>
          <a:fillRect/>
        </a:stretch>
      </xdr:blipFill>
      <xdr:spPr bwMode="auto">
        <a:xfrm>
          <a:off x="3897085" y="1682893"/>
          <a:ext cx="6025242" cy="1307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214307</xdr:colOff>
      <xdr:row>37</xdr:row>
      <xdr:rowOff>48738</xdr:rowOff>
    </xdr:from>
    <xdr:to>
      <xdr:col>15</xdr:col>
      <xdr:colOff>19049</xdr:colOff>
      <xdr:row>46</xdr:row>
      <xdr:rowOff>119063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CCCB4BF-8C3B-4C1C-B555-410DB4A0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164" y="6291695"/>
          <a:ext cx="7811185" cy="158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767443</xdr:colOff>
      <xdr:row>3</xdr:row>
      <xdr:rowOff>5588</xdr:rowOff>
    </xdr:from>
    <xdr:to>
      <xdr:col>12</xdr:col>
      <xdr:colOff>292183</xdr:colOff>
      <xdr:row>9</xdr:row>
      <xdr:rowOff>91717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436A8256-3C6B-4AE4-8699-8520F766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3186"/>
        <a:stretch>
          <a:fillRect/>
        </a:stretch>
      </xdr:blipFill>
      <xdr:spPr bwMode="auto">
        <a:xfrm>
          <a:off x="3902529" y="511774"/>
          <a:ext cx="5963640" cy="10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552450</xdr:colOff>
      <xdr:row>29</xdr:row>
      <xdr:rowOff>123825</xdr:rowOff>
    </xdr:from>
    <xdr:ext cx="340414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B9A999C-750C-41C1-8EC4-862E57B65EB7}"/>
            </a:ext>
          </a:extLst>
        </xdr:cNvPr>
        <xdr:cNvSpPr txBox="1"/>
      </xdr:nvSpPr>
      <xdr:spPr>
        <a:xfrm>
          <a:off x="9096375" y="4819650"/>
          <a:ext cx="3404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A*</a:t>
          </a:r>
        </a:p>
      </xdr:txBody>
    </xdr:sp>
    <xdr:clientData/>
  </xdr:oneCellAnchor>
  <xdr:oneCellAnchor>
    <xdr:from>
      <xdr:col>11</xdr:col>
      <xdr:colOff>561975</xdr:colOff>
      <xdr:row>33</xdr:row>
      <xdr:rowOff>76200</xdr:rowOff>
    </xdr:from>
    <xdr:ext cx="327847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3523759-CB14-4641-8453-B01F1725E9AC}"/>
            </a:ext>
          </a:extLst>
        </xdr:cNvPr>
        <xdr:cNvSpPr txBox="1"/>
      </xdr:nvSpPr>
      <xdr:spPr>
        <a:xfrm>
          <a:off x="9105900" y="5419725"/>
          <a:ext cx="3278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P*</a:t>
          </a:r>
        </a:p>
      </xdr:txBody>
    </xdr:sp>
    <xdr:clientData/>
  </xdr:oneCellAnchor>
  <xdr:oneCellAnchor>
    <xdr:from>
      <xdr:col>11</xdr:col>
      <xdr:colOff>533400</xdr:colOff>
      <xdr:row>40</xdr:row>
      <xdr:rowOff>0</xdr:rowOff>
    </xdr:from>
    <xdr:ext cx="34041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F72B784-4EAE-4181-98BA-4641F846B9D7}"/>
            </a:ext>
          </a:extLst>
        </xdr:cNvPr>
        <xdr:cNvSpPr txBox="1"/>
      </xdr:nvSpPr>
      <xdr:spPr>
        <a:xfrm>
          <a:off x="9077325" y="6477000"/>
          <a:ext cx="3404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A*</a:t>
          </a:r>
        </a:p>
      </xdr:txBody>
    </xdr:sp>
    <xdr:clientData/>
  </xdr:oneCellAnchor>
  <xdr:oneCellAnchor>
    <xdr:from>
      <xdr:col>11</xdr:col>
      <xdr:colOff>561975</xdr:colOff>
      <xdr:row>44</xdr:row>
      <xdr:rowOff>19050</xdr:rowOff>
    </xdr:from>
    <xdr:ext cx="319703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761D0CF-000D-4103-A6A9-7E5C7A9F7156}"/>
            </a:ext>
          </a:extLst>
        </xdr:cNvPr>
        <xdr:cNvSpPr txBox="1"/>
      </xdr:nvSpPr>
      <xdr:spPr>
        <a:xfrm>
          <a:off x="9105900" y="7143750"/>
          <a:ext cx="319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F*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91051</xdr:colOff>
      <xdr:row>14</xdr:row>
      <xdr:rowOff>112059</xdr:rowOff>
    </xdr:from>
    <xdr:to>
      <xdr:col>5</xdr:col>
      <xdr:colOff>595314</xdr:colOff>
      <xdr:row>14</xdr:row>
      <xdr:rowOff>113647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BE4A8A87-A83C-471E-AEC2-67D6EEFF93EA}"/>
            </a:ext>
          </a:extLst>
        </xdr:cNvPr>
        <xdr:cNvCxnSpPr/>
      </xdr:nvCxnSpPr>
      <xdr:spPr>
        <a:xfrm rot="10800000">
          <a:off x="3542911" y="2405679"/>
          <a:ext cx="504263" cy="1588"/>
        </a:xfrm>
        <a:prstGeom prst="straightConnector1">
          <a:avLst/>
        </a:prstGeom>
        <a:ln w="158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47348</xdr:colOff>
      <xdr:row>18</xdr:row>
      <xdr:rowOff>89368</xdr:rowOff>
    </xdr:from>
    <xdr:to>
      <xdr:col>5</xdr:col>
      <xdr:colOff>551611</xdr:colOff>
      <xdr:row>18</xdr:row>
      <xdr:rowOff>90956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10186083-39E6-422F-AACC-02BAD8051B9E}"/>
            </a:ext>
          </a:extLst>
        </xdr:cNvPr>
        <xdr:cNvCxnSpPr/>
      </xdr:nvCxnSpPr>
      <xdr:spPr>
        <a:xfrm rot="10800000">
          <a:off x="3499208" y="3084028"/>
          <a:ext cx="504263" cy="1588"/>
        </a:xfrm>
        <a:prstGeom prst="straightConnector1">
          <a:avLst/>
        </a:prstGeom>
        <a:ln w="158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62476</xdr:colOff>
      <xdr:row>13</xdr:row>
      <xdr:rowOff>73959</xdr:rowOff>
    </xdr:from>
    <xdr:to>
      <xdr:col>5</xdr:col>
      <xdr:colOff>566739</xdr:colOff>
      <xdr:row>13</xdr:row>
      <xdr:rowOff>75547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4FB3011A-C01C-47AE-A69C-86013F24D9B0}"/>
            </a:ext>
          </a:extLst>
        </xdr:cNvPr>
        <xdr:cNvCxnSpPr/>
      </xdr:nvCxnSpPr>
      <xdr:spPr>
        <a:xfrm rot="10800000">
          <a:off x="3514336" y="2199939"/>
          <a:ext cx="504263" cy="1588"/>
        </a:xfrm>
        <a:prstGeom prst="straightConnector1">
          <a:avLst/>
        </a:prstGeom>
        <a:ln w="158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5</xdr:row>
      <xdr:rowOff>85725</xdr:rowOff>
    </xdr:from>
    <xdr:to>
      <xdr:col>2</xdr:col>
      <xdr:colOff>828675</xdr:colOff>
      <xdr:row>5</xdr:row>
      <xdr:rowOff>85725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F1A63C44-FDF4-4662-A63A-5B82C2D9BFA4}"/>
            </a:ext>
          </a:extLst>
        </xdr:cNvPr>
        <xdr:cNvSpPr>
          <a:spLocks noChangeShapeType="1"/>
        </xdr:cNvSpPr>
      </xdr:nvSpPr>
      <xdr:spPr bwMode="auto">
        <a:xfrm>
          <a:off x="1769745" y="954405"/>
          <a:ext cx="66675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5</xdr:row>
      <xdr:rowOff>85725</xdr:rowOff>
    </xdr:from>
    <xdr:to>
      <xdr:col>2</xdr:col>
      <xdr:colOff>828675</xdr:colOff>
      <xdr:row>5</xdr:row>
      <xdr:rowOff>85725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A2F74082-A61F-4F92-A1BB-29E4DE6A0FFE}"/>
            </a:ext>
          </a:extLst>
        </xdr:cNvPr>
        <xdr:cNvSpPr>
          <a:spLocks noChangeShapeType="1"/>
        </xdr:cNvSpPr>
      </xdr:nvSpPr>
      <xdr:spPr bwMode="auto">
        <a:xfrm>
          <a:off x="1769745" y="954405"/>
          <a:ext cx="66675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5</xdr:row>
      <xdr:rowOff>95250</xdr:rowOff>
    </xdr:from>
    <xdr:to>
      <xdr:col>2</xdr:col>
      <xdr:colOff>723900</xdr:colOff>
      <xdr:row>5</xdr:row>
      <xdr:rowOff>95250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946F04A3-4B29-4010-ADEB-93409FD9AED2}"/>
            </a:ext>
          </a:extLst>
        </xdr:cNvPr>
        <xdr:cNvSpPr>
          <a:spLocks noChangeShapeType="1"/>
        </xdr:cNvSpPr>
      </xdr:nvSpPr>
      <xdr:spPr bwMode="auto">
        <a:xfrm>
          <a:off x="1842135" y="941070"/>
          <a:ext cx="61912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5</xdr:row>
      <xdr:rowOff>76200</xdr:rowOff>
    </xdr:from>
    <xdr:to>
      <xdr:col>2</xdr:col>
      <xdr:colOff>504825</xdr:colOff>
      <xdr:row>5</xdr:row>
      <xdr:rowOff>76200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630E07D6-068E-46D3-915C-B90DDD1077F1}"/>
            </a:ext>
          </a:extLst>
        </xdr:cNvPr>
        <xdr:cNvSpPr>
          <a:spLocks noChangeShapeType="1"/>
        </xdr:cNvSpPr>
      </xdr:nvSpPr>
      <xdr:spPr bwMode="auto">
        <a:xfrm>
          <a:off x="2118360" y="1021080"/>
          <a:ext cx="39052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4</xdr:col>
      <xdr:colOff>161925</xdr:colOff>
      <xdr:row>38</xdr:row>
      <xdr:rowOff>123825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A71E045F-55CC-44F8-A2C3-68F48D786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3303270" cy="6505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12</xdr:row>
      <xdr:rowOff>123825</xdr:rowOff>
    </xdr:from>
    <xdr:to>
      <xdr:col>6</xdr:col>
      <xdr:colOff>85725</xdr:colOff>
      <xdr:row>16</xdr:row>
      <xdr:rowOff>47625</xdr:rowOff>
    </xdr:to>
    <xdr:pic>
      <xdr:nvPicPr>
        <xdr:cNvPr id="2" name="19 Imagen">
          <a:extLst>
            <a:ext uri="{FF2B5EF4-FFF2-40B4-BE49-F238E27FC236}">
              <a16:creationId xmlns:a16="http://schemas.microsoft.com/office/drawing/2014/main" id="{1FCFAE98-38F7-4B7D-89D7-8D3778662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188845"/>
          <a:ext cx="1922145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</xdr:colOff>
      <xdr:row>32</xdr:row>
      <xdr:rowOff>95250</xdr:rowOff>
    </xdr:from>
    <xdr:to>
      <xdr:col>9</xdr:col>
      <xdr:colOff>514350</xdr:colOff>
      <xdr:row>37</xdr:row>
      <xdr:rowOff>38100</xdr:rowOff>
    </xdr:to>
    <xdr:pic>
      <xdr:nvPicPr>
        <xdr:cNvPr id="3" name="30 Imagen">
          <a:extLst>
            <a:ext uri="{FF2B5EF4-FFF2-40B4-BE49-F238E27FC236}">
              <a16:creationId xmlns:a16="http://schemas.microsoft.com/office/drawing/2014/main" id="{64AADECC-28A1-4D79-AF20-5566C8C33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5655" y="5513070"/>
          <a:ext cx="39528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20</xdr:row>
      <xdr:rowOff>0</xdr:rowOff>
    </xdr:from>
    <xdr:to>
      <xdr:col>7</xdr:col>
      <xdr:colOff>638175</xdr:colOff>
      <xdr:row>20</xdr:row>
      <xdr:rowOff>9525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A073B3E0-DD29-42F8-8A17-109C1A1694D2}"/>
            </a:ext>
          </a:extLst>
        </xdr:cNvPr>
        <xdr:cNvCxnSpPr>
          <a:cxnSpLocks noChangeShapeType="1"/>
        </xdr:cNvCxnSpPr>
      </xdr:nvCxnSpPr>
      <xdr:spPr bwMode="auto">
        <a:xfrm>
          <a:off x="485775" y="3832860"/>
          <a:ext cx="6179820" cy="95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0</xdr:col>
      <xdr:colOff>400050</xdr:colOff>
      <xdr:row>20</xdr:row>
      <xdr:rowOff>47625</xdr:rowOff>
    </xdr:from>
    <xdr:ext cx="270267" cy="269369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D040AE1D-7525-4A6D-B0D6-CE7961D6CDD7}"/>
            </a:ext>
          </a:extLst>
        </xdr:cNvPr>
        <xdr:cNvSpPr txBox="1"/>
      </xdr:nvSpPr>
      <xdr:spPr>
        <a:xfrm>
          <a:off x="400050" y="388048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0</a:t>
          </a:r>
        </a:p>
      </xdr:txBody>
    </xdr:sp>
    <xdr:clientData/>
  </xdr:oneCellAnchor>
  <xdr:oneCellAnchor>
    <xdr:from>
      <xdr:col>1</xdr:col>
      <xdr:colOff>742950</xdr:colOff>
      <xdr:row>20</xdr:row>
      <xdr:rowOff>47625</xdr:rowOff>
    </xdr:from>
    <xdr:ext cx="270267" cy="26936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EECEC8AB-10CD-4AFE-8B3F-1EF12B72CEB0}"/>
            </a:ext>
          </a:extLst>
        </xdr:cNvPr>
        <xdr:cNvSpPr txBox="1"/>
      </xdr:nvSpPr>
      <xdr:spPr>
        <a:xfrm>
          <a:off x="1741170" y="388048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oneCellAnchor>
  <xdr:oneCellAnchor>
    <xdr:from>
      <xdr:col>4</xdr:col>
      <xdr:colOff>295275</xdr:colOff>
      <xdr:row>20</xdr:row>
      <xdr:rowOff>114300</xdr:rowOff>
    </xdr:from>
    <xdr:ext cx="270267" cy="269369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B05BD0B8-6B15-42F4-8F76-085245660CCC}"/>
            </a:ext>
          </a:extLst>
        </xdr:cNvPr>
        <xdr:cNvSpPr txBox="1"/>
      </xdr:nvSpPr>
      <xdr:spPr>
        <a:xfrm>
          <a:off x="3968115" y="3947160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oneCellAnchor>
  <xdr:oneCellAnchor>
    <xdr:from>
      <xdr:col>3</xdr:col>
      <xdr:colOff>28575</xdr:colOff>
      <xdr:row>20</xdr:row>
      <xdr:rowOff>95250</xdr:rowOff>
    </xdr:from>
    <xdr:ext cx="270267" cy="269369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63AEBE5-7FAF-4406-BB3B-C9BE779735E2}"/>
            </a:ext>
          </a:extLst>
        </xdr:cNvPr>
        <xdr:cNvSpPr txBox="1"/>
      </xdr:nvSpPr>
      <xdr:spPr>
        <a:xfrm>
          <a:off x="2787015" y="3928110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oneCellAnchor>
  <xdr:twoCellAnchor>
    <xdr:from>
      <xdr:col>0</xdr:col>
      <xdr:colOff>533400</xdr:colOff>
      <xdr:row>19</xdr:row>
      <xdr:rowOff>85725</xdr:rowOff>
    </xdr:from>
    <xdr:to>
      <xdr:col>0</xdr:col>
      <xdr:colOff>533400</xdr:colOff>
      <xdr:row>20</xdr:row>
      <xdr:rowOff>95250</xdr:rowOff>
    </xdr:to>
    <xdr:cxnSp macro="">
      <xdr:nvCxnSpPr>
        <xdr:cNvPr id="7" name="8 Conector recto">
          <a:extLst>
            <a:ext uri="{FF2B5EF4-FFF2-40B4-BE49-F238E27FC236}">
              <a16:creationId xmlns:a16="http://schemas.microsoft.com/office/drawing/2014/main" id="{2BB5F960-7FE2-481C-B3DF-963F73BC19B7}"/>
            </a:ext>
          </a:extLst>
        </xdr:cNvPr>
        <xdr:cNvCxnSpPr>
          <a:cxnSpLocks noChangeShapeType="1"/>
        </xdr:cNvCxnSpPr>
      </xdr:nvCxnSpPr>
      <xdr:spPr bwMode="auto">
        <a:xfrm rot="5400000">
          <a:off x="433387" y="382809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85725</xdr:colOff>
      <xdr:row>19</xdr:row>
      <xdr:rowOff>57150</xdr:rowOff>
    </xdr:from>
    <xdr:to>
      <xdr:col>2</xdr:col>
      <xdr:colOff>85725</xdr:colOff>
      <xdr:row>20</xdr:row>
      <xdr:rowOff>66675</xdr:rowOff>
    </xdr:to>
    <xdr:cxnSp macro="">
      <xdr:nvCxnSpPr>
        <xdr:cNvPr id="8" name="9 Conector recto">
          <a:extLst>
            <a:ext uri="{FF2B5EF4-FFF2-40B4-BE49-F238E27FC236}">
              <a16:creationId xmlns:a16="http://schemas.microsoft.com/office/drawing/2014/main" id="{040FB587-F244-455D-9ABD-729FB125BEF7}"/>
            </a:ext>
          </a:extLst>
        </xdr:cNvPr>
        <xdr:cNvCxnSpPr>
          <a:cxnSpLocks noChangeShapeType="1"/>
        </xdr:cNvCxnSpPr>
      </xdr:nvCxnSpPr>
      <xdr:spPr bwMode="auto">
        <a:xfrm rot="5400000">
          <a:off x="1898332" y="379952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152400</xdr:colOff>
      <xdr:row>19</xdr:row>
      <xdr:rowOff>66675</xdr:rowOff>
    </xdr:from>
    <xdr:to>
      <xdr:col>3</xdr:col>
      <xdr:colOff>152400</xdr:colOff>
      <xdr:row>20</xdr:row>
      <xdr:rowOff>76200</xdr:rowOff>
    </xdr:to>
    <xdr:cxnSp macro="">
      <xdr:nvCxnSpPr>
        <xdr:cNvPr id="9" name="10 Conector recto">
          <a:extLst>
            <a:ext uri="{FF2B5EF4-FFF2-40B4-BE49-F238E27FC236}">
              <a16:creationId xmlns:a16="http://schemas.microsoft.com/office/drawing/2014/main" id="{3C837D5F-377E-4AE1-BA89-C1FC4A26A169}"/>
            </a:ext>
          </a:extLst>
        </xdr:cNvPr>
        <xdr:cNvCxnSpPr>
          <a:cxnSpLocks noChangeShapeType="1"/>
        </xdr:cNvCxnSpPr>
      </xdr:nvCxnSpPr>
      <xdr:spPr bwMode="auto">
        <a:xfrm rot="5400000">
          <a:off x="2810827" y="380904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400050</xdr:colOff>
      <xdr:row>19</xdr:row>
      <xdr:rowOff>76200</xdr:rowOff>
    </xdr:from>
    <xdr:to>
      <xdr:col>4</xdr:col>
      <xdr:colOff>400050</xdr:colOff>
      <xdr:row>20</xdr:row>
      <xdr:rowOff>85725</xdr:rowOff>
    </xdr:to>
    <xdr:cxnSp macro="">
      <xdr:nvCxnSpPr>
        <xdr:cNvPr id="10" name="11 Conector recto">
          <a:extLst>
            <a:ext uri="{FF2B5EF4-FFF2-40B4-BE49-F238E27FC236}">
              <a16:creationId xmlns:a16="http://schemas.microsoft.com/office/drawing/2014/main" id="{803BC2C9-5788-4D4F-BAB9-0BD32D4AFD85}"/>
            </a:ext>
          </a:extLst>
        </xdr:cNvPr>
        <xdr:cNvCxnSpPr>
          <a:cxnSpLocks noChangeShapeType="1"/>
        </xdr:cNvCxnSpPr>
      </xdr:nvCxnSpPr>
      <xdr:spPr bwMode="auto">
        <a:xfrm rot="5400000">
          <a:off x="3972877" y="381857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</xdr:col>
      <xdr:colOff>581025</xdr:colOff>
      <xdr:row>17</xdr:row>
      <xdr:rowOff>104775</xdr:rowOff>
    </xdr:from>
    <xdr:ext cx="741037" cy="269369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B38D0965-A5D1-4E53-9144-EBAD4040AC7C}"/>
            </a:ext>
          </a:extLst>
        </xdr:cNvPr>
        <xdr:cNvSpPr txBox="1"/>
      </xdr:nvSpPr>
      <xdr:spPr>
        <a:xfrm>
          <a:off x="1579245" y="3366135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150,000</a:t>
          </a:r>
        </a:p>
      </xdr:txBody>
    </xdr:sp>
    <xdr:clientData/>
  </xdr:oneCellAnchor>
  <xdr:oneCellAnchor>
    <xdr:from>
      <xdr:col>4</xdr:col>
      <xdr:colOff>66675</xdr:colOff>
      <xdr:row>17</xdr:row>
      <xdr:rowOff>133350</xdr:rowOff>
    </xdr:from>
    <xdr:ext cx="741037" cy="269369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31B6F52-064F-4B66-8E8B-FB4E3D461A86}"/>
            </a:ext>
          </a:extLst>
        </xdr:cNvPr>
        <xdr:cNvSpPr txBox="1"/>
      </xdr:nvSpPr>
      <xdr:spPr>
        <a:xfrm>
          <a:off x="3739515" y="3394710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150,000</a:t>
          </a:r>
        </a:p>
      </xdr:txBody>
    </xdr:sp>
    <xdr:clientData/>
  </xdr:oneCellAnchor>
  <xdr:oneCellAnchor>
    <xdr:from>
      <xdr:col>2</xdr:col>
      <xdr:colOff>609600</xdr:colOff>
      <xdr:row>17</xdr:row>
      <xdr:rowOff>133350</xdr:rowOff>
    </xdr:from>
    <xdr:ext cx="741037" cy="269369"/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B94E7EE1-4D23-4EC0-9E1D-30E41AD5876D}"/>
            </a:ext>
          </a:extLst>
        </xdr:cNvPr>
        <xdr:cNvSpPr txBox="1"/>
      </xdr:nvSpPr>
      <xdr:spPr>
        <a:xfrm>
          <a:off x="2522220" y="3394710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150,000</a:t>
          </a:r>
        </a:p>
      </xdr:txBody>
    </xdr:sp>
    <xdr:clientData/>
  </xdr:oneCellAnchor>
  <xdr:oneCellAnchor>
    <xdr:from>
      <xdr:col>0</xdr:col>
      <xdr:colOff>276225</xdr:colOff>
      <xdr:row>17</xdr:row>
      <xdr:rowOff>123825</xdr:rowOff>
    </xdr:from>
    <xdr:ext cx="741037" cy="269369"/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B442F026-28CF-46C8-945C-0EA9268360AD}"/>
            </a:ext>
          </a:extLst>
        </xdr:cNvPr>
        <xdr:cNvSpPr txBox="1"/>
      </xdr:nvSpPr>
      <xdr:spPr>
        <a:xfrm>
          <a:off x="276225" y="3385185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200,000</a:t>
          </a:r>
        </a:p>
      </xdr:txBody>
    </xdr:sp>
    <xdr:clientData/>
  </xdr:oneCellAnchor>
  <xdr:oneCellAnchor>
    <xdr:from>
      <xdr:col>0</xdr:col>
      <xdr:colOff>400050</xdr:colOff>
      <xdr:row>42</xdr:row>
      <xdr:rowOff>47625</xdr:rowOff>
    </xdr:from>
    <xdr:ext cx="270267" cy="269369"/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16E7604D-23A3-4D9E-9D1D-666BE000FFBF}"/>
            </a:ext>
          </a:extLst>
        </xdr:cNvPr>
        <xdr:cNvSpPr txBox="1"/>
      </xdr:nvSpPr>
      <xdr:spPr>
        <a:xfrm>
          <a:off x="400050" y="809434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0</a:t>
          </a:r>
        </a:p>
      </xdr:txBody>
    </xdr:sp>
    <xdr:clientData/>
  </xdr:oneCellAnchor>
  <xdr:oneCellAnchor>
    <xdr:from>
      <xdr:col>1</xdr:col>
      <xdr:colOff>142875</xdr:colOff>
      <xdr:row>42</xdr:row>
      <xdr:rowOff>9525</xdr:rowOff>
    </xdr:from>
    <xdr:ext cx="270267" cy="269369"/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57B8C18-CB26-4047-87CC-4AEC8A22CF45}"/>
            </a:ext>
          </a:extLst>
        </xdr:cNvPr>
        <xdr:cNvSpPr txBox="1"/>
      </xdr:nvSpPr>
      <xdr:spPr>
        <a:xfrm>
          <a:off x="1141095" y="805624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oneCellAnchor>
  <xdr:oneCellAnchor>
    <xdr:from>
      <xdr:col>2</xdr:col>
      <xdr:colOff>485775</xdr:colOff>
      <xdr:row>42</xdr:row>
      <xdr:rowOff>9525</xdr:rowOff>
    </xdr:from>
    <xdr:ext cx="270267" cy="269369"/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ED3DE569-9437-4F22-88B6-2CA348645AFE}"/>
            </a:ext>
          </a:extLst>
        </xdr:cNvPr>
        <xdr:cNvSpPr txBox="1"/>
      </xdr:nvSpPr>
      <xdr:spPr>
        <a:xfrm>
          <a:off x="2398395" y="805624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oneCellAnchor>
  <xdr:oneCellAnchor>
    <xdr:from>
      <xdr:col>1</xdr:col>
      <xdr:colOff>723900</xdr:colOff>
      <xdr:row>42</xdr:row>
      <xdr:rowOff>47625</xdr:rowOff>
    </xdr:from>
    <xdr:ext cx="270267" cy="269369"/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20D6D6EC-F2B6-40E7-A4C1-021A05688F5D}"/>
            </a:ext>
          </a:extLst>
        </xdr:cNvPr>
        <xdr:cNvSpPr txBox="1"/>
      </xdr:nvSpPr>
      <xdr:spPr>
        <a:xfrm>
          <a:off x="1722120" y="809434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oneCellAnchor>
  <xdr:twoCellAnchor>
    <xdr:from>
      <xdr:col>0</xdr:col>
      <xdr:colOff>533400</xdr:colOff>
      <xdr:row>41</xdr:row>
      <xdr:rowOff>85725</xdr:rowOff>
    </xdr:from>
    <xdr:to>
      <xdr:col>0</xdr:col>
      <xdr:colOff>533400</xdr:colOff>
      <xdr:row>42</xdr:row>
      <xdr:rowOff>95250</xdr:rowOff>
    </xdr:to>
    <xdr:cxnSp macro="">
      <xdr:nvCxnSpPr>
        <xdr:cNvPr id="19" name="25 Conector recto">
          <a:extLst>
            <a:ext uri="{FF2B5EF4-FFF2-40B4-BE49-F238E27FC236}">
              <a16:creationId xmlns:a16="http://schemas.microsoft.com/office/drawing/2014/main" id="{3B7C0139-0F92-47A4-9ADD-269C83238583}"/>
            </a:ext>
          </a:extLst>
        </xdr:cNvPr>
        <xdr:cNvCxnSpPr>
          <a:cxnSpLocks noChangeShapeType="1"/>
        </xdr:cNvCxnSpPr>
      </xdr:nvCxnSpPr>
      <xdr:spPr bwMode="auto">
        <a:xfrm rot="5400000">
          <a:off x="433387" y="804195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276225</xdr:colOff>
      <xdr:row>41</xdr:row>
      <xdr:rowOff>28575</xdr:rowOff>
    </xdr:from>
    <xdr:to>
      <xdr:col>1</xdr:col>
      <xdr:colOff>276225</xdr:colOff>
      <xdr:row>42</xdr:row>
      <xdr:rowOff>38100</xdr:rowOff>
    </xdr:to>
    <xdr:cxnSp macro="">
      <xdr:nvCxnSpPr>
        <xdr:cNvPr id="20" name="26 Conector recto">
          <a:extLst>
            <a:ext uri="{FF2B5EF4-FFF2-40B4-BE49-F238E27FC236}">
              <a16:creationId xmlns:a16="http://schemas.microsoft.com/office/drawing/2014/main" id="{8A30CE98-986F-49B3-9906-687AC7CB6C98}"/>
            </a:ext>
          </a:extLst>
        </xdr:cNvPr>
        <xdr:cNvCxnSpPr>
          <a:cxnSpLocks noChangeShapeType="1"/>
        </xdr:cNvCxnSpPr>
      </xdr:nvCxnSpPr>
      <xdr:spPr bwMode="auto">
        <a:xfrm rot="5400000">
          <a:off x="1174432" y="798480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38100</xdr:colOff>
      <xdr:row>41</xdr:row>
      <xdr:rowOff>28575</xdr:rowOff>
    </xdr:from>
    <xdr:to>
      <xdr:col>2</xdr:col>
      <xdr:colOff>38100</xdr:colOff>
      <xdr:row>42</xdr:row>
      <xdr:rowOff>38100</xdr:rowOff>
    </xdr:to>
    <xdr:cxnSp macro="">
      <xdr:nvCxnSpPr>
        <xdr:cNvPr id="21" name="27 Conector recto">
          <a:extLst>
            <a:ext uri="{FF2B5EF4-FFF2-40B4-BE49-F238E27FC236}">
              <a16:creationId xmlns:a16="http://schemas.microsoft.com/office/drawing/2014/main" id="{D1948A9E-DAE2-4074-90B9-1B508D745B4B}"/>
            </a:ext>
          </a:extLst>
        </xdr:cNvPr>
        <xdr:cNvCxnSpPr>
          <a:cxnSpLocks noChangeShapeType="1"/>
        </xdr:cNvCxnSpPr>
      </xdr:nvCxnSpPr>
      <xdr:spPr bwMode="auto">
        <a:xfrm rot="5400000">
          <a:off x="1850707" y="798480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619125</xdr:colOff>
      <xdr:row>41</xdr:row>
      <xdr:rowOff>9525</xdr:rowOff>
    </xdr:from>
    <xdr:to>
      <xdr:col>2</xdr:col>
      <xdr:colOff>619125</xdr:colOff>
      <xdr:row>42</xdr:row>
      <xdr:rowOff>19050</xdr:rowOff>
    </xdr:to>
    <xdr:cxnSp macro="">
      <xdr:nvCxnSpPr>
        <xdr:cNvPr id="22" name="28 Conector recto">
          <a:extLst>
            <a:ext uri="{FF2B5EF4-FFF2-40B4-BE49-F238E27FC236}">
              <a16:creationId xmlns:a16="http://schemas.microsoft.com/office/drawing/2014/main" id="{48CE2703-A7E3-448C-9AA6-CE22DF5F8BDC}"/>
            </a:ext>
          </a:extLst>
        </xdr:cNvPr>
        <xdr:cNvCxnSpPr>
          <a:cxnSpLocks noChangeShapeType="1"/>
        </xdr:cNvCxnSpPr>
      </xdr:nvCxnSpPr>
      <xdr:spPr bwMode="auto">
        <a:xfrm rot="5400000">
          <a:off x="2431732" y="796575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4</xdr:col>
      <xdr:colOff>66675</xdr:colOff>
      <xdr:row>39</xdr:row>
      <xdr:rowOff>133350</xdr:rowOff>
    </xdr:from>
    <xdr:ext cx="741037" cy="269369"/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249E44A3-B60B-4CF7-B430-1D2AC2D399C1}"/>
            </a:ext>
          </a:extLst>
        </xdr:cNvPr>
        <xdr:cNvSpPr txBox="1"/>
      </xdr:nvSpPr>
      <xdr:spPr>
        <a:xfrm>
          <a:off x="3739515" y="7608570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500,000</a:t>
          </a:r>
        </a:p>
      </xdr:txBody>
    </xdr:sp>
    <xdr:clientData/>
  </xdr:oneCellAnchor>
  <xdr:oneCellAnchor>
    <xdr:from>
      <xdr:col>0</xdr:col>
      <xdr:colOff>276225</xdr:colOff>
      <xdr:row>39</xdr:row>
      <xdr:rowOff>123825</xdr:rowOff>
    </xdr:from>
    <xdr:ext cx="741037" cy="269369"/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1E48E6E9-2570-4032-BC1B-E6A5188947D1}"/>
            </a:ext>
          </a:extLst>
        </xdr:cNvPr>
        <xdr:cNvSpPr txBox="1"/>
      </xdr:nvSpPr>
      <xdr:spPr>
        <a:xfrm>
          <a:off x="276225" y="7599045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300,000</a:t>
          </a:r>
        </a:p>
      </xdr:txBody>
    </xdr:sp>
    <xdr:clientData/>
  </xdr:oneCellAnchor>
  <xdr:twoCellAnchor>
    <xdr:from>
      <xdr:col>0</xdr:col>
      <xdr:colOff>0</xdr:colOff>
      <xdr:row>41</xdr:row>
      <xdr:rowOff>180975</xdr:rowOff>
    </xdr:from>
    <xdr:to>
      <xdr:col>5</xdr:col>
      <xdr:colOff>390525</xdr:colOff>
      <xdr:row>42</xdr:row>
      <xdr:rowOff>0</xdr:rowOff>
    </xdr:to>
    <xdr:cxnSp macro="">
      <xdr:nvCxnSpPr>
        <xdr:cNvPr id="25" name="33 Conector recto">
          <a:extLst>
            <a:ext uri="{FF2B5EF4-FFF2-40B4-BE49-F238E27FC236}">
              <a16:creationId xmlns:a16="http://schemas.microsoft.com/office/drawing/2014/main" id="{E4ACB8A6-215E-4C63-86A2-6126743938F9}"/>
            </a:ext>
          </a:extLst>
        </xdr:cNvPr>
        <xdr:cNvCxnSpPr>
          <a:cxnSpLocks noChangeShapeType="1"/>
        </xdr:cNvCxnSpPr>
      </xdr:nvCxnSpPr>
      <xdr:spPr bwMode="auto">
        <a:xfrm>
          <a:off x="0" y="8037195"/>
          <a:ext cx="4848225" cy="95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</xdr:col>
      <xdr:colOff>228600</xdr:colOff>
      <xdr:row>42</xdr:row>
      <xdr:rowOff>38101</xdr:rowOff>
    </xdr:from>
    <xdr:ext cx="270267" cy="269369"/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135EA122-ADC8-41C7-B8A3-3E522B96E074}"/>
            </a:ext>
          </a:extLst>
        </xdr:cNvPr>
        <xdr:cNvSpPr txBox="1"/>
      </xdr:nvSpPr>
      <xdr:spPr>
        <a:xfrm>
          <a:off x="2987040" y="8084821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4</a:t>
          </a:r>
        </a:p>
      </xdr:txBody>
    </xdr:sp>
    <xdr:clientData/>
  </xdr:oneCellAnchor>
  <xdr:oneCellAnchor>
    <xdr:from>
      <xdr:col>4</xdr:col>
      <xdr:colOff>504825</xdr:colOff>
      <xdr:row>42</xdr:row>
      <xdr:rowOff>38101</xdr:rowOff>
    </xdr:from>
    <xdr:ext cx="270267" cy="269369"/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2EEFCB05-1F21-4DAB-BCEB-D637B288CF6D}"/>
            </a:ext>
          </a:extLst>
        </xdr:cNvPr>
        <xdr:cNvSpPr txBox="1"/>
      </xdr:nvSpPr>
      <xdr:spPr>
        <a:xfrm>
          <a:off x="4177665" y="8084821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6</a:t>
          </a:r>
        </a:p>
      </xdr:txBody>
    </xdr:sp>
    <xdr:clientData/>
  </xdr:oneCellAnchor>
  <xdr:oneCellAnchor>
    <xdr:from>
      <xdr:col>3</xdr:col>
      <xdr:colOff>809625</xdr:colOff>
      <xdr:row>42</xdr:row>
      <xdr:rowOff>76201</xdr:rowOff>
    </xdr:from>
    <xdr:ext cx="270267" cy="269369"/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5B2309C7-C35F-4CB4-858C-5BDBEA5B8EFA}"/>
            </a:ext>
          </a:extLst>
        </xdr:cNvPr>
        <xdr:cNvSpPr txBox="1"/>
      </xdr:nvSpPr>
      <xdr:spPr>
        <a:xfrm>
          <a:off x="3568065" y="8122921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5</a:t>
          </a:r>
        </a:p>
      </xdr:txBody>
    </xdr:sp>
    <xdr:clientData/>
  </xdr:oneCellAnchor>
  <xdr:twoCellAnchor>
    <xdr:from>
      <xdr:col>3</xdr:col>
      <xdr:colOff>361950</xdr:colOff>
      <xdr:row>41</xdr:row>
      <xdr:rowOff>57150</xdr:rowOff>
    </xdr:from>
    <xdr:to>
      <xdr:col>3</xdr:col>
      <xdr:colOff>361950</xdr:colOff>
      <xdr:row>42</xdr:row>
      <xdr:rowOff>66675</xdr:rowOff>
    </xdr:to>
    <xdr:cxnSp macro="">
      <xdr:nvCxnSpPr>
        <xdr:cNvPr id="29" name="37 Conector recto">
          <a:extLst>
            <a:ext uri="{FF2B5EF4-FFF2-40B4-BE49-F238E27FC236}">
              <a16:creationId xmlns:a16="http://schemas.microsoft.com/office/drawing/2014/main" id="{99B45F56-39FA-47AE-A1AF-23711473733D}"/>
            </a:ext>
          </a:extLst>
        </xdr:cNvPr>
        <xdr:cNvCxnSpPr>
          <a:cxnSpLocks noChangeShapeType="1"/>
        </xdr:cNvCxnSpPr>
      </xdr:nvCxnSpPr>
      <xdr:spPr bwMode="auto">
        <a:xfrm rot="5400000">
          <a:off x="3020377" y="801338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57150</xdr:colOff>
      <xdr:row>41</xdr:row>
      <xdr:rowOff>57150</xdr:rowOff>
    </xdr:from>
    <xdr:to>
      <xdr:col>4</xdr:col>
      <xdr:colOff>57150</xdr:colOff>
      <xdr:row>42</xdr:row>
      <xdr:rowOff>66675</xdr:rowOff>
    </xdr:to>
    <xdr:cxnSp macro="">
      <xdr:nvCxnSpPr>
        <xdr:cNvPr id="30" name="38 Conector recto">
          <a:extLst>
            <a:ext uri="{FF2B5EF4-FFF2-40B4-BE49-F238E27FC236}">
              <a16:creationId xmlns:a16="http://schemas.microsoft.com/office/drawing/2014/main" id="{5E712321-A64C-46FD-8539-0695E4F9E7A8}"/>
            </a:ext>
          </a:extLst>
        </xdr:cNvPr>
        <xdr:cNvCxnSpPr>
          <a:cxnSpLocks noChangeShapeType="1"/>
        </xdr:cNvCxnSpPr>
      </xdr:nvCxnSpPr>
      <xdr:spPr bwMode="auto">
        <a:xfrm rot="5400000">
          <a:off x="3629977" y="801338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638175</xdr:colOff>
      <xdr:row>41</xdr:row>
      <xdr:rowOff>38100</xdr:rowOff>
    </xdr:from>
    <xdr:to>
      <xdr:col>4</xdr:col>
      <xdr:colOff>638175</xdr:colOff>
      <xdr:row>42</xdr:row>
      <xdr:rowOff>47625</xdr:rowOff>
    </xdr:to>
    <xdr:cxnSp macro="">
      <xdr:nvCxnSpPr>
        <xdr:cNvPr id="31" name="39 Conector recto">
          <a:extLst>
            <a:ext uri="{FF2B5EF4-FFF2-40B4-BE49-F238E27FC236}">
              <a16:creationId xmlns:a16="http://schemas.microsoft.com/office/drawing/2014/main" id="{3854A839-BDE4-4E9A-AAB2-8032F252F601}"/>
            </a:ext>
          </a:extLst>
        </xdr:cNvPr>
        <xdr:cNvCxnSpPr>
          <a:cxnSpLocks noChangeShapeType="1"/>
        </xdr:cNvCxnSpPr>
      </xdr:nvCxnSpPr>
      <xdr:spPr bwMode="auto">
        <a:xfrm rot="5400000">
          <a:off x="4211002" y="799433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14</xdr:row>
      <xdr:rowOff>0</xdr:rowOff>
    </xdr:from>
    <xdr:to>
      <xdr:col>7</xdr:col>
      <xdr:colOff>638175</xdr:colOff>
      <xdr:row>14</xdr:row>
      <xdr:rowOff>9525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1224E7C1-DDFD-4840-95BE-16A9D9410709}"/>
            </a:ext>
          </a:extLst>
        </xdr:cNvPr>
        <xdr:cNvCxnSpPr>
          <a:cxnSpLocks noChangeShapeType="1"/>
        </xdr:cNvCxnSpPr>
      </xdr:nvCxnSpPr>
      <xdr:spPr bwMode="auto">
        <a:xfrm>
          <a:off x="485775" y="2705100"/>
          <a:ext cx="6789420" cy="95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0</xdr:col>
      <xdr:colOff>400050</xdr:colOff>
      <xdr:row>14</xdr:row>
      <xdr:rowOff>47625</xdr:rowOff>
    </xdr:from>
    <xdr:ext cx="270267" cy="269369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6EDEFB4-A4EA-4199-B5FE-3ED3CFDAB0AC}"/>
            </a:ext>
          </a:extLst>
        </xdr:cNvPr>
        <xdr:cNvSpPr txBox="1"/>
      </xdr:nvSpPr>
      <xdr:spPr>
        <a:xfrm>
          <a:off x="400050" y="275272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0</a:t>
          </a:r>
        </a:p>
      </xdr:txBody>
    </xdr:sp>
    <xdr:clientData/>
  </xdr:oneCellAnchor>
  <xdr:oneCellAnchor>
    <xdr:from>
      <xdr:col>1</xdr:col>
      <xdr:colOff>742950</xdr:colOff>
      <xdr:row>14</xdr:row>
      <xdr:rowOff>47625</xdr:rowOff>
    </xdr:from>
    <xdr:ext cx="270267" cy="26936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AD6E4EFF-281E-4E09-A8CE-A0747B838421}"/>
            </a:ext>
          </a:extLst>
        </xdr:cNvPr>
        <xdr:cNvSpPr txBox="1"/>
      </xdr:nvSpPr>
      <xdr:spPr>
        <a:xfrm>
          <a:off x="1710690" y="275272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oneCellAnchor>
  <xdr:oneCellAnchor>
    <xdr:from>
      <xdr:col>4</xdr:col>
      <xdr:colOff>295275</xdr:colOff>
      <xdr:row>14</xdr:row>
      <xdr:rowOff>114300</xdr:rowOff>
    </xdr:from>
    <xdr:ext cx="270267" cy="269369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4707301A-1DCA-4BE3-9C81-6114104850CB}"/>
            </a:ext>
          </a:extLst>
        </xdr:cNvPr>
        <xdr:cNvSpPr txBox="1"/>
      </xdr:nvSpPr>
      <xdr:spPr>
        <a:xfrm>
          <a:off x="4577715" y="2819400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oneCellAnchor>
  <xdr:oneCellAnchor>
    <xdr:from>
      <xdr:col>3</xdr:col>
      <xdr:colOff>28575</xdr:colOff>
      <xdr:row>14</xdr:row>
      <xdr:rowOff>95250</xdr:rowOff>
    </xdr:from>
    <xdr:ext cx="270267" cy="269369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89C5A0E8-5F64-4133-B57F-DFF29584423B}"/>
            </a:ext>
          </a:extLst>
        </xdr:cNvPr>
        <xdr:cNvSpPr txBox="1"/>
      </xdr:nvSpPr>
      <xdr:spPr>
        <a:xfrm>
          <a:off x="3168015" y="2800350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oneCellAnchor>
  <xdr:twoCellAnchor>
    <xdr:from>
      <xdr:col>0</xdr:col>
      <xdr:colOff>533400</xdr:colOff>
      <xdr:row>13</xdr:row>
      <xdr:rowOff>85725</xdr:rowOff>
    </xdr:from>
    <xdr:to>
      <xdr:col>0</xdr:col>
      <xdr:colOff>533400</xdr:colOff>
      <xdr:row>14</xdr:row>
      <xdr:rowOff>95250</xdr:rowOff>
    </xdr:to>
    <xdr:cxnSp macro="">
      <xdr:nvCxnSpPr>
        <xdr:cNvPr id="7" name="6 Conector recto">
          <a:extLst>
            <a:ext uri="{FF2B5EF4-FFF2-40B4-BE49-F238E27FC236}">
              <a16:creationId xmlns:a16="http://schemas.microsoft.com/office/drawing/2014/main" id="{85400B1B-5AFB-4F92-B95C-DE8F8FF187F0}"/>
            </a:ext>
          </a:extLst>
        </xdr:cNvPr>
        <xdr:cNvCxnSpPr>
          <a:cxnSpLocks noChangeShapeType="1"/>
        </xdr:cNvCxnSpPr>
      </xdr:nvCxnSpPr>
      <xdr:spPr bwMode="auto">
        <a:xfrm rot="5400000">
          <a:off x="433387" y="270033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85725</xdr:colOff>
      <xdr:row>13</xdr:row>
      <xdr:rowOff>57150</xdr:rowOff>
    </xdr:from>
    <xdr:to>
      <xdr:col>2</xdr:col>
      <xdr:colOff>85725</xdr:colOff>
      <xdr:row>14</xdr:row>
      <xdr:rowOff>66675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9AD85F88-D302-41AB-BF3B-1B2F608E8388}"/>
            </a:ext>
          </a:extLst>
        </xdr:cNvPr>
        <xdr:cNvCxnSpPr>
          <a:cxnSpLocks noChangeShapeType="1"/>
        </xdr:cNvCxnSpPr>
      </xdr:nvCxnSpPr>
      <xdr:spPr bwMode="auto">
        <a:xfrm rot="5400000">
          <a:off x="1989772" y="267176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152400</xdr:colOff>
      <xdr:row>13</xdr:row>
      <xdr:rowOff>66675</xdr:rowOff>
    </xdr:from>
    <xdr:to>
      <xdr:col>3</xdr:col>
      <xdr:colOff>152400</xdr:colOff>
      <xdr:row>14</xdr:row>
      <xdr:rowOff>76200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E7550752-4013-476D-86CD-3360A2792125}"/>
            </a:ext>
          </a:extLst>
        </xdr:cNvPr>
        <xdr:cNvCxnSpPr>
          <a:cxnSpLocks noChangeShapeType="1"/>
        </xdr:cNvCxnSpPr>
      </xdr:nvCxnSpPr>
      <xdr:spPr bwMode="auto">
        <a:xfrm rot="5400000">
          <a:off x="3191827" y="268128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400050</xdr:colOff>
      <xdr:row>13</xdr:row>
      <xdr:rowOff>76200</xdr:rowOff>
    </xdr:from>
    <xdr:to>
      <xdr:col>4</xdr:col>
      <xdr:colOff>400050</xdr:colOff>
      <xdr:row>14</xdr:row>
      <xdr:rowOff>85725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7A18661A-AD76-4063-B9F2-5EDB90553F84}"/>
            </a:ext>
          </a:extLst>
        </xdr:cNvPr>
        <xdr:cNvCxnSpPr>
          <a:cxnSpLocks noChangeShapeType="1"/>
        </xdr:cNvCxnSpPr>
      </xdr:nvCxnSpPr>
      <xdr:spPr bwMode="auto">
        <a:xfrm rot="5400000">
          <a:off x="4582477" y="269081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4</xdr:col>
      <xdr:colOff>66675</xdr:colOff>
      <xdr:row>11</xdr:row>
      <xdr:rowOff>133350</xdr:rowOff>
    </xdr:from>
    <xdr:ext cx="625299" cy="269369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EEE36FFD-FBCE-4102-9029-97BC78DC36FD}"/>
            </a:ext>
          </a:extLst>
        </xdr:cNvPr>
        <xdr:cNvSpPr txBox="1"/>
      </xdr:nvSpPr>
      <xdr:spPr>
        <a:xfrm>
          <a:off x="4349115" y="2266950"/>
          <a:ext cx="625299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F = ??</a:t>
          </a:r>
        </a:p>
      </xdr:txBody>
    </xdr:sp>
    <xdr:clientData/>
  </xdr:oneCellAnchor>
  <xdr:oneCellAnchor>
    <xdr:from>
      <xdr:col>0</xdr:col>
      <xdr:colOff>276225</xdr:colOff>
      <xdr:row>11</xdr:row>
      <xdr:rowOff>123825</xdr:rowOff>
    </xdr:from>
    <xdr:ext cx="869405" cy="269369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CCA9F061-4566-4E59-A332-4D8F3A5F9D0B}"/>
            </a:ext>
          </a:extLst>
        </xdr:cNvPr>
        <xdr:cNvSpPr txBox="1"/>
      </xdr:nvSpPr>
      <xdr:spPr>
        <a:xfrm>
          <a:off x="276225" y="2257425"/>
          <a:ext cx="869405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3,000,000</a:t>
          </a:r>
        </a:p>
      </xdr:txBody>
    </xdr:sp>
    <xdr:clientData/>
  </xdr:oneCellAnchor>
  <xdr:twoCellAnchor>
    <xdr:from>
      <xdr:col>3</xdr:col>
      <xdr:colOff>571500</xdr:colOff>
      <xdr:row>13</xdr:row>
      <xdr:rowOff>85725</xdr:rowOff>
    </xdr:from>
    <xdr:to>
      <xdr:col>3</xdr:col>
      <xdr:colOff>571500</xdr:colOff>
      <xdr:row>14</xdr:row>
      <xdr:rowOff>95250</xdr:rowOff>
    </xdr:to>
    <xdr:cxnSp macro="">
      <xdr:nvCxnSpPr>
        <xdr:cNvPr id="13" name="14 Conector recto">
          <a:extLst>
            <a:ext uri="{FF2B5EF4-FFF2-40B4-BE49-F238E27FC236}">
              <a16:creationId xmlns:a16="http://schemas.microsoft.com/office/drawing/2014/main" id="{60AAA8B3-B7FF-4B59-83B8-EA3C861AF112}"/>
            </a:ext>
          </a:extLst>
        </xdr:cNvPr>
        <xdr:cNvCxnSpPr>
          <a:cxnSpLocks noChangeShapeType="1"/>
        </xdr:cNvCxnSpPr>
      </xdr:nvCxnSpPr>
      <xdr:spPr bwMode="auto">
        <a:xfrm rot="5400000">
          <a:off x="3610927" y="270033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</xdr:col>
      <xdr:colOff>409575</xdr:colOff>
      <xdr:row>14</xdr:row>
      <xdr:rowOff>152400</xdr:rowOff>
    </xdr:from>
    <xdr:ext cx="295787" cy="269369"/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6F3576E2-6831-46ED-AF5B-42A40993646B}"/>
            </a:ext>
          </a:extLst>
        </xdr:cNvPr>
        <xdr:cNvSpPr txBox="1"/>
      </xdr:nvSpPr>
      <xdr:spPr>
        <a:xfrm>
          <a:off x="3549015" y="2857500"/>
          <a:ext cx="29578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C</a:t>
          </a:r>
        </a:p>
      </xdr:txBody>
    </xdr:sp>
    <xdr:clientData/>
  </xdr:oneCellAnchor>
  <xdr:twoCellAnchor>
    <xdr:from>
      <xdr:col>0</xdr:col>
      <xdr:colOff>714375</xdr:colOff>
      <xdr:row>11</xdr:row>
      <xdr:rowOff>123825</xdr:rowOff>
    </xdr:from>
    <xdr:to>
      <xdr:col>4</xdr:col>
      <xdr:colOff>0</xdr:colOff>
      <xdr:row>12</xdr:row>
      <xdr:rowOff>19050</xdr:rowOff>
    </xdr:to>
    <xdr:cxnSp macro="">
      <xdr:nvCxnSpPr>
        <xdr:cNvPr id="15" name="17 Forma">
          <a:extLst>
            <a:ext uri="{FF2B5EF4-FFF2-40B4-BE49-F238E27FC236}">
              <a16:creationId xmlns:a16="http://schemas.microsoft.com/office/drawing/2014/main" id="{D7EFC25D-2605-4E87-88B2-405DFEB9DC71}"/>
            </a:ext>
          </a:extLst>
        </xdr:cNvPr>
        <xdr:cNvCxnSpPr>
          <a:cxnSpLocks noChangeShapeType="1"/>
          <a:stCxn id="12" idx="0"/>
        </xdr:cNvCxnSpPr>
      </xdr:nvCxnSpPr>
      <xdr:spPr bwMode="auto">
        <a:xfrm rot="16200000" flipH="1">
          <a:off x="2455545" y="516255"/>
          <a:ext cx="85725" cy="3568065"/>
        </a:xfrm>
        <a:prstGeom prst="bentConnector4">
          <a:avLst>
            <a:gd name="adj1" fmla="val -266667"/>
            <a:gd name="adj2" fmla="val 56606"/>
          </a:avLst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742950</xdr:colOff>
      <xdr:row>12</xdr:row>
      <xdr:rowOff>76200</xdr:rowOff>
    </xdr:from>
    <xdr:to>
      <xdr:col>4</xdr:col>
      <xdr:colOff>695325</xdr:colOff>
      <xdr:row>15</xdr:row>
      <xdr:rowOff>142875</xdr:rowOff>
    </xdr:to>
    <xdr:cxnSp macro="">
      <xdr:nvCxnSpPr>
        <xdr:cNvPr id="16" name="19 Conector angular">
          <a:extLst>
            <a:ext uri="{FF2B5EF4-FFF2-40B4-BE49-F238E27FC236}">
              <a16:creationId xmlns:a16="http://schemas.microsoft.com/office/drawing/2014/main" id="{DEC6C73D-2371-4583-8EA6-0DF2F62F72DB}"/>
            </a:ext>
          </a:extLst>
        </xdr:cNvPr>
        <xdr:cNvCxnSpPr>
          <a:cxnSpLocks noChangeShapeType="1"/>
          <a:stCxn id="11" idx="3"/>
        </xdr:cNvCxnSpPr>
      </xdr:nvCxnSpPr>
      <xdr:spPr bwMode="auto">
        <a:xfrm flipH="1">
          <a:off x="3882390" y="2400300"/>
          <a:ext cx="1095375" cy="638175"/>
        </a:xfrm>
        <a:prstGeom prst="bentConnector3">
          <a:avLst>
            <a:gd name="adj1" fmla="val -21495"/>
          </a:avLst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20</xdr:row>
      <xdr:rowOff>66675</xdr:rowOff>
    </xdr:from>
    <xdr:to>
      <xdr:col>6</xdr:col>
      <xdr:colOff>276225</xdr:colOff>
      <xdr:row>20</xdr:row>
      <xdr:rowOff>66675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E501DB-5773-44F6-86F4-95699D8F45F2}"/>
            </a:ext>
          </a:extLst>
        </xdr:cNvPr>
        <xdr:cNvSpPr>
          <a:spLocks noChangeShapeType="1"/>
        </xdr:cNvSpPr>
      </xdr:nvSpPr>
      <xdr:spPr bwMode="auto">
        <a:xfrm>
          <a:off x="1183005" y="3640455"/>
          <a:ext cx="39014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381000</xdr:colOff>
      <xdr:row>19</xdr:row>
      <xdr:rowOff>142875</xdr:rowOff>
    </xdr:from>
    <xdr:to>
      <xdr:col>1</xdr:col>
      <xdr:colOff>381000</xdr:colOff>
      <xdr:row>21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9414316-5E90-421E-B6F7-06A84A04FEA0}"/>
            </a:ext>
          </a:extLst>
        </xdr:cNvPr>
        <xdr:cNvSpPr>
          <a:spLocks noChangeShapeType="1"/>
        </xdr:cNvSpPr>
      </xdr:nvSpPr>
      <xdr:spPr bwMode="auto">
        <a:xfrm>
          <a:off x="1173480" y="3549015"/>
          <a:ext cx="0" cy="1924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20</xdr:row>
      <xdr:rowOff>19050</xdr:rowOff>
    </xdr:from>
    <xdr:to>
      <xdr:col>2</xdr:col>
      <xdr:colOff>0</xdr:colOff>
      <xdr:row>21</xdr:row>
      <xdr:rowOff>19050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6452AF3-4541-4C87-9A86-0545A08820E1}"/>
            </a:ext>
          </a:extLst>
        </xdr:cNvPr>
        <xdr:cNvSpPr>
          <a:spLocks noChangeShapeType="1"/>
        </xdr:cNvSpPr>
      </xdr:nvSpPr>
      <xdr:spPr bwMode="auto">
        <a:xfrm>
          <a:off x="1638300" y="359283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20</xdr:row>
      <xdr:rowOff>0</xdr:rowOff>
    </xdr:from>
    <xdr:to>
      <xdr:col>2</xdr:col>
      <xdr:colOff>361950</xdr:colOff>
      <xdr:row>21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25505A1C-47B3-4F5E-8F77-B84559BC467D}"/>
            </a:ext>
          </a:extLst>
        </xdr:cNvPr>
        <xdr:cNvSpPr>
          <a:spLocks noChangeShapeType="1"/>
        </xdr:cNvSpPr>
      </xdr:nvSpPr>
      <xdr:spPr bwMode="auto">
        <a:xfrm>
          <a:off x="2000250" y="357378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20</xdr:row>
      <xdr:rowOff>9525</xdr:rowOff>
    </xdr:from>
    <xdr:to>
      <xdr:col>3</xdr:col>
      <xdr:colOff>0</xdr:colOff>
      <xdr:row>21</xdr:row>
      <xdr:rowOff>9525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5BFB5CDB-CF49-4FF6-8CF8-54976650E52D}"/>
            </a:ext>
          </a:extLst>
        </xdr:cNvPr>
        <xdr:cNvSpPr>
          <a:spLocks noChangeShapeType="1"/>
        </xdr:cNvSpPr>
      </xdr:nvSpPr>
      <xdr:spPr bwMode="auto">
        <a:xfrm>
          <a:off x="2430780" y="3583305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361950</xdr:colOff>
      <xdr:row>20</xdr:row>
      <xdr:rowOff>9525</xdr:rowOff>
    </xdr:from>
    <xdr:to>
      <xdr:col>3</xdr:col>
      <xdr:colOff>361950</xdr:colOff>
      <xdr:row>21</xdr:row>
      <xdr:rowOff>9525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8BA7A0A0-FD8A-4B0A-9935-CA6D69579ACF}"/>
            </a:ext>
          </a:extLst>
        </xdr:cNvPr>
        <xdr:cNvSpPr>
          <a:spLocks noChangeShapeType="1"/>
        </xdr:cNvSpPr>
      </xdr:nvSpPr>
      <xdr:spPr bwMode="auto">
        <a:xfrm>
          <a:off x="2792730" y="3583305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</xdr:rowOff>
    </xdr:from>
    <xdr:to>
      <xdr:col>4</xdr:col>
      <xdr:colOff>0</xdr:colOff>
      <xdr:row>21</xdr:row>
      <xdr:rowOff>9525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D889585E-BEBA-4CF0-B8C6-23E10352EE5C}"/>
            </a:ext>
          </a:extLst>
        </xdr:cNvPr>
        <xdr:cNvSpPr>
          <a:spLocks noChangeShapeType="1"/>
        </xdr:cNvSpPr>
      </xdr:nvSpPr>
      <xdr:spPr bwMode="auto">
        <a:xfrm>
          <a:off x="3223260" y="3583305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20</xdr:row>
      <xdr:rowOff>0</xdr:rowOff>
    </xdr:from>
    <xdr:to>
      <xdr:col>5</xdr:col>
      <xdr:colOff>9525</xdr:colOff>
      <xdr:row>21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507BBF13-5384-44EA-A570-2997B54A32EF}"/>
            </a:ext>
          </a:extLst>
        </xdr:cNvPr>
        <xdr:cNvSpPr>
          <a:spLocks noChangeShapeType="1"/>
        </xdr:cNvSpPr>
      </xdr:nvSpPr>
      <xdr:spPr bwMode="auto">
        <a:xfrm>
          <a:off x="4025265" y="357378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390525</xdr:colOff>
      <xdr:row>20</xdr:row>
      <xdr:rowOff>9525</xdr:rowOff>
    </xdr:from>
    <xdr:to>
      <xdr:col>4</xdr:col>
      <xdr:colOff>390525</xdr:colOff>
      <xdr:row>21</xdr:row>
      <xdr:rowOff>9525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2F0A6AE3-F8E4-4831-A8E4-9E4D7E25E135}"/>
            </a:ext>
          </a:extLst>
        </xdr:cNvPr>
        <xdr:cNvSpPr>
          <a:spLocks noChangeShapeType="1"/>
        </xdr:cNvSpPr>
      </xdr:nvSpPr>
      <xdr:spPr bwMode="auto">
        <a:xfrm>
          <a:off x="3613785" y="3583305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381000</xdr:colOff>
      <xdr:row>20</xdr:row>
      <xdr:rowOff>19050</xdr:rowOff>
    </xdr:from>
    <xdr:to>
      <xdr:col>5</xdr:col>
      <xdr:colOff>381000</xdr:colOff>
      <xdr:row>21</xdr:row>
      <xdr:rowOff>19050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395B65F6-D28B-4BD5-BBC0-4EAFBA16A83C}"/>
            </a:ext>
          </a:extLst>
        </xdr:cNvPr>
        <xdr:cNvSpPr>
          <a:spLocks noChangeShapeType="1"/>
        </xdr:cNvSpPr>
      </xdr:nvSpPr>
      <xdr:spPr bwMode="auto">
        <a:xfrm>
          <a:off x="4396740" y="359283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752475</xdr:colOff>
      <xdr:row>20</xdr:row>
      <xdr:rowOff>9525</xdr:rowOff>
    </xdr:from>
    <xdr:to>
      <xdr:col>5</xdr:col>
      <xdr:colOff>752475</xdr:colOff>
      <xdr:row>21</xdr:row>
      <xdr:rowOff>9525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235D8927-A746-4EDD-A36E-9B639A775C57}"/>
            </a:ext>
          </a:extLst>
        </xdr:cNvPr>
        <xdr:cNvSpPr>
          <a:spLocks noChangeShapeType="1"/>
        </xdr:cNvSpPr>
      </xdr:nvSpPr>
      <xdr:spPr bwMode="auto">
        <a:xfrm>
          <a:off x="4768215" y="3583305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20</xdr:row>
      <xdr:rowOff>38100</xdr:rowOff>
    </xdr:from>
    <xdr:to>
      <xdr:col>6</xdr:col>
      <xdr:colOff>285750</xdr:colOff>
      <xdr:row>21</xdr:row>
      <xdr:rowOff>38100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70391DCA-5F56-45AD-A597-5540D49AA28A}"/>
            </a:ext>
          </a:extLst>
        </xdr:cNvPr>
        <xdr:cNvSpPr>
          <a:spLocks noChangeShapeType="1"/>
        </xdr:cNvSpPr>
      </xdr:nvSpPr>
      <xdr:spPr bwMode="auto">
        <a:xfrm>
          <a:off x="5093970" y="361188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314325</xdr:colOff>
      <xdr:row>21</xdr:row>
      <xdr:rowOff>38100</xdr:rowOff>
    </xdr:from>
    <xdr:ext cx="99002" cy="194640"/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C9DC666C-F3B7-4356-B230-A5A9ADC07D6C}"/>
            </a:ext>
          </a:extLst>
        </xdr:cNvPr>
        <xdr:cNvSpPr txBox="1">
          <a:spLocks noChangeArrowheads="1"/>
        </xdr:cNvSpPr>
      </xdr:nvSpPr>
      <xdr:spPr bwMode="auto">
        <a:xfrm>
          <a:off x="1106805" y="377952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oneCellAnchor>
  <xdr:oneCellAnchor>
    <xdr:from>
      <xdr:col>4</xdr:col>
      <xdr:colOff>295275</xdr:colOff>
      <xdr:row>21</xdr:row>
      <xdr:rowOff>19050</xdr:rowOff>
    </xdr:from>
    <xdr:ext cx="99002" cy="194640"/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9AC433BD-69D7-4F70-8A0D-C3544041662D}"/>
            </a:ext>
          </a:extLst>
        </xdr:cNvPr>
        <xdr:cNvSpPr txBox="1">
          <a:spLocks noChangeArrowheads="1"/>
        </xdr:cNvSpPr>
      </xdr:nvSpPr>
      <xdr:spPr bwMode="auto">
        <a:xfrm>
          <a:off x="3518535" y="376047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4</xdr:col>
      <xdr:colOff>695325</xdr:colOff>
      <xdr:row>21</xdr:row>
      <xdr:rowOff>0</xdr:rowOff>
    </xdr:from>
    <xdr:ext cx="99002" cy="194640"/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D3D172CA-FA52-4E83-B05D-AD8838B2AFEE}"/>
            </a:ext>
          </a:extLst>
        </xdr:cNvPr>
        <xdr:cNvSpPr txBox="1">
          <a:spLocks noChangeArrowheads="1"/>
        </xdr:cNvSpPr>
      </xdr:nvSpPr>
      <xdr:spPr bwMode="auto">
        <a:xfrm>
          <a:off x="3918585" y="374142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5</xdr:col>
      <xdr:colOff>295275</xdr:colOff>
      <xdr:row>21</xdr:row>
      <xdr:rowOff>19050</xdr:rowOff>
    </xdr:from>
    <xdr:ext cx="99002" cy="194640"/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E9FBC7C8-9A63-4430-B616-33047137DE8D}"/>
            </a:ext>
          </a:extLst>
        </xdr:cNvPr>
        <xdr:cNvSpPr txBox="1">
          <a:spLocks noChangeArrowheads="1"/>
        </xdr:cNvSpPr>
      </xdr:nvSpPr>
      <xdr:spPr bwMode="auto">
        <a:xfrm>
          <a:off x="4311015" y="376047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5</xdr:col>
      <xdr:colOff>676275</xdr:colOff>
      <xdr:row>21</xdr:row>
      <xdr:rowOff>9525</xdr:rowOff>
    </xdr:from>
    <xdr:ext cx="99002" cy="194640"/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4C8FC5A9-27D6-497B-82C3-CE8318FFF22E}"/>
            </a:ext>
          </a:extLst>
        </xdr:cNvPr>
        <xdr:cNvSpPr txBox="1">
          <a:spLocks noChangeArrowheads="1"/>
        </xdr:cNvSpPr>
      </xdr:nvSpPr>
      <xdr:spPr bwMode="auto">
        <a:xfrm>
          <a:off x="4692015" y="3750945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6</xdr:col>
      <xdr:colOff>171450</xdr:colOff>
      <xdr:row>21</xdr:row>
      <xdr:rowOff>38100</xdr:rowOff>
    </xdr:from>
    <xdr:ext cx="170304" cy="175176"/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D227CBED-A571-4A54-94C2-8697A491C3E0}"/>
            </a:ext>
          </a:extLst>
        </xdr:cNvPr>
        <xdr:cNvSpPr txBox="1">
          <a:spLocks noChangeArrowheads="1"/>
        </xdr:cNvSpPr>
      </xdr:nvSpPr>
      <xdr:spPr bwMode="auto">
        <a:xfrm>
          <a:off x="4979670" y="3779520"/>
          <a:ext cx="170304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3</xdr:col>
      <xdr:colOff>285750</xdr:colOff>
      <xdr:row>21</xdr:row>
      <xdr:rowOff>9525</xdr:rowOff>
    </xdr:from>
    <xdr:ext cx="99002" cy="194640"/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3DCE3CCA-5682-48D5-AE80-B60D1F86E37B}"/>
            </a:ext>
          </a:extLst>
        </xdr:cNvPr>
        <xdr:cNvSpPr txBox="1">
          <a:spLocks noChangeArrowheads="1"/>
        </xdr:cNvSpPr>
      </xdr:nvSpPr>
      <xdr:spPr bwMode="auto">
        <a:xfrm>
          <a:off x="2716530" y="3750945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3</xdr:col>
      <xdr:colOff>695325</xdr:colOff>
      <xdr:row>20</xdr:row>
      <xdr:rowOff>142875</xdr:rowOff>
    </xdr:from>
    <xdr:ext cx="99002" cy="194640"/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270BED42-33C1-4CAC-A22A-4ADFE7193D67}"/>
            </a:ext>
          </a:extLst>
        </xdr:cNvPr>
        <xdr:cNvSpPr txBox="1">
          <a:spLocks noChangeArrowheads="1"/>
        </xdr:cNvSpPr>
      </xdr:nvSpPr>
      <xdr:spPr bwMode="auto">
        <a:xfrm>
          <a:off x="3126105" y="3716655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1</xdr:col>
      <xdr:colOff>704850</xdr:colOff>
      <xdr:row>21</xdr:row>
      <xdr:rowOff>19050</xdr:rowOff>
    </xdr:from>
    <xdr:ext cx="99002" cy="194640"/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AF342C82-F114-484A-A9BC-AC5733A04BD4}"/>
            </a:ext>
          </a:extLst>
        </xdr:cNvPr>
        <xdr:cNvSpPr txBox="1">
          <a:spLocks noChangeArrowheads="1"/>
        </xdr:cNvSpPr>
      </xdr:nvSpPr>
      <xdr:spPr bwMode="auto">
        <a:xfrm>
          <a:off x="1497330" y="376047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2</xdr:col>
      <xdr:colOff>295275</xdr:colOff>
      <xdr:row>21</xdr:row>
      <xdr:rowOff>9525</xdr:rowOff>
    </xdr:from>
    <xdr:ext cx="99002" cy="194640"/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51F7403D-C2F2-424E-9AF3-983135F6A465}"/>
            </a:ext>
          </a:extLst>
        </xdr:cNvPr>
        <xdr:cNvSpPr txBox="1">
          <a:spLocks noChangeArrowheads="1"/>
        </xdr:cNvSpPr>
      </xdr:nvSpPr>
      <xdr:spPr bwMode="auto">
        <a:xfrm>
          <a:off x="1933575" y="3750945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695325</xdr:colOff>
      <xdr:row>21</xdr:row>
      <xdr:rowOff>0</xdr:rowOff>
    </xdr:from>
    <xdr:ext cx="99002" cy="194640"/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814924B6-EF57-49CF-B627-097C04B7BC99}"/>
            </a:ext>
          </a:extLst>
        </xdr:cNvPr>
        <xdr:cNvSpPr txBox="1">
          <a:spLocks noChangeArrowheads="1"/>
        </xdr:cNvSpPr>
      </xdr:nvSpPr>
      <xdr:spPr bwMode="auto">
        <a:xfrm>
          <a:off x="2333625" y="374142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209550</xdr:colOff>
      <xdr:row>18</xdr:row>
      <xdr:rowOff>123825</xdr:rowOff>
    </xdr:from>
    <xdr:ext cx="348558" cy="175176"/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7966E74E-ADBF-4086-82BA-A8553138948B}"/>
            </a:ext>
          </a:extLst>
        </xdr:cNvPr>
        <xdr:cNvSpPr txBox="1">
          <a:spLocks noChangeArrowheads="1"/>
        </xdr:cNvSpPr>
      </xdr:nvSpPr>
      <xdr:spPr bwMode="auto">
        <a:xfrm>
          <a:off x="3432810" y="3362325"/>
          <a:ext cx="348558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2,875</a:t>
          </a:r>
        </a:p>
      </xdr:txBody>
    </xdr:sp>
    <xdr:clientData/>
  </xdr:oneCellAnchor>
  <xdr:oneCellAnchor>
    <xdr:from>
      <xdr:col>1</xdr:col>
      <xdr:colOff>209550</xdr:colOff>
      <xdr:row>22</xdr:row>
      <xdr:rowOff>66675</xdr:rowOff>
    </xdr:from>
    <xdr:ext cx="348558" cy="175176"/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F9171FA1-FBAB-427F-BA5D-31A9A9E52010}"/>
            </a:ext>
          </a:extLst>
        </xdr:cNvPr>
        <xdr:cNvSpPr txBox="1">
          <a:spLocks noChangeArrowheads="1"/>
        </xdr:cNvSpPr>
      </xdr:nvSpPr>
      <xdr:spPr bwMode="auto">
        <a:xfrm>
          <a:off x="1002030" y="3975735"/>
          <a:ext cx="348558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4,000</a:t>
          </a:r>
        </a:p>
      </xdr:txBody>
    </xdr:sp>
    <xdr:clientData/>
  </xdr:oneCellAnchor>
  <xdr:oneCellAnchor>
    <xdr:from>
      <xdr:col>6</xdr:col>
      <xdr:colOff>114300</xdr:colOff>
      <xdr:row>18</xdr:row>
      <xdr:rowOff>76200</xdr:rowOff>
    </xdr:from>
    <xdr:ext cx="348558" cy="175176"/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1F99E110-AA5A-42D8-9062-DEEF3FEE1911}"/>
            </a:ext>
          </a:extLst>
        </xdr:cNvPr>
        <xdr:cNvSpPr txBox="1">
          <a:spLocks noChangeArrowheads="1"/>
        </xdr:cNvSpPr>
      </xdr:nvSpPr>
      <xdr:spPr bwMode="auto">
        <a:xfrm>
          <a:off x="4922520" y="3314700"/>
          <a:ext cx="348558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5,000</a:t>
          </a:r>
        </a:p>
      </xdr:txBody>
    </xdr:sp>
    <xdr:clientData/>
  </xdr:oneCellAnchor>
  <xdr:twoCellAnchor>
    <xdr:from>
      <xdr:col>1</xdr:col>
      <xdr:colOff>476250</xdr:colOff>
      <xdr:row>21</xdr:row>
      <xdr:rowOff>66675</xdr:rowOff>
    </xdr:from>
    <xdr:to>
      <xdr:col>2</xdr:col>
      <xdr:colOff>104775</xdr:colOff>
      <xdr:row>23</xdr:row>
      <xdr:rowOff>28575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E12051E7-8DE1-40C1-AC48-24DA2DB0FAF2}"/>
            </a:ext>
          </a:extLst>
        </xdr:cNvPr>
        <xdr:cNvSpPr>
          <a:spLocks noChangeShapeType="1"/>
        </xdr:cNvSpPr>
      </xdr:nvSpPr>
      <xdr:spPr bwMode="auto">
        <a:xfrm>
          <a:off x="1268730" y="3808095"/>
          <a:ext cx="474345" cy="2971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114300</xdr:colOff>
      <xdr:row>23</xdr:row>
      <xdr:rowOff>38100</xdr:rowOff>
    </xdr:from>
    <xdr:to>
      <xdr:col>3</xdr:col>
      <xdr:colOff>504825</xdr:colOff>
      <xdr:row>23</xdr:row>
      <xdr:rowOff>38100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9EF058AE-E97B-46EC-A909-240E84D83EE8}"/>
            </a:ext>
          </a:extLst>
        </xdr:cNvPr>
        <xdr:cNvSpPr>
          <a:spLocks noChangeShapeType="1"/>
        </xdr:cNvSpPr>
      </xdr:nvSpPr>
      <xdr:spPr bwMode="auto">
        <a:xfrm flipV="1">
          <a:off x="1752600" y="4114800"/>
          <a:ext cx="118300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485775</xdr:colOff>
      <xdr:row>20</xdr:row>
      <xdr:rowOff>133350</xdr:rowOff>
    </xdr:from>
    <xdr:to>
      <xdr:col>4</xdr:col>
      <xdr:colOff>314325</xdr:colOff>
      <xdr:row>23</xdr:row>
      <xdr:rowOff>47625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BDA5F220-C830-4BA4-891A-871D36C286CB}"/>
            </a:ext>
          </a:extLst>
        </xdr:cNvPr>
        <xdr:cNvSpPr>
          <a:spLocks noChangeShapeType="1"/>
        </xdr:cNvSpPr>
      </xdr:nvSpPr>
      <xdr:spPr bwMode="auto">
        <a:xfrm flipV="1">
          <a:off x="2916555" y="3707130"/>
          <a:ext cx="621030" cy="4171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352425</xdr:colOff>
      <xdr:row>22</xdr:row>
      <xdr:rowOff>85725</xdr:rowOff>
    </xdr:from>
    <xdr:to>
      <xdr:col>4</xdr:col>
      <xdr:colOff>352425</xdr:colOff>
      <xdr:row>25</xdr:row>
      <xdr:rowOff>9525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D5646432-56D7-4D95-8EFF-C456BF89C894}"/>
            </a:ext>
          </a:extLst>
        </xdr:cNvPr>
        <xdr:cNvSpPr>
          <a:spLocks noChangeShapeType="1"/>
        </xdr:cNvSpPr>
      </xdr:nvSpPr>
      <xdr:spPr bwMode="auto">
        <a:xfrm>
          <a:off x="3575685" y="3994785"/>
          <a:ext cx="0" cy="426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295275</xdr:colOff>
      <xdr:row>25</xdr:row>
      <xdr:rowOff>47625</xdr:rowOff>
    </xdr:from>
    <xdr:ext cx="113237" cy="194640"/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269BACD1-E571-469F-873B-5CFCAAC8C084}"/>
            </a:ext>
          </a:extLst>
        </xdr:cNvPr>
        <xdr:cNvSpPr txBox="1">
          <a:spLocks noChangeArrowheads="1"/>
        </xdr:cNvSpPr>
      </xdr:nvSpPr>
      <xdr:spPr bwMode="auto">
        <a:xfrm>
          <a:off x="3518535" y="4459605"/>
          <a:ext cx="113237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twoCellAnchor>
    <xdr:from>
      <xdr:col>5</xdr:col>
      <xdr:colOff>685800</xdr:colOff>
      <xdr:row>19</xdr:row>
      <xdr:rowOff>0</xdr:rowOff>
    </xdr:from>
    <xdr:to>
      <xdr:col>6</xdr:col>
      <xdr:colOff>257175</xdr:colOff>
      <xdr:row>19</xdr:row>
      <xdr:rowOff>152400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F33631F7-C22A-4720-8B1B-C30304B35D94}"/>
            </a:ext>
          </a:extLst>
        </xdr:cNvPr>
        <xdr:cNvSpPr>
          <a:spLocks noChangeShapeType="1"/>
        </xdr:cNvSpPr>
      </xdr:nvSpPr>
      <xdr:spPr bwMode="auto">
        <a:xfrm flipH="1" flipV="1">
          <a:off x="4701540" y="3406140"/>
          <a:ext cx="36385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752475</xdr:colOff>
      <xdr:row>18</xdr:row>
      <xdr:rowOff>152400</xdr:rowOff>
    </xdr:from>
    <xdr:to>
      <xdr:col>5</xdr:col>
      <xdr:colOff>685800</xdr:colOff>
      <xdr:row>18</xdr:row>
      <xdr:rowOff>152400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1E5DD6EE-98E6-4FD0-AA49-51C02FC19719}"/>
            </a:ext>
          </a:extLst>
        </xdr:cNvPr>
        <xdr:cNvSpPr>
          <a:spLocks noChangeShapeType="1"/>
        </xdr:cNvSpPr>
      </xdr:nvSpPr>
      <xdr:spPr bwMode="auto">
        <a:xfrm flipH="1">
          <a:off x="3975735" y="3390900"/>
          <a:ext cx="72580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409575</xdr:colOff>
      <xdr:row>18</xdr:row>
      <xdr:rowOff>152400</xdr:rowOff>
    </xdr:from>
    <xdr:to>
      <xdr:col>4</xdr:col>
      <xdr:colOff>752475</xdr:colOff>
      <xdr:row>20</xdr:row>
      <xdr:rowOff>28575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43244E40-9B1B-4D36-9F59-60E12DF74A60}"/>
            </a:ext>
          </a:extLst>
        </xdr:cNvPr>
        <xdr:cNvSpPr>
          <a:spLocks noChangeShapeType="1"/>
        </xdr:cNvSpPr>
      </xdr:nvSpPr>
      <xdr:spPr bwMode="auto">
        <a:xfrm flipH="1">
          <a:off x="3632835" y="3390900"/>
          <a:ext cx="342900" cy="2114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466725</xdr:colOff>
      <xdr:row>21</xdr:row>
      <xdr:rowOff>95250</xdr:rowOff>
    </xdr:from>
    <xdr:to>
      <xdr:col>5</xdr:col>
      <xdr:colOff>66675</xdr:colOff>
      <xdr:row>24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FB327965-E1CA-4300-ACAD-A242098FD721}"/>
            </a:ext>
          </a:extLst>
        </xdr:cNvPr>
        <xdr:cNvSpPr>
          <a:spLocks noChangeShapeType="1"/>
        </xdr:cNvSpPr>
      </xdr:nvSpPr>
      <xdr:spPr bwMode="auto">
        <a:xfrm flipH="1" flipV="1">
          <a:off x="3689985" y="3836670"/>
          <a:ext cx="392430" cy="4076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13</xdr:row>
      <xdr:rowOff>142875</xdr:rowOff>
    </xdr:from>
    <xdr:to>
      <xdr:col>7</xdr:col>
      <xdr:colOff>47625</xdr:colOff>
      <xdr:row>13</xdr:row>
      <xdr:rowOff>142875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1B8BE5F-C354-4027-BBB6-F5E41E7CB49C}"/>
            </a:ext>
          </a:extLst>
        </xdr:cNvPr>
        <xdr:cNvSpPr>
          <a:spLocks noChangeShapeType="1"/>
        </xdr:cNvSpPr>
      </xdr:nvSpPr>
      <xdr:spPr bwMode="auto">
        <a:xfrm>
          <a:off x="1259205" y="2497455"/>
          <a:ext cx="442722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742950</xdr:colOff>
      <xdr:row>13</xdr:row>
      <xdr:rowOff>57150</xdr:rowOff>
    </xdr:from>
    <xdr:to>
      <xdr:col>2</xdr:col>
      <xdr:colOff>752475</xdr:colOff>
      <xdr:row>14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DD4FCFC-91A6-4E50-BCB1-027C231B44A0}"/>
            </a:ext>
          </a:extLst>
        </xdr:cNvPr>
        <xdr:cNvSpPr>
          <a:spLocks noChangeShapeType="1"/>
        </xdr:cNvSpPr>
      </xdr:nvSpPr>
      <xdr:spPr bwMode="auto">
        <a:xfrm>
          <a:off x="2419350" y="2411730"/>
          <a:ext cx="9525" cy="12001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13</xdr:row>
      <xdr:rowOff>95250</xdr:rowOff>
    </xdr:from>
    <xdr:to>
      <xdr:col>4</xdr:col>
      <xdr:colOff>28575</xdr:colOff>
      <xdr:row>14</xdr:row>
      <xdr:rowOff>47625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8334949E-444F-4ED4-A005-2FB071492EE3}"/>
            </a:ext>
          </a:extLst>
        </xdr:cNvPr>
        <xdr:cNvSpPr>
          <a:spLocks noChangeShapeType="1"/>
        </xdr:cNvSpPr>
      </xdr:nvSpPr>
      <xdr:spPr bwMode="auto">
        <a:xfrm>
          <a:off x="3280410" y="2449830"/>
          <a:ext cx="9525" cy="12001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13</xdr:row>
      <xdr:rowOff>76200</xdr:rowOff>
    </xdr:from>
    <xdr:to>
      <xdr:col>5</xdr:col>
      <xdr:colOff>9525</xdr:colOff>
      <xdr:row>14</xdr:row>
      <xdr:rowOff>28575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36CC350-6EAF-483E-AEE6-91AAB5176DE0}"/>
            </a:ext>
          </a:extLst>
        </xdr:cNvPr>
        <xdr:cNvSpPr>
          <a:spLocks noChangeShapeType="1"/>
        </xdr:cNvSpPr>
      </xdr:nvSpPr>
      <xdr:spPr bwMode="auto">
        <a:xfrm>
          <a:off x="4053840" y="2430780"/>
          <a:ext cx="9525" cy="12001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13</xdr:row>
      <xdr:rowOff>95250</xdr:rowOff>
    </xdr:from>
    <xdr:to>
      <xdr:col>7</xdr:col>
      <xdr:colOff>38100</xdr:colOff>
      <xdr:row>14</xdr:row>
      <xdr:rowOff>47625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C3BDF611-23E8-4F22-937F-FC18024D829D}"/>
            </a:ext>
          </a:extLst>
        </xdr:cNvPr>
        <xdr:cNvSpPr>
          <a:spLocks noChangeShapeType="1"/>
        </xdr:cNvSpPr>
      </xdr:nvSpPr>
      <xdr:spPr bwMode="auto">
        <a:xfrm>
          <a:off x="5667375" y="2449830"/>
          <a:ext cx="9525" cy="12001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13</xdr:row>
      <xdr:rowOff>47625</xdr:rowOff>
    </xdr:from>
    <xdr:to>
      <xdr:col>2</xdr:col>
      <xdr:colOff>742950</xdr:colOff>
      <xdr:row>13</xdr:row>
      <xdr:rowOff>47625</xdr:rowOff>
    </xdr:to>
    <xdr:cxnSp macro="">
      <xdr:nvCxnSpPr>
        <xdr:cNvPr id="7" name="AutoShape 6">
          <a:extLst>
            <a:ext uri="{FF2B5EF4-FFF2-40B4-BE49-F238E27FC236}">
              <a16:creationId xmlns:a16="http://schemas.microsoft.com/office/drawing/2014/main" id="{5FC26B4C-3BEE-4DE2-A24F-7044B66A0B81}"/>
            </a:ext>
          </a:extLst>
        </xdr:cNvPr>
        <xdr:cNvCxnSpPr>
          <a:cxnSpLocks noChangeShapeType="1"/>
        </xdr:cNvCxnSpPr>
      </xdr:nvCxnSpPr>
      <xdr:spPr bwMode="auto">
        <a:xfrm>
          <a:off x="1685925" y="2402205"/>
          <a:ext cx="7334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9525</xdr:colOff>
      <xdr:row>12</xdr:row>
      <xdr:rowOff>66675</xdr:rowOff>
    </xdr:from>
    <xdr:to>
      <xdr:col>4</xdr:col>
      <xdr:colOff>19050</xdr:colOff>
      <xdr:row>12</xdr:row>
      <xdr:rowOff>66675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D06C8980-3876-4B51-8460-78EB6EC7B123}"/>
            </a:ext>
          </a:extLst>
        </xdr:cNvPr>
        <xdr:cNvSpPr>
          <a:spLocks noChangeShapeType="1"/>
        </xdr:cNvSpPr>
      </xdr:nvSpPr>
      <xdr:spPr bwMode="auto">
        <a:xfrm>
          <a:off x="1685925" y="2253615"/>
          <a:ext cx="15944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12</xdr:row>
      <xdr:rowOff>66675</xdr:rowOff>
    </xdr:from>
    <xdr:to>
      <xdr:col>4</xdr:col>
      <xdr:colOff>9525</xdr:colOff>
      <xdr:row>13</xdr:row>
      <xdr:rowOff>57150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8D48B1FC-69F6-41DA-9C32-9CEFC5960EE7}"/>
            </a:ext>
          </a:extLst>
        </xdr:cNvPr>
        <xdr:cNvSpPr>
          <a:spLocks noChangeShapeType="1"/>
        </xdr:cNvSpPr>
      </xdr:nvSpPr>
      <xdr:spPr bwMode="auto">
        <a:xfrm>
          <a:off x="3270885" y="2253615"/>
          <a:ext cx="0" cy="1581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11</xdr:row>
      <xdr:rowOff>85725</xdr:rowOff>
    </xdr:from>
    <xdr:to>
      <xdr:col>4</xdr:col>
      <xdr:colOff>752475</xdr:colOff>
      <xdr:row>11</xdr:row>
      <xdr:rowOff>85725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1C523C36-124D-4888-87F3-1CB656DF1AAB}"/>
            </a:ext>
          </a:extLst>
        </xdr:cNvPr>
        <xdr:cNvSpPr>
          <a:spLocks noChangeShapeType="1"/>
        </xdr:cNvSpPr>
      </xdr:nvSpPr>
      <xdr:spPr bwMode="auto">
        <a:xfrm>
          <a:off x="1685925" y="2105025"/>
          <a:ext cx="232791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742950</xdr:colOff>
      <xdr:row>11</xdr:row>
      <xdr:rowOff>85725</xdr:rowOff>
    </xdr:from>
    <xdr:to>
      <xdr:col>4</xdr:col>
      <xdr:colOff>752475</xdr:colOff>
      <xdr:row>13</xdr:row>
      <xdr:rowOff>47625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905DC36D-D2A3-4CBB-8414-7BFBF644E404}"/>
            </a:ext>
          </a:extLst>
        </xdr:cNvPr>
        <xdr:cNvSpPr>
          <a:spLocks noChangeShapeType="1"/>
        </xdr:cNvSpPr>
      </xdr:nvSpPr>
      <xdr:spPr bwMode="auto">
        <a:xfrm flipH="1">
          <a:off x="4004310" y="2105025"/>
          <a:ext cx="9525" cy="2971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485775</xdr:colOff>
      <xdr:row>13</xdr:row>
      <xdr:rowOff>142875</xdr:rowOff>
    </xdr:from>
    <xdr:to>
      <xdr:col>3</xdr:col>
      <xdr:colOff>485775</xdr:colOff>
      <xdr:row>16</xdr:row>
      <xdr:rowOff>47625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F00852AD-AF32-4904-B96D-6E2550E34007}"/>
            </a:ext>
          </a:extLst>
        </xdr:cNvPr>
        <xdr:cNvSpPr>
          <a:spLocks noChangeShapeType="1"/>
        </xdr:cNvSpPr>
      </xdr:nvSpPr>
      <xdr:spPr bwMode="auto">
        <a:xfrm>
          <a:off x="2954655" y="2497455"/>
          <a:ext cx="0" cy="4076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698523</xdr:colOff>
      <xdr:row>11</xdr:row>
      <xdr:rowOff>140785</xdr:rowOff>
    </xdr:from>
    <xdr:ext cx="5289525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514B5B1-6BE5-4C71-BC47-E6A3E9952C6F}"/>
            </a:ext>
          </a:extLst>
        </xdr:cNvPr>
        <xdr:cNvSpPr/>
      </xdr:nvSpPr>
      <xdr:spPr>
        <a:xfrm>
          <a:off x="698523" y="1984825"/>
          <a:ext cx="528952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Capital de Trabajo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9</xdr:row>
      <xdr:rowOff>171450</xdr:rowOff>
    </xdr:from>
    <xdr:to>
      <xdr:col>8</xdr:col>
      <xdr:colOff>733425</xdr:colOff>
      <xdr:row>11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CB777E6-8AAF-4146-A379-312E58186089}"/>
            </a:ext>
          </a:extLst>
        </xdr:cNvPr>
        <xdr:cNvSpPr>
          <a:spLocks noChangeArrowheads="1"/>
        </xdr:cNvSpPr>
      </xdr:nvSpPr>
      <xdr:spPr bwMode="auto">
        <a:xfrm>
          <a:off x="4516755" y="1969770"/>
          <a:ext cx="3425190" cy="367665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Caja mínima =  %Caja m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nima * Ventas anuales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190500</xdr:colOff>
      <xdr:row>17</xdr:row>
      <xdr:rowOff>95250</xdr:rowOff>
    </xdr:from>
    <xdr:to>
      <xdr:col>10</xdr:col>
      <xdr:colOff>304800</xdr:colOff>
      <xdr:row>20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CC7D624-A101-423A-80BA-7B32ECFB2C2C}"/>
            </a:ext>
          </a:extLst>
        </xdr:cNvPr>
        <xdr:cNvSpPr>
          <a:spLocks noChangeArrowheads="1"/>
        </xdr:cNvSpPr>
      </xdr:nvSpPr>
      <xdr:spPr bwMode="auto">
        <a:xfrm>
          <a:off x="5044440" y="3440430"/>
          <a:ext cx="4038600" cy="523875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CC =  Periodo promedio de cobro * Ventas anuales / 360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171450</xdr:colOff>
      <xdr:row>14</xdr:row>
      <xdr:rowOff>76200</xdr:rowOff>
    </xdr:from>
    <xdr:to>
      <xdr:col>11</xdr:col>
      <xdr:colOff>85725</xdr:colOff>
      <xdr:row>17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E2391DF-A7DC-4194-92FD-85DF185F6A8F}"/>
            </a:ext>
          </a:extLst>
        </xdr:cNvPr>
        <xdr:cNvSpPr>
          <a:spLocks noChangeArrowheads="1"/>
        </xdr:cNvSpPr>
      </xdr:nvSpPr>
      <xdr:spPr bwMode="auto">
        <a:xfrm>
          <a:off x="5025390" y="2827020"/>
          <a:ext cx="4623435" cy="518160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Periodo promedio de cobro = # d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as * % ventas en ese plazo de d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as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285750</xdr:colOff>
      <xdr:row>22</xdr:row>
      <xdr:rowOff>123825</xdr:rowOff>
    </xdr:from>
    <xdr:to>
      <xdr:col>9</xdr:col>
      <xdr:colOff>695325</xdr:colOff>
      <xdr:row>26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985294F-0377-4C8B-98BE-BA18FFEB366A}"/>
            </a:ext>
          </a:extLst>
        </xdr:cNvPr>
        <xdr:cNvSpPr>
          <a:spLocks noChangeArrowheads="1"/>
        </xdr:cNvSpPr>
      </xdr:nvSpPr>
      <xdr:spPr bwMode="auto">
        <a:xfrm>
          <a:off x="4354830" y="4345305"/>
          <a:ext cx="4333875" cy="647700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Inv. MAT =  (Inv. M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nimo + compra/2)(%MAT*Ventas anuales) / 360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457200</xdr:colOff>
      <xdr:row>29</xdr:row>
      <xdr:rowOff>19050</xdr:rowOff>
    </xdr:from>
    <xdr:to>
      <xdr:col>9</xdr:col>
      <xdr:colOff>609600</xdr:colOff>
      <xdr:row>32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183CB07-F969-4901-AD91-0ED91E4D18CE}"/>
            </a:ext>
          </a:extLst>
        </xdr:cNvPr>
        <xdr:cNvSpPr>
          <a:spLocks noChangeArrowheads="1"/>
        </xdr:cNvSpPr>
      </xdr:nvSpPr>
      <xdr:spPr bwMode="auto">
        <a:xfrm>
          <a:off x="4526280" y="5467350"/>
          <a:ext cx="4076700" cy="584835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Inv. PP =  Duraci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ó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n*((%MAT+%MO)/2 * Ventas anuales) / 360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409575</xdr:colOff>
      <xdr:row>33</xdr:row>
      <xdr:rowOff>66675</xdr:rowOff>
    </xdr:from>
    <xdr:to>
      <xdr:col>9</xdr:col>
      <xdr:colOff>647700</xdr:colOff>
      <xdr:row>36</xdr:row>
      <xdr:rowOff>123825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F9B16C8-A773-43EB-A911-7E3D56B497E4}"/>
            </a:ext>
          </a:extLst>
        </xdr:cNvPr>
        <xdr:cNvSpPr>
          <a:spLocks noChangeArrowheads="1"/>
        </xdr:cNvSpPr>
      </xdr:nvSpPr>
      <xdr:spPr bwMode="auto">
        <a:xfrm>
          <a:off x="4478655" y="6238875"/>
          <a:ext cx="4162425" cy="613410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Inv. PT =  Inv. M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nimo PT*((%MAT+%MO)*Ventas anuales) / 360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171450</xdr:colOff>
      <xdr:row>44</xdr:row>
      <xdr:rowOff>9525</xdr:rowOff>
    </xdr:from>
    <xdr:to>
      <xdr:col>10</xdr:col>
      <xdr:colOff>561975</xdr:colOff>
      <xdr:row>47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4D9B2F3-20A0-4608-AB81-BFDDE7C63159}"/>
            </a:ext>
          </a:extLst>
        </xdr:cNvPr>
        <xdr:cNvSpPr>
          <a:spLocks noChangeArrowheads="1"/>
        </xdr:cNvSpPr>
      </xdr:nvSpPr>
      <xdr:spPr bwMode="auto">
        <a:xfrm>
          <a:off x="5025390" y="8132445"/>
          <a:ext cx="4314825" cy="502920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CP =  Periodo promedio de pago * (%MAT*Ventas anuales) / 360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57150</xdr:colOff>
      <xdr:row>39</xdr:row>
      <xdr:rowOff>76200</xdr:rowOff>
    </xdr:from>
    <xdr:to>
      <xdr:col>11</xdr:col>
      <xdr:colOff>504825</xdr:colOff>
      <xdr:row>42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C71FE58-67C4-4104-806A-7EE7F314F69F}"/>
            </a:ext>
          </a:extLst>
        </xdr:cNvPr>
        <xdr:cNvSpPr>
          <a:spLocks noChangeArrowheads="1"/>
        </xdr:cNvSpPr>
      </xdr:nvSpPr>
      <xdr:spPr bwMode="auto">
        <a:xfrm>
          <a:off x="4911090" y="7307580"/>
          <a:ext cx="5156835" cy="556260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Periodo promedio de pago = #d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as * %pagos a realizarse en ese plazo de d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as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50346</xdr:colOff>
      <xdr:row>0</xdr:row>
      <xdr:rowOff>100692</xdr:rowOff>
    </xdr:from>
    <xdr:to>
      <xdr:col>6</xdr:col>
      <xdr:colOff>190500</xdr:colOff>
      <xdr:row>6</xdr:row>
      <xdr:rowOff>34017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33E428-4FDB-43D7-A0E6-B7567B24B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1286" y="100692"/>
          <a:ext cx="3279594" cy="969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151349</xdr:colOff>
      <xdr:row>11</xdr:row>
      <xdr:rowOff>140785</xdr:rowOff>
    </xdr:from>
    <xdr:ext cx="4859857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56662CD-B47B-447E-81BF-7D5F30107ACB}"/>
            </a:ext>
          </a:extLst>
        </xdr:cNvPr>
        <xdr:cNvSpPr/>
      </xdr:nvSpPr>
      <xdr:spPr>
        <a:xfrm>
          <a:off x="936209" y="1984825"/>
          <a:ext cx="485985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Cálculo</a:t>
          </a:r>
          <a:r>
            <a:rPr lang="es-ES" sz="5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del CPPC</a:t>
          </a:r>
          <a:endParaRPr lang="es-ES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4</xdr:row>
      <xdr:rowOff>134091</xdr:rowOff>
    </xdr:from>
    <xdr:to>
      <xdr:col>13</xdr:col>
      <xdr:colOff>503968</xdr:colOff>
      <xdr:row>24</xdr:row>
      <xdr:rowOff>1272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BFA41337-7D3D-4597-866C-57E54DC45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025" y="835131"/>
          <a:ext cx="4670203" cy="338000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35</xdr:row>
      <xdr:rowOff>19050</xdr:rowOff>
    </xdr:from>
    <xdr:to>
      <xdr:col>9</xdr:col>
      <xdr:colOff>495000</xdr:colOff>
      <xdr:row>37</xdr:row>
      <xdr:rowOff>38052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2DBA35-4C8D-4D81-A37C-89DE06A0A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5565" y="6267450"/>
          <a:ext cx="2466675" cy="369522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38</xdr:row>
      <xdr:rowOff>66675</xdr:rowOff>
    </xdr:from>
    <xdr:to>
      <xdr:col>12</xdr:col>
      <xdr:colOff>685231</xdr:colOff>
      <xdr:row>41</xdr:row>
      <xdr:rowOff>173269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7073A4-F147-4A4D-BD2F-4841E3BEE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20815" y="6840855"/>
          <a:ext cx="4641916" cy="6323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12</xdr:col>
      <xdr:colOff>123256</xdr:colOff>
      <xdr:row>19</xdr:row>
      <xdr:rowOff>133264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577D47E-F929-4E2F-ABBB-1C41BFCD5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8840" y="2918460"/>
          <a:ext cx="4641916" cy="6590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047\grp\DPE\Claudia%20Popazoglo\B.Plan%202004\Pasta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ZC/ZCB/RICHTLBG/Formbl&#228;tter/Neue%202001/Himpele%20Master%20WiDat%20Plan%202001_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ZU/ZUC%201-4/L&#228;nder/Brasilien/Rml_as/Plan_2002/WiDat%20Jahr%20BSH%20BR%20VL%20EDS%202002%20last%20vers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ZU/ZUC%201-4/Allgemein/Verfahren%20-%20Systeme/K%20I%20S/MiniKISs/MiniKIS%20v.02(Ges.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047\grp\Ctl\Planta%20Henry%20Ford\Diversos%20Silvia\Desp.%20Operacionais\D.O.%202004%20Acerto%20Fcst%20Ab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047\grp\TEMP\Kapazit&#228;ten%20und%20Auslastu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047\grp\TEMP\99-04%20Excelmapp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047\grp\Abteilungen\CR\Sparte\2000\PLAN\Abgabe\22109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:\Productos\2017\ACTUALIZADOS\GRATIS\actualizados\Sistema%20de%20busqueda%20interactivo%20macro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bugarin/Dados%20de%20aplicativos/Microsoft/Excel/XLSTART/Factory%20Result%202.001/Factory%20Result%202001%20Cooking%20Actu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Plan2"/>
      <sheetName val="Plan3"/>
      <sheetName val="Pasta2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.XLS"/>
      <sheetName val="BG1.XLS"/>
      <sheetName val="BG2.XLS"/>
      <sheetName val="BG2A.XLS"/>
      <sheetName val="BG3.XLS"/>
      <sheetName val="BG3TEXT.XLS"/>
      <sheetName val="BG2B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ngabe"/>
      <sheetName val="Blatt 1"/>
      <sheetName val="Blatt 1 b_VL"/>
      <sheetName val="Blatt 1 c_VL"/>
      <sheetName val="1c BR"/>
      <sheetName val="1c PE"/>
      <sheetName val="1c ME"/>
      <sheetName val="Blatt 2_VL"/>
      <sheetName val="Blatt 2a_VL"/>
      <sheetName val="Blatt 2b_VL"/>
      <sheetName val="2b BR"/>
      <sheetName val="2b PE"/>
      <sheetName val="2b ME"/>
      <sheetName val="Blatt 3_VL"/>
      <sheetName val="Blatt 3 Anh._VL"/>
    </sheetNames>
    <sheetDataSet>
      <sheetData sheetId="0" refreshError="1">
        <row r="7">
          <cell r="B7">
            <v>2001</v>
          </cell>
        </row>
        <row r="10">
          <cell r="B10" t="str">
            <v>Planning &amp; Control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Input"/>
      <sheetName val="O-Sheet"/>
      <sheetName val="Main_Assumptions"/>
      <sheetName val="Kick_Off_Asset_Input"/>
      <sheetName val="TG_Input P&amp;L_assumptions"/>
      <sheetName val="TG_Input_P&amp;L"/>
      <sheetName val="TG_Input_Balance"/>
      <sheetName val="TG_Input_Balance_equ&amp;liab."/>
      <sheetName val="TG_Input_FixAss. movement_curr."/>
      <sheetName val="TG_Balance_assets"/>
      <sheetName val="TG_DCF"/>
      <sheetName val="TG_GWB"/>
      <sheetName val="TG_CF"/>
      <sheetName val="GD-Schreiben-Zahlen"/>
      <sheetName val="GD_Chart1"/>
      <sheetName val="GD_Chart2"/>
      <sheetName val="TG_Benchmarks"/>
      <sheetName val="KIS_Input_Absumsako 1"/>
      <sheetName val="KIS_Input_kosten"/>
      <sheetName val="KIS_Input_abgrenzung"/>
      <sheetName val="KIS_Input_umbewertung"/>
      <sheetName val="KIS_Input_kundendienst"/>
      <sheetName val="KIS_Input_kd-ges-erg"/>
      <sheetName val="KIS_CHECK_P&amp;L "/>
      <sheetName val="KIS_CHECK_P&amp;L Siemens"/>
      <sheetName val="KIS_CHECK_P&amp;L Bosch"/>
      <sheetName val="KIS_CHECK_P&amp;LGaggenau"/>
      <sheetName val="KIS_CHECK_P&amp;LProfilo"/>
      <sheetName val="KIS_CHECK_P&amp;L Sonstiges 998"/>
      <sheetName val="KIS_CHECK_Sonstiges 997"/>
      <sheetName val="KIS_CHECK_Otherpeg_Tr"/>
      <sheetName val="KIS_CHECK_Finpeg_Tr"/>
      <sheetName val="KIS_Input_wirtschaftsdaten"/>
      <sheetName val="KIS_Input_Mitarbeiterdaten"/>
      <sheetName val="KIS_Input_KD-Daten"/>
      <sheetName val="KIS_Input_Log_Sales"/>
      <sheetName val="KIS-CHECK Fabrikerg.rechng.(GS)"/>
      <sheetName val="KIS-CHECK Fabrikerg.rechng.(1)"/>
      <sheetName val="KIS-Input-Werkerg.(1.1)"/>
      <sheetName val="KIS-Input-Werkerg. (1.2)"/>
      <sheetName val="KIS-Input-Werkerg. (1.3)"/>
      <sheetName val="KIS-Input-Werkerg. (1.4)"/>
      <sheetName val="KIS-Input-Werkerg. (1.5)"/>
      <sheetName val="KIS-Input-Werkerg. (1.6)"/>
      <sheetName val="KIS-Input-Werkerg. (1.7)"/>
      <sheetName val="KIS-Input-Werkerg. (1.8)"/>
      <sheetName val="KIS-Input-Werkerg. (1.9)"/>
      <sheetName val="KIS-Input-Werkerg. (1.10)"/>
      <sheetName val="KIS-CHECK Fabrikerg.rechng(PK)"/>
      <sheetName val="KIS-Input-Werkerg.(p.k) "/>
      <sheetName val="KIS-CHECK Fabrikerg.rechng.(PH)"/>
      <sheetName val="KIS-Input-Werkerg.(p.h)  "/>
      <sheetName val="KIS-CHECK Fabrikerg.rechng.(2)"/>
      <sheetName val="KIS-Input-Werkerg.(2.1)"/>
      <sheetName val="KIS-Input-Werkerg.(2.2)"/>
      <sheetName val="KIS-Input-Werkerg.(2.3)"/>
      <sheetName val="KIS-Input-Werkerg.(2.4) "/>
      <sheetName val="KIS-Input-Werkerg.(2.5) "/>
      <sheetName val="KIS-Input-Werkerg.(2.6)  "/>
      <sheetName val="KIS-Input-Werkerg.(2.7)  "/>
      <sheetName val="KIS-Input-Werkerg.(2.8) "/>
      <sheetName val="KIS-Input-Werkerg.(2.9)"/>
      <sheetName val="KIS-Input-Werkerg.(2.10)"/>
      <sheetName val="KIS-CHECK Fabrikerg.rechng.(3)"/>
      <sheetName val="KIS-Input-Werkerg.(3.1)"/>
      <sheetName val="KIS-Input-Werkerg.(3.2)"/>
      <sheetName val="KIS-Input-Werkerg.(3.3)"/>
      <sheetName val="KIS-Input-Werkerg.(3.4)"/>
      <sheetName val="KIS-Input-Werkerg.(3.5)"/>
      <sheetName val="KIS-Input-Werkerg.(3.6)"/>
      <sheetName val="KIS-Input-Werkerg.(3.7)"/>
      <sheetName val="KIS-Input-Werkerg.(3.8)"/>
      <sheetName val="KIS-Input-Werkerg.(3.9)"/>
      <sheetName val="KIS-Input-Werkerg.(3.10)"/>
      <sheetName val="KIS_Input_Werkskennzahlen"/>
      <sheetName val="KIS_Input_WerkWirtschaftsdaten"/>
      <sheetName val="Translation"/>
      <sheetName val="BACKUP_TG_Sensistivity"/>
      <sheetName val="BACKUP_Input_GmbH_region"/>
      <sheetName val="BACKUP_Total_DCF_GmbH+TG"/>
    </sheetNames>
    <sheetDataSet>
      <sheetData sheetId="0" refreshError="1"/>
      <sheetData sheetId="1" refreshError="1">
        <row r="50">
          <cell r="F50" t="str">
            <v>Siemens</v>
          </cell>
        </row>
        <row r="52">
          <cell r="F52" t="str">
            <v xml:space="preserve"> </v>
          </cell>
        </row>
        <row r="54">
          <cell r="F54" t="str">
            <v xml:space="preserve"> </v>
          </cell>
        </row>
        <row r="56">
          <cell r="F56" t="str">
            <v xml:space="preserve"> </v>
          </cell>
        </row>
        <row r="58">
          <cell r="F58" t="str">
            <v>Others</v>
          </cell>
        </row>
        <row r="60">
          <cell r="F60" t="str">
            <v xml:space="preserve"> </v>
          </cell>
        </row>
        <row r="62">
          <cell r="F62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ef_Encargos"/>
      <sheetName val="Apres"/>
      <sheetName val="Segurança e Vigilância Fcst Abr"/>
      <sheetName val="Insumos Higiênicos"/>
      <sheetName val="Memórias de Cáculo"/>
      <sheetName val="Resumo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Total Fcst"/>
      <sheetName val="Total 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_Eingabewerte"/>
      <sheetName val="Ausdruck"/>
    </sheetNames>
    <sheetDataSet>
      <sheetData sheetId="0" refreshError="1">
        <row r="1">
          <cell r="A1" t="str">
            <v>FEK</v>
          </cell>
          <cell r="J1" t="str">
            <v>FAK</v>
          </cell>
          <cell r="S1" t="str">
            <v>FGK</v>
          </cell>
          <cell r="AK1" t="str">
            <v>FCK</v>
          </cell>
        </row>
        <row r="2">
          <cell r="B2" t="str">
            <v>Ist 1999</v>
          </cell>
          <cell r="C2" t="str">
            <v>V-Ist 2000</v>
          </cell>
          <cell r="D2" t="str">
            <v>Plan 2001</v>
          </cell>
          <cell r="E2" t="str">
            <v>Plan 2002</v>
          </cell>
          <cell r="F2" t="str">
            <v>Plan 2003</v>
          </cell>
          <cell r="G2" t="str">
            <v>Plan 2004</v>
          </cell>
          <cell r="K2" t="str">
            <v>Ist 1999</v>
          </cell>
          <cell r="L2" t="str">
            <v>V-Ist 2000</v>
          </cell>
          <cell r="M2" t="str">
            <v>Plan 2001</v>
          </cell>
          <cell r="N2" t="str">
            <v>Plan 2002</v>
          </cell>
          <cell r="O2" t="str">
            <v>Plan 2003</v>
          </cell>
          <cell r="P2" t="str">
            <v>Plan 2004</v>
          </cell>
          <cell r="T2" t="str">
            <v>Ist 1999</v>
          </cell>
          <cell r="U2" t="str">
            <v>V-Ist 2000</v>
          </cell>
          <cell r="V2" t="str">
            <v>Plan 2001</v>
          </cell>
          <cell r="W2" t="str">
            <v>Plan 2002</v>
          </cell>
          <cell r="X2" t="str">
            <v>Plan 2003</v>
          </cell>
          <cell r="Y2" t="str">
            <v>Plan 2004</v>
          </cell>
          <cell r="AL2" t="str">
            <v>Ist 1999</v>
          </cell>
          <cell r="AM2" t="str">
            <v>V-Ist 2000</v>
          </cell>
          <cell r="AN2" t="str">
            <v>Plan 2001</v>
          </cell>
          <cell r="AO2" t="str">
            <v>Plan 2002</v>
          </cell>
          <cell r="AP2" t="str">
            <v>Plan 2003</v>
          </cell>
          <cell r="AQ2" t="str">
            <v>Plan 2004</v>
          </cell>
        </row>
        <row r="3">
          <cell r="A3" t="str">
            <v>Produktion</v>
          </cell>
          <cell r="J3" t="str">
            <v>Produktion</v>
          </cell>
          <cell r="S3" t="str">
            <v>Produktion</v>
          </cell>
          <cell r="AK3" t="str">
            <v>Produktion</v>
          </cell>
        </row>
        <row r="4">
          <cell r="A4" t="str">
            <v>Kapazität</v>
          </cell>
          <cell r="B4">
            <v>870</v>
          </cell>
          <cell r="C4">
            <v>870</v>
          </cell>
          <cell r="D4">
            <v>870</v>
          </cell>
          <cell r="E4">
            <v>870</v>
          </cell>
          <cell r="F4">
            <v>870</v>
          </cell>
          <cell r="G4">
            <v>870</v>
          </cell>
          <cell r="J4" t="str">
            <v>Kapazität</v>
          </cell>
          <cell r="K4">
            <v>300</v>
          </cell>
          <cell r="L4">
            <v>370</v>
          </cell>
          <cell r="M4">
            <v>370</v>
          </cell>
          <cell r="N4">
            <v>370</v>
          </cell>
          <cell r="O4">
            <v>370</v>
          </cell>
          <cell r="P4">
            <v>370</v>
          </cell>
          <cell r="S4" t="str">
            <v>Kapazität</v>
          </cell>
          <cell r="T4">
            <v>2100</v>
          </cell>
          <cell r="U4">
            <v>2200</v>
          </cell>
          <cell r="V4">
            <v>2300</v>
          </cell>
          <cell r="W4">
            <v>2450</v>
          </cell>
          <cell r="X4">
            <v>2450</v>
          </cell>
          <cell r="Y4">
            <v>2450</v>
          </cell>
          <cell r="AK4" t="str">
            <v>Kapazität</v>
          </cell>
        </row>
        <row r="5">
          <cell r="A5" t="str">
            <v>Auslastung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J5" t="str">
            <v>Auslastung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S5" t="str">
            <v>Auslastung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AK5" t="str">
            <v>Auslastung</v>
          </cell>
          <cell r="AL5" t="e">
            <v>#DIV/0!</v>
          </cell>
          <cell r="AM5" t="e">
            <v>#DIV/0!</v>
          </cell>
          <cell r="AN5" t="e">
            <v>#DIV/0!</v>
          </cell>
          <cell r="AO5" t="e">
            <v>#DIV/0!</v>
          </cell>
          <cell r="AP5" t="e">
            <v>#DIV/0!</v>
          </cell>
          <cell r="AQ5" t="e">
            <v>#DIV/0!</v>
          </cell>
        </row>
      </sheetData>
      <sheetData sheetId="1" refreshError="1">
        <row r="3">
          <cell r="AA3" t="str">
            <v>A.6 Kapazitäten und Auslastung</v>
          </cell>
          <cell r="AT3" t="str">
            <v>Produktbereich  Kälte</v>
          </cell>
        </row>
        <row r="9">
          <cell r="AA9" t="str">
            <v>Kapazitäten und Auslastung</v>
          </cell>
          <cell r="AK9" t="str">
            <v>Konsequenzen / Maßnahmen</v>
          </cell>
        </row>
        <row r="13">
          <cell r="AK13" t="str">
            <v>·</v>
          </cell>
        </row>
        <row r="14">
          <cell r="AK14" t="str">
            <v>·</v>
          </cell>
        </row>
        <row r="15">
          <cell r="AK15" t="str">
            <v>·</v>
          </cell>
        </row>
        <row r="16">
          <cell r="AK16" t="str">
            <v>·</v>
          </cell>
        </row>
        <row r="17">
          <cell r="AK17" t="str">
            <v>·</v>
          </cell>
        </row>
        <row r="19">
          <cell r="AL19" t="str">
            <v>Produktionsstückzahlen</v>
          </cell>
        </row>
        <row r="20">
          <cell r="AL20" t="str">
            <v>Ist 1999</v>
          </cell>
          <cell r="AM20" t="str">
            <v>V-Ist 
09/2000</v>
          </cell>
          <cell r="AN20" t="str">
            <v>Plan 2001</v>
          </cell>
          <cell r="AO20" t="str">
            <v>Plan 2002</v>
          </cell>
          <cell r="AP20" t="str">
            <v>Plan 2003</v>
          </cell>
          <cell r="AQ20" t="str">
            <v>Plan 2004</v>
          </cell>
          <cell r="AR20" t="str">
            <v>Plan 2005</v>
          </cell>
        </row>
        <row r="21"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9">
          <cell r="AK29" t="str">
            <v>·</v>
          </cell>
        </row>
        <row r="30">
          <cell r="AK30" t="str">
            <v>·</v>
          </cell>
        </row>
        <row r="31">
          <cell r="AK31" t="str">
            <v>·</v>
          </cell>
        </row>
        <row r="32">
          <cell r="AK32" t="str">
            <v>·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"/>
      <sheetName val="Projektkennzahlen"/>
      <sheetName val="Struktur-EU"/>
      <sheetName val="Markterfolg"/>
      <sheetName val="Markterfolg-alt (E)"/>
      <sheetName val="Fertigungsverbund"/>
      <sheetName val="Free Cash Flow"/>
      <sheetName val="Erläut. 00"/>
      <sheetName val="Erläut 00-01"/>
      <sheetName val=" Umsatz-UE-BE"/>
      <sheetName val=" Veränderung BE UE "/>
      <sheetName val="Überleitung UE "/>
      <sheetName val=" Fertigung und Bezug"/>
      <sheetName val=" Mitarbeiter"/>
      <sheetName val=" Mitarbeiter real"/>
      <sheetName val="Produktivität"/>
      <sheetName val=" Einkauf"/>
      <sheetName val=" Kennzahlen Fab."/>
      <sheetName val="Kennzahlen Fab. (2)"/>
      <sheetName val=" Kostenstruktur Fab."/>
      <sheetName val="Kostenstruktur Fab. (2)"/>
      <sheetName val="Kostenstruktur Fab. (3)"/>
      <sheetName val="ABGR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E3" t="str">
            <v>Kurs Ist '94:</v>
          </cell>
          <cell r="G3">
            <v>1.2112E-2</v>
          </cell>
          <cell r="J3" t="str">
            <v>Kurs V-Ist 95:</v>
          </cell>
          <cell r="L3">
            <v>1.1364000000000001E-2</v>
          </cell>
        </row>
        <row r="4">
          <cell r="E4" t="str">
            <v>KursPlan 95:</v>
          </cell>
          <cell r="G4">
            <v>1.2200000000000001E-2</v>
          </cell>
          <cell r="J4" t="str">
            <v>Kurs Plan 96:</v>
          </cell>
          <cell r="L4">
            <v>1.1364000000000001E-2</v>
          </cell>
        </row>
        <row r="8">
          <cell r="E8" t="str">
            <v>(en Mio. Pts.)</v>
          </cell>
          <cell r="G8" t="str">
            <v>E S T R U C T U R A     D E    C O S T E S</v>
          </cell>
        </row>
        <row r="10">
          <cell r="G10" t="str">
            <v>1 9 9 4</v>
          </cell>
          <cell r="J10" t="str">
            <v>1 9 9 5</v>
          </cell>
          <cell r="Q10" t="str">
            <v>1 9 9 6</v>
          </cell>
        </row>
        <row r="11">
          <cell r="G11" t="str">
            <v>Real</v>
          </cell>
          <cell r="H11" t="str">
            <v>% v.</v>
          </cell>
          <cell r="J11" t="str">
            <v>PTO</v>
          </cell>
          <cell r="K11" t="str">
            <v>% v.</v>
          </cell>
          <cell r="L11" t="str">
            <v>P-Real</v>
          </cell>
          <cell r="M11" t="str">
            <v>% v.</v>
          </cell>
          <cell r="N11" t="str">
            <v>Real</v>
          </cell>
          <cell r="O11" t="str">
            <v>% v.</v>
          </cell>
          <cell r="Q11" t="str">
            <v>PTO</v>
          </cell>
          <cell r="R11" t="str">
            <v>% v.</v>
          </cell>
        </row>
        <row r="12">
          <cell r="H12" t="str">
            <v>C.Total</v>
          </cell>
          <cell r="J12">
            <v>34639</v>
          </cell>
          <cell r="K12" t="str">
            <v>C.Total</v>
          </cell>
          <cell r="L12">
            <v>35004</v>
          </cell>
          <cell r="M12" t="str">
            <v>C.Total</v>
          </cell>
          <cell r="O12" t="str">
            <v>C.Total</v>
          </cell>
          <cell r="Q12">
            <v>35004</v>
          </cell>
          <cell r="R12" t="str">
            <v>C.Total</v>
          </cell>
        </row>
        <row r="14">
          <cell r="E14" t="str">
            <v>Costes de materiales</v>
          </cell>
          <cell r="G14">
            <v>9121.9</v>
          </cell>
          <cell r="H14">
            <v>0.60749891778495557</v>
          </cell>
          <cell r="J14">
            <v>10455.9</v>
          </cell>
          <cell r="K14">
            <v>0.64229375268751154</v>
          </cell>
          <cell r="L14">
            <v>12865.2</v>
          </cell>
          <cell r="M14">
            <v>0.66914242915990507</v>
          </cell>
          <cell r="Q14">
            <v>15182.3</v>
          </cell>
          <cell r="R14">
            <v>0.68168878751414363</v>
          </cell>
        </row>
        <row r="16">
          <cell r="E16" t="str">
            <v>MOD</v>
          </cell>
          <cell r="G16">
            <v>1491.3</v>
          </cell>
          <cell r="H16">
            <v>9.9317372048882815E-2</v>
          </cell>
          <cell r="J16">
            <v>1684.8</v>
          </cell>
          <cell r="K16">
            <v>0.10349530069414582</v>
          </cell>
          <cell r="L16">
            <v>1813.8</v>
          </cell>
          <cell r="M16">
            <v>9.4339033828485824E-2</v>
          </cell>
          <cell r="Q16">
            <v>2171</v>
          </cell>
          <cell r="R16">
            <v>9.7478402988559421E-2</v>
          </cell>
        </row>
        <row r="17">
          <cell r="E17" t="str">
            <v>Costes Grales Personal</v>
          </cell>
          <cell r="G17">
            <v>1315.5</v>
          </cell>
          <cell r="H17">
            <v>8.7609470214112084E-2</v>
          </cell>
          <cell r="J17">
            <v>1320.6</v>
          </cell>
          <cell r="K17">
            <v>8.1122919098224708E-2</v>
          </cell>
          <cell r="L17">
            <v>1486.6</v>
          </cell>
          <cell r="M17">
            <v>7.7320767278325625E-2</v>
          </cell>
          <cell r="Q17">
            <v>1580.8</v>
          </cell>
          <cell r="R17">
            <v>7.0978286247957045E-2</v>
          </cell>
        </row>
        <row r="18">
          <cell r="E18" t="str">
            <v>Costes de Personal</v>
          </cell>
          <cell r="G18">
            <v>2806.8</v>
          </cell>
          <cell r="H18">
            <v>0.18692684226299491</v>
          </cell>
          <cell r="J18">
            <v>3005.3999999999996</v>
          </cell>
          <cell r="K18">
            <v>0.1846182197923705</v>
          </cell>
          <cell r="L18">
            <v>3300.3999999999996</v>
          </cell>
          <cell r="M18">
            <v>0.17165980110681145</v>
          </cell>
          <cell r="Q18">
            <v>3751.8</v>
          </cell>
          <cell r="R18">
            <v>0.16845668923651647</v>
          </cell>
        </row>
        <row r="20">
          <cell r="E20" t="str">
            <v>C. por material y servicio</v>
          </cell>
          <cell r="G20">
            <v>1605.9</v>
          </cell>
          <cell r="H20">
            <v>0.10694948553161733</v>
          </cell>
          <cell r="J20">
            <v>1529.4</v>
          </cell>
          <cell r="K20">
            <v>9.3949259782541927E-2</v>
          </cell>
          <cell r="L20">
            <v>1768.8</v>
          </cell>
          <cell r="M20">
            <v>9.1998502059667947E-2</v>
          </cell>
          <cell r="Q20">
            <v>1810.2</v>
          </cell>
          <cell r="R20">
            <v>8.1278399396540899E-2</v>
          </cell>
        </row>
        <row r="21">
          <cell r="E21" t="str">
            <v>Costes calculados</v>
          </cell>
          <cell r="G21">
            <v>1480.9</v>
          </cell>
          <cell r="H21">
            <v>9.8624754420432226E-2</v>
          </cell>
          <cell r="J21">
            <v>1288.3</v>
          </cell>
          <cell r="K21">
            <v>7.9138767737576013E-2</v>
          </cell>
          <cell r="L21">
            <v>1292</v>
          </cell>
          <cell r="M21">
            <v>6.7199267673615434E-2</v>
          </cell>
          <cell r="Q21">
            <v>1527.3</v>
          </cell>
          <cell r="R21">
            <v>6.8576123852799084E-2</v>
          </cell>
        </row>
        <row r="23">
          <cell r="E23" t="str">
            <v>Costes total</v>
          </cell>
          <cell r="G23">
            <v>15015.5</v>
          </cell>
          <cell r="H23">
            <v>1</v>
          </cell>
          <cell r="J23">
            <v>16279</v>
          </cell>
          <cell r="K23">
            <v>1</v>
          </cell>
          <cell r="L23">
            <v>19226.400000000001</v>
          </cell>
          <cell r="M23">
            <v>1</v>
          </cell>
          <cell r="Q23">
            <v>22271.599999999999</v>
          </cell>
          <cell r="R23">
            <v>1</v>
          </cell>
        </row>
        <row r="24">
          <cell r="E24" t="str">
            <v>(in DM)</v>
          </cell>
          <cell r="G24" t="str">
            <v xml:space="preserve"> K O S T E N S T R U K T U R -  P R I M Ä R </v>
          </cell>
        </row>
        <row r="26">
          <cell r="E26" t="str">
            <v xml:space="preserve"> K O S T E N S T R U K T U R </v>
          </cell>
          <cell r="G26" t="str">
            <v>1 9 9 8</v>
          </cell>
          <cell r="J26" t="str">
            <v>1 9 9 9</v>
          </cell>
          <cell r="Q26" t="str">
            <v>2 0 0 0</v>
          </cell>
        </row>
        <row r="27">
          <cell r="G27" t="str">
            <v>IST</v>
          </cell>
          <cell r="H27" t="str">
            <v>% v.</v>
          </cell>
          <cell r="J27" t="str">
            <v>W-PLAN</v>
          </cell>
          <cell r="K27" t="str">
            <v>% v.</v>
          </cell>
          <cell r="L27" t="str">
            <v>V-IST</v>
          </cell>
          <cell r="M27" t="str">
            <v>% v.</v>
          </cell>
          <cell r="N27" t="str">
            <v>IST</v>
          </cell>
          <cell r="O27" t="str">
            <v>% v.</v>
          </cell>
          <cell r="Q27" t="str">
            <v>W-PLAN</v>
          </cell>
          <cell r="R27" t="str">
            <v>% v.</v>
          </cell>
        </row>
        <row r="28">
          <cell r="H28" t="str">
            <v>GesKo</v>
          </cell>
          <cell r="J28">
            <v>36100</v>
          </cell>
          <cell r="K28" t="str">
            <v>GesKo</v>
          </cell>
          <cell r="L28">
            <v>36465</v>
          </cell>
          <cell r="M28" t="str">
            <v>GesKo</v>
          </cell>
          <cell r="O28" t="str">
            <v>GesKo</v>
          </cell>
          <cell r="Q28">
            <v>36465</v>
          </cell>
          <cell r="R28" t="str">
            <v>GesKo</v>
          </cell>
        </row>
        <row r="29">
          <cell r="E29" t="str">
            <v>FDG</v>
          </cell>
        </row>
        <row r="30">
          <cell r="E30" t="str">
            <v>Materialeinzelkosten</v>
          </cell>
          <cell r="G30">
            <v>6185.34</v>
          </cell>
          <cell r="H30">
            <v>0.65552807116831258</v>
          </cell>
          <cell r="J30">
            <v>6192.32</v>
          </cell>
          <cell r="K30">
            <v>0.64677153182511327</v>
          </cell>
          <cell r="L30">
            <v>5597</v>
          </cell>
          <cell r="M30">
            <v>0.6318582072702642</v>
          </cell>
          <cell r="O30" t="e">
            <v>#DIV/0!</v>
          </cell>
          <cell r="Q30">
            <v>5900</v>
          </cell>
          <cell r="R30">
            <v>0.64828040874629167</v>
          </cell>
        </row>
        <row r="32">
          <cell r="E32" t="str">
            <v>Fertigungslöhne</v>
          </cell>
          <cell r="G32">
            <v>567.66</v>
          </cell>
          <cell r="H32">
            <v>6.0161133402432898E-2</v>
          </cell>
          <cell r="J32">
            <v>577.88</v>
          </cell>
          <cell r="K32">
            <v>6.0358045580831812E-2</v>
          </cell>
          <cell r="L32">
            <v>549</v>
          </cell>
          <cell r="M32">
            <v>6.1977873109053963E-2</v>
          </cell>
          <cell r="O32" t="e">
            <v>#DIV/0!</v>
          </cell>
          <cell r="Q32">
            <v>581</v>
          </cell>
          <cell r="R32">
            <v>6.3839138556202615E-2</v>
          </cell>
        </row>
        <row r="33">
          <cell r="E33" t="str">
            <v>Personalgemeinkosten</v>
          </cell>
          <cell r="G33">
            <v>1449.57</v>
          </cell>
          <cell r="H33">
            <v>0.15362677332587227</v>
          </cell>
          <cell r="J33">
            <v>1500</v>
          </cell>
          <cell r="K33">
            <v>0.15667105345616342</v>
          </cell>
          <cell r="L33">
            <v>1508</v>
          </cell>
          <cell r="M33">
            <v>0.1702415895235945</v>
          </cell>
          <cell r="O33" t="e">
            <v>#DIV/0!</v>
          </cell>
          <cell r="Q33">
            <v>1515</v>
          </cell>
          <cell r="R33">
            <v>0.16646522360180199</v>
          </cell>
        </row>
        <row r="34">
          <cell r="E34" t="str">
            <v>Personalkosten</v>
          </cell>
          <cell r="G34">
            <v>2017.23</v>
          </cell>
          <cell r="H34">
            <v>0.21378790672830517</v>
          </cell>
          <cell r="J34">
            <v>2077.88</v>
          </cell>
          <cell r="K34">
            <v>0.21702909903699524</v>
          </cell>
          <cell r="L34">
            <v>2057</v>
          </cell>
          <cell r="M34">
            <v>0.23221946263264845</v>
          </cell>
          <cell r="N34">
            <v>0</v>
          </cell>
          <cell r="O34" t="e">
            <v>#DIV/0!</v>
          </cell>
          <cell r="Q34">
            <v>2096</v>
          </cell>
          <cell r="R34">
            <v>0.23030436215800462</v>
          </cell>
        </row>
        <row r="36">
          <cell r="E36" t="str">
            <v>Sach- u. Dienstleistungskosten</v>
          </cell>
          <cell r="G36">
            <v>818.6</v>
          </cell>
          <cell r="H36">
            <v>8.6755987392508851E-2</v>
          </cell>
          <cell r="J36">
            <v>865</v>
          </cell>
          <cell r="K36">
            <v>9.0346974159720914E-2</v>
          </cell>
          <cell r="L36">
            <v>764</v>
          </cell>
          <cell r="M36">
            <v>8.6249717769248141E-2</v>
          </cell>
          <cell r="O36" t="e">
            <v>#DIV/0!</v>
          </cell>
          <cell r="Q36">
            <v>655</v>
          </cell>
          <cell r="R36">
            <v>7.1970113174376446E-2</v>
          </cell>
          <cell r="W36" t="str">
            <v>FEG in LW</v>
          </cell>
          <cell r="Z36" t="str">
            <v>Kurs</v>
          </cell>
          <cell r="AB36">
            <v>1.175477504116933</v>
          </cell>
        </row>
        <row r="37">
          <cell r="E37" t="str">
            <v>Kalk.Kosten</v>
          </cell>
          <cell r="G37">
            <v>414.49</v>
          </cell>
          <cell r="H37">
            <v>4.3928034710873434E-2</v>
          </cell>
          <cell r="J37">
            <v>439</v>
          </cell>
          <cell r="K37">
            <v>4.5852394978170494E-2</v>
          </cell>
          <cell r="L37">
            <v>440</v>
          </cell>
          <cell r="M37">
            <v>4.967261232783924E-2</v>
          </cell>
          <cell r="O37" t="e">
            <v>#DIV/0!</v>
          </cell>
          <cell r="Q37">
            <v>450</v>
          </cell>
          <cell r="R37">
            <v>4.9445115921327325E-2</v>
          </cell>
        </row>
        <row r="38">
          <cell r="W38" t="str">
            <v>1 9 9 8</v>
          </cell>
          <cell r="Z38" t="str">
            <v>1 9 9 9</v>
          </cell>
          <cell r="AG38" t="str">
            <v>2 0 0 0</v>
          </cell>
        </row>
        <row r="39">
          <cell r="E39" t="str">
            <v>Gesamtkosten</v>
          </cell>
          <cell r="G39">
            <v>9435.66</v>
          </cell>
          <cell r="H39">
            <v>1</v>
          </cell>
          <cell r="J39">
            <v>9574.2000000000007</v>
          </cell>
          <cell r="K39">
            <v>1</v>
          </cell>
          <cell r="L39">
            <v>8858</v>
          </cell>
          <cell r="M39">
            <v>1</v>
          </cell>
          <cell r="N39">
            <v>0</v>
          </cell>
          <cell r="O39" t="e">
            <v>#DIV/0!</v>
          </cell>
          <cell r="Q39">
            <v>9101</v>
          </cell>
          <cell r="R39">
            <v>1</v>
          </cell>
          <cell r="W39" t="str">
            <v>IST</v>
          </cell>
          <cell r="X39" t="str">
            <v>% v.</v>
          </cell>
          <cell r="Z39" t="str">
            <v>W-PLAN</v>
          </cell>
          <cell r="AA39" t="str">
            <v>% v.</v>
          </cell>
          <cell r="AB39" t="str">
            <v>V-IST</v>
          </cell>
          <cell r="AC39" t="str">
            <v>% v.</v>
          </cell>
          <cell r="AD39" t="str">
            <v>IST</v>
          </cell>
          <cell r="AE39" t="str">
            <v>% v.</v>
          </cell>
          <cell r="AG39" t="str">
            <v>W-PLAN</v>
          </cell>
          <cell r="AH39" t="str">
            <v>% v.</v>
          </cell>
        </row>
        <row r="40">
          <cell r="X40" t="str">
            <v>GesKo</v>
          </cell>
          <cell r="Z40">
            <v>36100</v>
          </cell>
          <cell r="AA40" t="str">
            <v>GesKo</v>
          </cell>
          <cell r="AB40">
            <v>36465</v>
          </cell>
          <cell r="AC40" t="str">
            <v>GesKo</v>
          </cell>
          <cell r="AE40" t="str">
            <v>GesKo</v>
          </cell>
          <cell r="AG40">
            <v>36465</v>
          </cell>
          <cell r="AH40" t="str">
            <v>GesKo</v>
          </cell>
        </row>
        <row r="41">
          <cell r="E41" t="str">
            <v>FEG</v>
          </cell>
        </row>
        <row r="42">
          <cell r="E42" t="str">
            <v>Materialeinzelkosten</v>
          </cell>
          <cell r="G42">
            <v>136.05687320000001</v>
          </cell>
          <cell r="H42">
            <v>0.62365389540719207</v>
          </cell>
          <cell r="J42">
            <v>138.62342809989633</v>
          </cell>
          <cell r="K42">
            <v>0.63310044090762452</v>
          </cell>
          <cell r="L42">
            <v>112.27009151370909</v>
          </cell>
          <cell r="M42">
            <v>0.58985896773970425</v>
          </cell>
          <cell r="O42" t="e">
            <v>#DIV/0!</v>
          </cell>
          <cell r="Q42">
            <v>111.96646567439569</v>
          </cell>
          <cell r="R42">
            <v>0.64984782607212521</v>
          </cell>
          <cell r="X42">
            <v>0</v>
          </cell>
          <cell r="AA42">
            <v>0</v>
          </cell>
          <cell r="AB42">
            <v>955102</v>
          </cell>
          <cell r="AC42">
            <v>107.82366222623617</v>
          </cell>
          <cell r="AE42" t="e">
            <v>#DIV/0!</v>
          </cell>
          <cell r="AG42">
            <v>952519</v>
          </cell>
          <cell r="AH42">
            <v>104.66091638281507</v>
          </cell>
        </row>
        <row r="44">
          <cell r="E44" t="str">
            <v>Fertigungslöhne</v>
          </cell>
          <cell r="G44">
            <v>31.15498384</v>
          </cell>
          <cell r="H44">
            <v>0.14303637559270413</v>
          </cell>
          <cell r="J44">
            <v>28.881350194305544</v>
          </cell>
          <cell r="K44">
            <v>0.13211097967523389</v>
          </cell>
          <cell r="L44">
            <v>28.881717371653863</v>
          </cell>
          <cell r="M44">
            <v>0.15174246111052095</v>
          </cell>
          <cell r="O44" t="e">
            <v>#DIV/0!</v>
          </cell>
          <cell r="Q44">
            <v>25.110432895195512</v>
          </cell>
          <cell r="R44">
            <v>0.14573970992463281</v>
          </cell>
          <cell r="X44">
            <v>0</v>
          </cell>
          <cell r="AA44">
            <v>0</v>
          </cell>
          <cell r="AB44">
            <v>245702</v>
          </cell>
          <cell r="AC44">
            <v>27.737864077669904</v>
          </cell>
          <cell r="AE44" t="e">
            <v>#DIV/0!</v>
          </cell>
          <cell r="AG44">
            <v>213619</v>
          </cell>
          <cell r="AH44">
            <v>23.472036039995604</v>
          </cell>
        </row>
        <row r="45">
          <cell r="E45" t="str">
            <v>Personalgemeinkosten</v>
          </cell>
          <cell r="G45">
            <v>15.695281920000001</v>
          </cell>
          <cell r="H45">
            <v>7.2058976222614479E-2</v>
          </cell>
          <cell r="J45">
            <v>16.127477601378594</v>
          </cell>
          <cell r="K45">
            <v>7.3771373265942575E-2</v>
          </cell>
          <cell r="L45">
            <v>15.281207553520129</v>
          </cell>
          <cell r="M45">
            <v>8.0286362928945337E-2</v>
          </cell>
          <cell r="O45" t="e">
            <v>#DIV/0!</v>
          </cell>
          <cell r="Q45">
            <v>14.842166705732454</v>
          </cell>
          <cell r="R45">
            <v>8.6143201089948745E-2</v>
          </cell>
          <cell r="X45">
            <v>0</v>
          </cell>
          <cell r="AA45">
            <v>0</v>
          </cell>
          <cell r="AB45">
            <v>130000</v>
          </cell>
          <cell r="AC45">
            <v>14.675999096861593</v>
          </cell>
          <cell r="AE45" t="e">
            <v>#DIV/0!</v>
          </cell>
          <cell r="AG45">
            <v>126265</v>
          </cell>
          <cell r="AH45">
            <v>13.873750137347544</v>
          </cell>
        </row>
        <row r="46">
          <cell r="E46" t="str">
            <v>Personalkosten</v>
          </cell>
          <cell r="G46">
            <v>46.850265759999999</v>
          </cell>
          <cell r="H46">
            <v>0.21509535181531858</v>
          </cell>
          <cell r="J46">
            <v>45.008827795684141</v>
          </cell>
          <cell r="K46">
            <v>0.20588235294117649</v>
          </cell>
          <cell r="L46">
            <v>44.162924925173996</v>
          </cell>
          <cell r="M46">
            <v>0.23202882403946631</v>
          </cell>
          <cell r="N46">
            <v>0</v>
          </cell>
          <cell r="O46" t="e">
            <v>#DIV/0!</v>
          </cell>
          <cell r="Q46">
            <v>39.952599600927968</v>
          </cell>
          <cell r="R46">
            <v>0.23188291101458158</v>
          </cell>
          <cell r="X46">
            <v>0</v>
          </cell>
          <cell r="AA46">
            <v>0</v>
          </cell>
          <cell r="AB46">
            <v>375702</v>
          </cell>
          <cell r="AC46">
            <v>42.4138631745315</v>
          </cell>
          <cell r="AD46">
            <v>0</v>
          </cell>
          <cell r="AE46" t="e">
            <v>#DIV/0!</v>
          </cell>
          <cell r="AG46">
            <v>339884</v>
          </cell>
          <cell r="AH46">
            <v>37.34578617734315</v>
          </cell>
        </row>
        <row r="48">
          <cell r="E48" t="str">
            <v>Sach- u. Dienstleistungskosten</v>
          </cell>
          <cell r="G48">
            <v>17.947426719999999</v>
          </cell>
          <cell r="H48">
            <v>8.2398850932751871E-2</v>
          </cell>
          <cell r="J48">
            <v>18.842818217937236</v>
          </cell>
          <cell r="K48">
            <v>8.6192063662759444E-2</v>
          </cell>
          <cell r="L48">
            <v>17.561633911506977</v>
          </cell>
          <cell r="M48">
            <v>9.2267558627572549E-2</v>
          </cell>
          <cell r="O48" t="e">
            <v>#DIV/0!</v>
          </cell>
          <cell r="Q48">
            <v>13.973371282439629</v>
          </cell>
          <cell r="R48">
            <v>8.1100755445820835E-2</v>
          </cell>
          <cell r="X48">
            <v>0</v>
          </cell>
          <cell r="AA48">
            <v>0</v>
          </cell>
          <cell r="AB48">
            <v>149400</v>
          </cell>
          <cell r="AC48">
            <v>16.866109731316325</v>
          </cell>
          <cell r="AE48" t="e">
            <v>#DIV/0!</v>
          </cell>
          <cell r="AG48">
            <v>118874</v>
          </cell>
          <cell r="AH48">
            <v>13.061641577848588</v>
          </cell>
        </row>
        <row r="49">
          <cell r="E49" t="str">
            <v>Kalk.Kosten</v>
          </cell>
          <cell r="G49">
            <v>16.957048400000001</v>
          </cell>
          <cell r="H49">
            <v>7.7851901844737489E-2</v>
          </cell>
          <cell r="J49">
            <v>16.139232322662398</v>
          </cell>
          <cell r="K49">
            <v>7.3825142488439618E-2</v>
          </cell>
          <cell r="L49">
            <v>16.339137307225368</v>
          </cell>
          <cell r="M49">
            <v>8.5844649593256939E-2</v>
          </cell>
          <cell r="O49" t="e">
            <v>#DIV/0!</v>
          </cell>
          <cell r="Q49">
            <v>6.4040014424290508</v>
          </cell>
          <cell r="R49">
            <v>3.7168507467472439E-2</v>
          </cell>
          <cell r="X49">
            <v>0</v>
          </cell>
          <cell r="AA49">
            <v>0</v>
          </cell>
          <cell r="AB49">
            <v>139000</v>
          </cell>
          <cell r="AC49">
            <v>15.692029803567397</v>
          </cell>
          <cell r="AE49" t="e">
            <v>#DIV/0!</v>
          </cell>
          <cell r="AG49">
            <v>54480</v>
          </cell>
          <cell r="AH49">
            <v>5.986155367542028</v>
          </cell>
        </row>
        <row r="51">
          <cell r="E51" t="str">
            <v>Gesamtkosten</v>
          </cell>
          <cell r="G51">
            <v>217.81161408</v>
          </cell>
          <cell r="H51">
            <v>1</v>
          </cell>
          <cell r="J51">
            <v>218.6143064361801</v>
          </cell>
          <cell r="K51">
            <v>1</v>
          </cell>
          <cell r="L51">
            <v>190.33378765761543</v>
          </cell>
          <cell r="M51">
            <v>1</v>
          </cell>
          <cell r="N51">
            <v>0</v>
          </cell>
          <cell r="O51" t="e">
            <v>#DIV/0!</v>
          </cell>
          <cell r="Q51">
            <v>172.29643800019232</v>
          </cell>
          <cell r="R51">
            <v>1</v>
          </cell>
          <cell r="X51">
            <v>0</v>
          </cell>
          <cell r="AA51">
            <v>0</v>
          </cell>
          <cell r="AB51">
            <v>1619204</v>
          </cell>
          <cell r="AC51">
            <v>182.79566493565139</v>
          </cell>
          <cell r="AD51">
            <v>0</v>
          </cell>
          <cell r="AE51" t="e">
            <v>#DIV/0!</v>
          </cell>
          <cell r="AG51">
            <v>1465757</v>
          </cell>
          <cell r="AH51">
            <v>161.05449950554885</v>
          </cell>
        </row>
        <row r="53">
          <cell r="E53" t="str">
            <v>Programmbedingte Rundungsdifferenzen sind möglich.</v>
          </cell>
        </row>
      </sheetData>
      <sheetData sheetId="20" refreshError="1"/>
      <sheetData sheetId="21" refreshError="1"/>
      <sheetData sheetId="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 und UE-Bestand"/>
      <sheetName val=" Mitarbeiter"/>
      <sheetName val=" Kostenstruktur Fab."/>
      <sheetName val="Kostenstruktur Fab. (2)"/>
      <sheetName val="Kostenstruktur Fab. (3)"/>
      <sheetName val="ABGR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RESENTACION"/>
      <sheetName val="BASE DE DATOS"/>
      <sheetName val="Filtro"/>
    </sheetNames>
    <sheetDataSet>
      <sheetData sheetId="0">
        <row r="2">
          <cell r="A2" t="str">
            <v>RODAMIENTOS</v>
          </cell>
        </row>
        <row r="3">
          <cell r="A3" t="str">
            <v>RETENES</v>
          </cell>
        </row>
        <row r="4">
          <cell r="A4" t="str">
            <v>CRUCETAS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 Dez 00"/>
      <sheetName val="Resumo IVP"/>
      <sheetName val="Resumo Cta Estoque"/>
      <sheetName val="Production"/>
      <sheetName val="DO"/>
      <sheetName val="Resumo Indl HF"/>
      <sheetName val="Outras Contas"/>
      <sheetName val="FR Plant"/>
      <sheetName val="Factory Month"/>
      <sheetName val="Factory Year"/>
      <sheetName val="Check 2000"/>
      <sheetName val="Check BPlan"/>
      <sheetName val="Check Custos"/>
      <sheetName val="Calc"/>
      <sheetName val="A_A8"/>
      <sheetName val="A_A10 2000"/>
      <sheetName val="A_A10 BPlan"/>
      <sheetName val="A_A11"/>
      <sheetName val="A_A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220C-1063-4698-B5A5-5238F1419C88}">
  <dimension ref="A1:F44"/>
  <sheetViews>
    <sheetView zoomScale="120" zoomScaleNormal="120" workbookViewId="0">
      <selection activeCell="G20" sqref="G20"/>
    </sheetView>
  </sheetViews>
  <sheetFormatPr baseColWidth="10" defaultColWidth="11.42578125" defaultRowHeight="12.75" x14ac:dyDescent="0.2"/>
  <cols>
    <col min="1" max="16384" width="11.42578125" style="39"/>
  </cols>
  <sheetData>
    <row r="1" spans="1:5" x14ac:dyDescent="0.2">
      <c r="A1" s="38" t="s">
        <v>95</v>
      </c>
    </row>
    <row r="3" spans="1:5" x14ac:dyDescent="0.2">
      <c r="A3" s="38" t="s">
        <v>96</v>
      </c>
    </row>
    <row r="4" spans="1:5" x14ac:dyDescent="0.2">
      <c r="A4" s="39" t="s">
        <v>97</v>
      </c>
    </row>
    <row r="5" spans="1:5" x14ac:dyDescent="0.2">
      <c r="A5" s="39" t="s">
        <v>98</v>
      </c>
    </row>
    <row r="6" spans="1:5" x14ac:dyDescent="0.2">
      <c r="A6" s="39" t="s">
        <v>99</v>
      </c>
    </row>
    <row r="7" spans="1:5" x14ac:dyDescent="0.2">
      <c r="A7" s="39" t="s">
        <v>100</v>
      </c>
    </row>
    <row r="8" spans="1:5" x14ac:dyDescent="0.2">
      <c r="A8" s="39" t="s">
        <v>101</v>
      </c>
    </row>
    <row r="10" spans="1:5" x14ac:dyDescent="0.2">
      <c r="A10" s="38" t="s">
        <v>102</v>
      </c>
    </row>
    <row r="11" spans="1:5" x14ac:dyDescent="0.2">
      <c r="A11" s="39" t="s">
        <v>103</v>
      </c>
    </row>
    <row r="12" spans="1:5" x14ac:dyDescent="0.2">
      <c r="A12" s="39" t="s">
        <v>104</v>
      </c>
    </row>
    <row r="13" spans="1:5" x14ac:dyDescent="0.2">
      <c r="A13" s="39" t="s">
        <v>105</v>
      </c>
    </row>
    <row r="15" spans="1:5" ht="15" x14ac:dyDescent="0.2">
      <c r="A15" s="40"/>
      <c r="B15" s="40"/>
      <c r="C15" s="40"/>
      <c r="D15" s="40"/>
      <c r="E15" s="40"/>
    </row>
    <row r="16" spans="1:5" ht="15" x14ac:dyDescent="0.2">
      <c r="A16" s="40" t="s">
        <v>106</v>
      </c>
      <c r="B16" s="40"/>
      <c r="C16" s="40"/>
      <c r="D16" s="40"/>
      <c r="E16" s="40"/>
    </row>
    <row r="17" spans="1:5" ht="15" x14ac:dyDescent="0.2">
      <c r="A17" s="40"/>
      <c r="B17" s="40"/>
      <c r="C17" s="40"/>
      <c r="D17" s="40"/>
      <c r="E17" s="40"/>
    </row>
    <row r="18" spans="1:5" ht="15" x14ac:dyDescent="0.2">
      <c r="A18" s="40"/>
      <c r="B18" s="40"/>
      <c r="C18" s="40"/>
      <c r="D18" s="40"/>
      <c r="E18" s="40"/>
    </row>
    <row r="19" spans="1:5" ht="15" x14ac:dyDescent="0.2">
      <c r="A19" s="40" t="s">
        <v>107</v>
      </c>
      <c r="B19" s="40" t="s">
        <v>108</v>
      </c>
      <c r="C19" s="40"/>
      <c r="D19" s="40"/>
      <c r="E19" s="40"/>
    </row>
    <row r="20" spans="1:5" ht="15" x14ac:dyDescent="0.2">
      <c r="A20" s="40"/>
      <c r="B20" s="40" t="s">
        <v>109</v>
      </c>
      <c r="C20" s="40"/>
      <c r="D20" s="40"/>
      <c r="E20" s="40"/>
    </row>
    <row r="21" spans="1:5" ht="15" x14ac:dyDescent="0.2">
      <c r="A21" s="40"/>
      <c r="B21" s="40" t="s">
        <v>110</v>
      </c>
      <c r="C21" s="40"/>
      <c r="D21" s="40"/>
      <c r="E21" s="40"/>
    </row>
    <row r="22" spans="1:5" ht="15" x14ac:dyDescent="0.2">
      <c r="B22" s="40" t="s">
        <v>111</v>
      </c>
    </row>
    <row r="23" spans="1:5" ht="15" x14ac:dyDescent="0.2">
      <c r="B23" s="40"/>
    </row>
    <row r="24" spans="1:5" x14ac:dyDescent="0.2">
      <c r="A24" s="38" t="s">
        <v>112</v>
      </c>
    </row>
    <row r="25" spans="1:5" x14ac:dyDescent="0.2">
      <c r="A25" s="39" t="s">
        <v>113</v>
      </c>
    </row>
    <row r="26" spans="1:5" x14ac:dyDescent="0.2">
      <c r="A26" s="39" t="s">
        <v>114</v>
      </c>
    </row>
    <row r="28" spans="1:5" x14ac:dyDescent="0.2">
      <c r="A28" s="38" t="s">
        <v>115</v>
      </c>
    </row>
    <row r="29" spans="1:5" x14ac:dyDescent="0.2">
      <c r="A29" s="39" t="s">
        <v>116</v>
      </c>
    </row>
    <row r="30" spans="1:5" x14ac:dyDescent="0.2">
      <c r="A30" s="39" t="s">
        <v>117</v>
      </c>
    </row>
    <row r="31" spans="1:5" x14ac:dyDescent="0.2">
      <c r="B31" s="41" t="s">
        <v>118</v>
      </c>
      <c r="D31" s="39" t="s">
        <v>119</v>
      </c>
    </row>
    <row r="35" spans="1:6" x14ac:dyDescent="0.2">
      <c r="B35" s="39" t="s">
        <v>120</v>
      </c>
      <c r="D35" s="39" t="s">
        <v>121</v>
      </c>
      <c r="F35" s="39" t="s">
        <v>122</v>
      </c>
    </row>
    <row r="38" spans="1:6" x14ac:dyDescent="0.2">
      <c r="B38" s="39" t="s">
        <v>123</v>
      </c>
    </row>
    <row r="41" spans="1:6" x14ac:dyDescent="0.2">
      <c r="A41" s="39" t="s">
        <v>107</v>
      </c>
    </row>
    <row r="42" spans="1:6" x14ac:dyDescent="0.2">
      <c r="B42" s="39" t="s">
        <v>124</v>
      </c>
    </row>
    <row r="43" spans="1:6" x14ac:dyDescent="0.2">
      <c r="B43" s="39" t="s">
        <v>125</v>
      </c>
    </row>
    <row r="44" spans="1:6" x14ac:dyDescent="0.2">
      <c r="B44" s="39" t="s">
        <v>126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E40B-4C0B-400C-AB6B-7C21A0DBCB9B}">
  <dimension ref="A1:C12"/>
  <sheetViews>
    <sheetView zoomScale="130" zoomScaleNormal="130" workbookViewId="0">
      <selection activeCell="G20" sqref="G20"/>
    </sheetView>
  </sheetViews>
  <sheetFormatPr baseColWidth="10" defaultColWidth="11.5703125" defaultRowHeight="12.75" x14ac:dyDescent="0.2"/>
  <cols>
    <col min="1" max="1" width="11.5703125" style="39"/>
    <col min="2" max="2" width="35.140625" style="39" customWidth="1"/>
    <col min="3" max="3" width="38.28515625" style="39" customWidth="1"/>
    <col min="4" max="16384" width="11.5703125" style="39"/>
  </cols>
  <sheetData>
    <row r="1" spans="1:3" ht="20.25" x14ac:dyDescent="0.3">
      <c r="A1" s="55" t="s">
        <v>187</v>
      </c>
    </row>
    <row r="3" spans="1:3" ht="18" x14ac:dyDescent="0.25">
      <c r="A3" s="56" t="s">
        <v>188</v>
      </c>
    </row>
    <row r="4" spans="1:3" ht="13.5" thickBot="1" x14ac:dyDescent="0.25"/>
    <row r="5" spans="1:3" ht="13.5" thickBot="1" x14ac:dyDescent="0.25">
      <c r="A5" s="57"/>
      <c r="B5" s="58" t="s">
        <v>189</v>
      </c>
      <c r="C5" s="59" t="s">
        <v>190</v>
      </c>
    </row>
    <row r="6" spans="1:3" ht="39" thickBot="1" x14ac:dyDescent="0.25">
      <c r="A6" s="60" t="s">
        <v>29</v>
      </c>
      <c r="B6" s="61" t="s">
        <v>191</v>
      </c>
      <c r="C6" s="62" t="s">
        <v>192</v>
      </c>
    </row>
    <row r="7" spans="1:3" ht="25.5" x14ac:dyDescent="0.2">
      <c r="A7" s="63" t="s">
        <v>193</v>
      </c>
      <c r="B7" s="64" t="s">
        <v>194</v>
      </c>
      <c r="C7" s="65" t="s">
        <v>195</v>
      </c>
    </row>
    <row r="8" spans="1:3" ht="89.25" x14ac:dyDescent="0.2">
      <c r="A8" s="66"/>
      <c r="B8" s="67" t="s">
        <v>196</v>
      </c>
      <c r="C8" s="68" t="s">
        <v>197</v>
      </c>
    </row>
    <row r="9" spans="1:3" ht="64.5" thickBot="1" x14ac:dyDescent="0.25">
      <c r="A9" s="69"/>
      <c r="B9" s="70" t="s">
        <v>198</v>
      </c>
      <c r="C9" s="71"/>
    </row>
    <row r="10" spans="1:3" ht="13.5" thickBot="1" x14ac:dyDescent="0.25">
      <c r="A10" s="69" t="s">
        <v>199</v>
      </c>
      <c r="B10" s="72" t="s">
        <v>200</v>
      </c>
      <c r="C10" s="73" t="s">
        <v>201</v>
      </c>
    </row>
    <row r="12" spans="1:3" x14ac:dyDescent="0.2">
      <c r="A12" s="39" t="s">
        <v>202</v>
      </c>
    </row>
  </sheetData>
  <pageMargins left="0.75" right="0.75" top="1" bottom="1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B18C-2D90-4DEB-8406-734B9BB97E39}">
  <sheetPr transitionEvaluation="1"/>
  <dimension ref="A1:E91"/>
  <sheetViews>
    <sheetView defaultGridColor="0" colorId="22" zoomScale="80" workbookViewId="0">
      <selection activeCell="G20" sqref="G20"/>
    </sheetView>
  </sheetViews>
  <sheetFormatPr baseColWidth="10" defaultColWidth="12.5703125" defaultRowHeight="15" x14ac:dyDescent="0.2"/>
  <cols>
    <col min="1" max="1" width="12.5703125" style="42"/>
    <col min="2" max="3" width="12.5703125" style="43"/>
    <col min="4" max="4" width="39.5703125" style="45" customWidth="1"/>
    <col min="5" max="5" width="20.28515625" style="43" customWidth="1"/>
    <col min="6" max="16384" width="12.5703125" style="43"/>
  </cols>
  <sheetData>
    <row r="1" spans="1:5" x14ac:dyDescent="0.2">
      <c r="D1" s="43" t="s">
        <v>127</v>
      </c>
    </row>
    <row r="3" spans="1:5" x14ac:dyDescent="0.2">
      <c r="B3" s="44" t="s">
        <v>128</v>
      </c>
      <c r="C3" s="44"/>
      <c r="D3" s="44"/>
    </row>
    <row r="4" spans="1:5" x14ac:dyDescent="0.2">
      <c r="B4" s="44" t="s">
        <v>129</v>
      </c>
      <c r="C4" s="44"/>
      <c r="D4" s="44"/>
    </row>
    <row r="5" spans="1:5" x14ac:dyDescent="0.2">
      <c r="B5" s="43" t="s">
        <v>130</v>
      </c>
      <c r="D5" s="45" t="s">
        <v>131</v>
      </c>
    </row>
    <row r="6" spans="1:5" x14ac:dyDescent="0.2">
      <c r="A6" s="46" t="s">
        <v>132</v>
      </c>
      <c r="B6" s="47">
        <v>0.08</v>
      </c>
      <c r="D6" s="45" t="s">
        <v>133</v>
      </c>
    </row>
    <row r="7" spans="1:5" x14ac:dyDescent="0.2">
      <c r="A7" s="48" t="s">
        <v>134</v>
      </c>
      <c r="B7" s="49">
        <v>10</v>
      </c>
    </row>
    <row r="8" spans="1:5" x14ac:dyDescent="0.2">
      <c r="D8" s="45">
        <f>((1+0.08)^10)</f>
        <v>2.1589249972727877</v>
      </c>
      <c r="E8" s="50">
        <f>D8</f>
        <v>2.1589249972727877</v>
      </c>
    </row>
    <row r="9" spans="1:5" x14ac:dyDescent="0.2">
      <c r="E9" s="50"/>
    </row>
    <row r="10" spans="1:5" x14ac:dyDescent="0.2">
      <c r="D10" s="45">
        <f>((1+B6)^B7)</f>
        <v>2.1589249972727877</v>
      </c>
      <c r="E10" s="50">
        <f>D10</f>
        <v>2.1589249972727877</v>
      </c>
    </row>
    <row r="13" spans="1:5" x14ac:dyDescent="0.2">
      <c r="B13" s="44" t="s">
        <v>135</v>
      </c>
      <c r="C13" s="44"/>
      <c r="D13" s="44"/>
    </row>
    <row r="14" spans="1:5" x14ac:dyDescent="0.2">
      <c r="B14" s="44" t="s">
        <v>136</v>
      </c>
      <c r="C14" s="44"/>
      <c r="D14" s="44"/>
    </row>
    <row r="15" spans="1:5" x14ac:dyDescent="0.2">
      <c r="D15" s="45" t="s">
        <v>137</v>
      </c>
    </row>
    <row r="16" spans="1:5" x14ac:dyDescent="0.2">
      <c r="A16" s="46" t="s">
        <v>132</v>
      </c>
      <c r="B16" s="47">
        <v>0.08</v>
      </c>
      <c r="D16" s="45" t="s">
        <v>138</v>
      </c>
    </row>
    <row r="17" spans="1:5" x14ac:dyDescent="0.2">
      <c r="A17" s="48" t="s">
        <v>134</v>
      </c>
      <c r="B17" s="49">
        <v>10</v>
      </c>
    </row>
    <row r="18" spans="1:5" x14ac:dyDescent="0.2">
      <c r="D18" s="45">
        <f>(1/(1+0.08)^10)</f>
        <v>0.46319348808468425</v>
      </c>
      <c r="E18" s="50">
        <f>D18</f>
        <v>0.46319348808468425</v>
      </c>
    </row>
    <row r="19" spans="1:5" x14ac:dyDescent="0.2">
      <c r="E19" s="50"/>
    </row>
    <row r="20" spans="1:5" x14ac:dyDescent="0.2">
      <c r="D20" s="45">
        <f>(1/(1+B16)^B17)</f>
        <v>0.46319348808468425</v>
      </c>
      <c r="E20" s="50">
        <f>D20</f>
        <v>0.46319348808468425</v>
      </c>
    </row>
    <row r="23" spans="1:5" x14ac:dyDescent="0.2">
      <c r="B23" s="44" t="s">
        <v>139</v>
      </c>
      <c r="C23" s="44"/>
      <c r="D23" s="44"/>
    </row>
    <row r="24" spans="1:5" x14ac:dyDescent="0.2">
      <c r="B24" s="44" t="s">
        <v>140</v>
      </c>
      <c r="C24" s="44"/>
      <c r="D24" s="44"/>
    </row>
    <row r="25" spans="1:5" x14ac:dyDescent="0.2">
      <c r="D25" s="45" t="s">
        <v>141</v>
      </c>
    </row>
    <row r="26" spans="1:5" x14ac:dyDescent="0.2">
      <c r="A26" s="46" t="s">
        <v>142</v>
      </c>
      <c r="B26" s="47">
        <v>0.08</v>
      </c>
      <c r="D26" s="45" t="s">
        <v>143</v>
      </c>
    </row>
    <row r="27" spans="1:5" x14ac:dyDescent="0.2">
      <c r="A27" s="48" t="s">
        <v>144</v>
      </c>
      <c r="B27" s="49">
        <v>10</v>
      </c>
    </row>
    <row r="28" spans="1:5" x14ac:dyDescent="0.2">
      <c r="D28" s="45">
        <f>(((1+0.08)^10)-1)/0.08</f>
        <v>14.486562465909847</v>
      </c>
      <c r="E28" s="50">
        <f>D28</f>
        <v>14.486562465909847</v>
      </c>
    </row>
    <row r="29" spans="1:5" x14ac:dyDescent="0.2">
      <c r="E29" s="50"/>
    </row>
    <row r="30" spans="1:5" x14ac:dyDescent="0.2">
      <c r="D30" s="45">
        <f>(((1+B26)^B27)-1)/B26</f>
        <v>14.486562465909847</v>
      </c>
      <c r="E30" s="50">
        <f>D30</f>
        <v>14.486562465909847</v>
      </c>
    </row>
    <row r="33" spans="1:5" x14ac:dyDescent="0.2">
      <c r="B33" s="44" t="s">
        <v>145</v>
      </c>
      <c r="C33" s="44"/>
      <c r="D33" s="44"/>
    </row>
    <row r="34" spans="1:5" x14ac:dyDescent="0.2">
      <c r="B34" s="44" t="s">
        <v>146</v>
      </c>
      <c r="C34" s="44"/>
      <c r="D34" s="44"/>
    </row>
    <row r="35" spans="1:5" x14ac:dyDescent="0.2">
      <c r="D35" s="45" t="s">
        <v>147</v>
      </c>
    </row>
    <row r="36" spans="1:5" x14ac:dyDescent="0.2">
      <c r="A36" s="46" t="s">
        <v>142</v>
      </c>
      <c r="B36" s="47">
        <v>0.08</v>
      </c>
      <c r="D36" s="45" t="s">
        <v>148</v>
      </c>
    </row>
    <row r="37" spans="1:5" x14ac:dyDescent="0.2">
      <c r="A37" s="48" t="s">
        <v>144</v>
      </c>
      <c r="B37" s="49">
        <v>10</v>
      </c>
    </row>
    <row r="38" spans="1:5" x14ac:dyDescent="0.2">
      <c r="D38" s="45">
        <f>(0.08/(((1+0.08)^10)-1))</f>
        <v>6.902948869707537E-2</v>
      </c>
      <c r="E38" s="50">
        <f>D38</f>
        <v>6.902948869707537E-2</v>
      </c>
    </row>
    <row r="39" spans="1:5" x14ac:dyDescent="0.2">
      <c r="E39" s="50"/>
    </row>
    <row r="40" spans="1:5" x14ac:dyDescent="0.2">
      <c r="D40" s="45">
        <f>(B36/(((1+B36)^B37)-1))</f>
        <v>6.902948869707537E-2</v>
      </c>
      <c r="E40" s="50">
        <f>D40</f>
        <v>6.902948869707537E-2</v>
      </c>
    </row>
    <row r="43" spans="1:5" x14ac:dyDescent="0.2">
      <c r="B43" s="44" t="s">
        <v>149</v>
      </c>
      <c r="C43" s="44"/>
      <c r="D43" s="44"/>
    </row>
    <row r="44" spans="1:5" x14ac:dyDescent="0.2">
      <c r="B44" s="44" t="s">
        <v>150</v>
      </c>
      <c r="C44" s="44"/>
      <c r="D44" s="44"/>
    </row>
    <row r="45" spans="1:5" x14ac:dyDescent="0.2">
      <c r="D45" s="45" t="s">
        <v>151</v>
      </c>
    </row>
    <row r="46" spans="1:5" x14ac:dyDescent="0.2">
      <c r="A46" s="46" t="s">
        <v>152</v>
      </c>
      <c r="B46" s="47">
        <v>0.08</v>
      </c>
      <c r="D46" s="45" t="s">
        <v>153</v>
      </c>
    </row>
    <row r="47" spans="1:5" x14ac:dyDescent="0.2">
      <c r="A47" s="48" t="s">
        <v>144</v>
      </c>
      <c r="B47" s="49">
        <v>10</v>
      </c>
    </row>
    <row r="48" spans="1:5" x14ac:dyDescent="0.2">
      <c r="D48" s="45">
        <f>(((1+0.08)^10)-1)/(0.08*(1+0.08)^10)</f>
        <v>6.7100813989414467</v>
      </c>
      <c r="E48" s="50">
        <f>D48</f>
        <v>6.7100813989414467</v>
      </c>
    </row>
    <row r="49" spans="1:5" x14ac:dyDescent="0.2">
      <c r="E49" s="50"/>
    </row>
    <row r="50" spans="1:5" x14ac:dyDescent="0.2">
      <c r="D50" s="45">
        <f>(((1+B46)^B47)-1)/(B46*(1+B46)^B47)</f>
        <v>6.7100813989414467</v>
      </c>
      <c r="E50" s="50">
        <f>D50</f>
        <v>6.7100813989414467</v>
      </c>
    </row>
    <row r="53" spans="1:5" x14ac:dyDescent="0.2">
      <c r="B53" s="44" t="s">
        <v>154</v>
      </c>
      <c r="C53" s="44"/>
      <c r="D53" s="44"/>
    </row>
    <row r="54" spans="1:5" x14ac:dyDescent="0.2">
      <c r="B54" s="44" t="s">
        <v>155</v>
      </c>
      <c r="C54" s="44"/>
      <c r="D54" s="44"/>
    </row>
    <row r="55" spans="1:5" x14ac:dyDescent="0.2">
      <c r="D55" s="45" t="s">
        <v>156</v>
      </c>
    </row>
    <row r="56" spans="1:5" x14ac:dyDescent="0.2">
      <c r="A56" s="46" t="s">
        <v>142</v>
      </c>
      <c r="B56" s="47">
        <v>0.08</v>
      </c>
      <c r="D56" s="45" t="s">
        <v>157</v>
      </c>
    </row>
    <row r="57" spans="1:5" x14ac:dyDescent="0.2">
      <c r="A57" s="48" t="s">
        <v>158</v>
      </c>
      <c r="B57" s="49">
        <v>10</v>
      </c>
    </row>
    <row r="58" spans="1:5" x14ac:dyDescent="0.2">
      <c r="D58" s="45">
        <f>(0.08*(1+0.08)^10)/(((1+0.08)^10)-1)</f>
        <v>0.14902948869707539</v>
      </c>
      <c r="E58" s="50">
        <f>D58</f>
        <v>0.14902948869707539</v>
      </c>
    </row>
    <row r="59" spans="1:5" x14ac:dyDescent="0.2">
      <c r="E59" s="50"/>
    </row>
    <row r="60" spans="1:5" x14ac:dyDescent="0.2">
      <c r="D60" s="45">
        <f>(B56*(1+B56)^B57)/(((1+B56)^B57)-1)</f>
        <v>0.14902948869707539</v>
      </c>
      <c r="E60" s="50">
        <f>D60</f>
        <v>0.14902948869707539</v>
      </c>
    </row>
    <row r="63" spans="1:5" x14ac:dyDescent="0.2">
      <c r="B63" s="44" t="s">
        <v>159</v>
      </c>
      <c r="C63" s="44"/>
      <c r="D63" s="44"/>
    </row>
    <row r="64" spans="1:5" x14ac:dyDescent="0.2">
      <c r="B64" s="44" t="s">
        <v>160</v>
      </c>
      <c r="C64" s="44"/>
      <c r="D64" s="44"/>
    </row>
    <row r="65" spans="1:5" x14ac:dyDescent="0.2">
      <c r="D65" s="45" t="s">
        <v>161</v>
      </c>
    </row>
    <row r="66" spans="1:5" x14ac:dyDescent="0.2">
      <c r="A66" s="46" t="s">
        <v>142</v>
      </c>
      <c r="B66" s="47">
        <v>0.08</v>
      </c>
      <c r="D66" s="45" t="s">
        <v>162</v>
      </c>
    </row>
    <row r="67" spans="1:5" x14ac:dyDescent="0.2">
      <c r="A67" s="48" t="s">
        <v>163</v>
      </c>
      <c r="B67" s="49">
        <v>12</v>
      </c>
    </row>
    <row r="68" spans="1:5" x14ac:dyDescent="0.2">
      <c r="D68" s="45">
        <f>(1+0.08)^(1/12)</f>
        <v>1.0064340301100034</v>
      </c>
      <c r="E68" s="50">
        <f>D68</f>
        <v>1.0064340301100034</v>
      </c>
    </row>
    <row r="69" spans="1:5" x14ac:dyDescent="0.2">
      <c r="E69" s="50"/>
    </row>
    <row r="70" spans="1:5" x14ac:dyDescent="0.2">
      <c r="D70" s="45">
        <f>(1+B66)^(1/B67)</f>
        <v>1.0064340301100034</v>
      </c>
      <c r="E70" s="50">
        <f>D70</f>
        <v>1.0064340301100034</v>
      </c>
    </row>
    <row r="73" spans="1:5" x14ac:dyDescent="0.2">
      <c r="B73" s="44" t="s">
        <v>164</v>
      </c>
      <c r="C73" s="44"/>
      <c r="D73" s="44"/>
    </row>
    <row r="74" spans="1:5" x14ac:dyDescent="0.2">
      <c r="B74" s="44" t="s">
        <v>165</v>
      </c>
      <c r="C74" s="44"/>
      <c r="D74" s="44"/>
    </row>
    <row r="75" spans="1:5" x14ac:dyDescent="0.2">
      <c r="D75" s="45" t="s">
        <v>166</v>
      </c>
    </row>
    <row r="76" spans="1:5" x14ac:dyDescent="0.2">
      <c r="A76" s="46" t="s">
        <v>142</v>
      </c>
      <c r="B76" s="47">
        <v>0.08</v>
      </c>
      <c r="D76" s="45" t="s">
        <v>167</v>
      </c>
    </row>
    <row r="77" spans="1:5" x14ac:dyDescent="0.2">
      <c r="A77" s="48" t="s">
        <v>168</v>
      </c>
      <c r="B77" s="49">
        <v>12</v>
      </c>
    </row>
    <row r="78" spans="1:5" x14ac:dyDescent="0.2">
      <c r="D78" s="45">
        <f>(12*((1+0.08)^(1/12))-12)</f>
        <v>7.7208361320041163E-2</v>
      </c>
      <c r="E78" s="50">
        <f>D78</f>
        <v>7.7208361320041163E-2</v>
      </c>
    </row>
    <row r="79" spans="1:5" x14ac:dyDescent="0.2">
      <c r="E79" s="50"/>
    </row>
    <row r="80" spans="1:5" x14ac:dyDescent="0.2">
      <c r="D80" s="45">
        <f>(B77*((1+B76)^(1/B77))-B77)</f>
        <v>7.7208361320041163E-2</v>
      </c>
      <c r="E80" s="50">
        <f>D80</f>
        <v>7.7208361320041163E-2</v>
      </c>
    </row>
    <row r="83" spans="1:5" x14ac:dyDescent="0.2">
      <c r="B83" s="44" t="s">
        <v>169</v>
      </c>
      <c r="C83" s="44"/>
      <c r="D83" s="44"/>
    </row>
    <row r="84" spans="1:5" x14ac:dyDescent="0.2">
      <c r="B84" s="44" t="s">
        <v>170</v>
      </c>
      <c r="C84" s="44"/>
      <c r="D84" s="44"/>
    </row>
    <row r="85" spans="1:5" x14ac:dyDescent="0.2">
      <c r="B85" s="44"/>
      <c r="C85" s="44" t="s">
        <v>171</v>
      </c>
      <c r="D85" s="44"/>
    </row>
    <row r="86" spans="1:5" x14ac:dyDescent="0.2">
      <c r="D86" s="45" t="s">
        <v>172</v>
      </c>
    </row>
    <row r="87" spans="1:5" x14ac:dyDescent="0.2">
      <c r="A87" s="46" t="s">
        <v>142</v>
      </c>
      <c r="B87" s="47">
        <v>0.08</v>
      </c>
      <c r="D87" s="45" t="s">
        <v>173</v>
      </c>
    </row>
    <row r="88" spans="1:5" x14ac:dyDescent="0.2">
      <c r="A88" s="48" t="s">
        <v>163</v>
      </c>
      <c r="B88" s="49">
        <v>12</v>
      </c>
    </row>
    <row r="89" spans="1:5" x14ac:dyDescent="0.2">
      <c r="D89" s="45">
        <f>(0.08/(12*((1+0.08)^(1/12)-1)))</f>
        <v>1.0361572067096081</v>
      </c>
      <c r="E89" s="50">
        <f>D89</f>
        <v>1.0361572067096081</v>
      </c>
    </row>
    <row r="90" spans="1:5" x14ac:dyDescent="0.2">
      <c r="E90" s="50"/>
    </row>
    <row r="91" spans="1:5" x14ac:dyDescent="0.2">
      <c r="D91" s="45">
        <f>(B87/(B88*((1+B87)^(1/B88)-1)))</f>
        <v>1.0361572067096081</v>
      </c>
      <c r="E91" s="50">
        <f>D91</f>
        <v>1.0361572067096081</v>
      </c>
    </row>
  </sheetData>
  <pageMargins left="0.51181102362204722" right="0.51181102362204722" top="0.51181102362204722" bottom="0.55118110236220474" header="0" footer="0"/>
  <pageSetup paperSize="9" scale="15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98ED-0E86-4117-B624-5345E899F114}">
  <dimension ref="B3:G37"/>
  <sheetViews>
    <sheetView topLeftCell="A10" zoomScale="130" zoomScaleNormal="130" workbookViewId="0">
      <selection activeCell="F31" sqref="F31"/>
    </sheetView>
  </sheetViews>
  <sheetFormatPr baseColWidth="10" defaultColWidth="11.5703125" defaultRowHeight="12.75" x14ac:dyDescent="0.2"/>
  <cols>
    <col min="1" max="16384" width="11.5703125" style="39"/>
  </cols>
  <sheetData>
    <row r="3" spans="2:6" x14ac:dyDescent="0.2">
      <c r="B3" s="39" t="s">
        <v>174</v>
      </c>
    </row>
    <row r="7" spans="2:6" x14ac:dyDescent="0.2">
      <c r="B7" s="39" t="s">
        <v>175</v>
      </c>
    </row>
    <row r="8" spans="2:6" x14ac:dyDescent="0.2">
      <c r="B8" s="39" t="s">
        <v>176</v>
      </c>
    </row>
    <row r="9" spans="2:6" x14ac:dyDescent="0.2">
      <c r="B9" s="39" t="s">
        <v>177</v>
      </c>
    </row>
    <row r="10" spans="2:6" x14ac:dyDescent="0.2">
      <c r="B10" s="39" t="s">
        <v>178</v>
      </c>
    </row>
    <row r="13" spans="2:6" x14ac:dyDescent="0.2">
      <c r="B13" s="39" t="s">
        <v>179</v>
      </c>
    </row>
    <row r="16" spans="2:6" x14ac:dyDescent="0.2">
      <c r="B16" s="39" t="s">
        <v>175</v>
      </c>
      <c r="F16" s="39" t="s">
        <v>180</v>
      </c>
    </row>
    <row r="17" spans="2:7" x14ac:dyDescent="0.2">
      <c r="B17" s="39" t="s">
        <v>176</v>
      </c>
      <c r="F17" s="39" t="s">
        <v>181</v>
      </c>
      <c r="G17" s="39" t="s">
        <v>182</v>
      </c>
    </row>
    <row r="18" spans="2:7" x14ac:dyDescent="0.2">
      <c r="B18" s="39" t="s">
        <v>177</v>
      </c>
      <c r="F18" s="39" t="s">
        <v>183</v>
      </c>
      <c r="G18" s="39" t="s">
        <v>184</v>
      </c>
    </row>
    <row r="19" spans="2:7" x14ac:dyDescent="0.2">
      <c r="B19" s="39" t="s">
        <v>185</v>
      </c>
    </row>
    <row r="22" spans="2:7" x14ac:dyDescent="0.2">
      <c r="B22" s="8" t="s">
        <v>186</v>
      </c>
      <c r="C22" s="9"/>
      <c r="D22" s="9"/>
      <c r="E22" s="10"/>
      <c r="F22" s="11"/>
    </row>
    <row r="25" spans="2:7" x14ac:dyDescent="0.2">
      <c r="C25" s="51">
        <v>0.1</v>
      </c>
      <c r="D25" s="39" t="s">
        <v>32</v>
      </c>
      <c r="F25" s="52">
        <v>0.152</v>
      </c>
      <c r="G25" s="39" t="s">
        <v>50</v>
      </c>
    </row>
    <row r="26" spans="2:7" ht="15" x14ac:dyDescent="0.25">
      <c r="B26" s="22">
        <f>C25/2</f>
        <v>0.05</v>
      </c>
      <c r="C26" s="22">
        <f>(1+C25)^(1/2)-1</f>
        <v>4.8808848170151631E-2</v>
      </c>
      <c r="D26" s="39" t="s">
        <v>3</v>
      </c>
      <c r="F26" s="22">
        <f>(1+F25)^(1/30)-1</f>
        <v>4.7277929882409975E-3</v>
      </c>
      <c r="G26" s="39" t="s">
        <v>4</v>
      </c>
    </row>
    <row r="27" spans="2:7" ht="15" x14ac:dyDescent="0.25">
      <c r="B27" s="39" t="s">
        <v>33</v>
      </c>
      <c r="C27" s="22">
        <f>(1+C25)^(1/12)-1</f>
        <v>7.9741404289037643E-3</v>
      </c>
      <c r="D27" s="39" t="s">
        <v>5</v>
      </c>
      <c r="F27" s="22">
        <f>(1+F25)^(6/1)-1</f>
        <v>1.3373022359076199</v>
      </c>
      <c r="G27" s="39" t="s">
        <v>3</v>
      </c>
    </row>
    <row r="28" spans="2:7" ht="15" x14ac:dyDescent="0.25">
      <c r="B28" s="39" t="s">
        <v>843</v>
      </c>
      <c r="C28" s="39" t="s">
        <v>845</v>
      </c>
      <c r="F28" s="22">
        <f>(1+F25)^(3/1)-1</f>
        <v>0.52882380799999962</v>
      </c>
      <c r="G28" s="39" t="s">
        <v>7</v>
      </c>
    </row>
    <row r="29" spans="2:7" ht="15" x14ac:dyDescent="0.25">
      <c r="B29" s="39" t="s">
        <v>844</v>
      </c>
      <c r="F29" s="22">
        <f>(1+F25)^(12/1)-1</f>
        <v>4.4629817419787594</v>
      </c>
      <c r="G29" s="39" t="s">
        <v>2</v>
      </c>
    </row>
    <row r="31" spans="2:7" x14ac:dyDescent="0.2">
      <c r="B31" s="39" t="s">
        <v>838</v>
      </c>
    </row>
    <row r="32" spans="2:7" x14ac:dyDescent="0.2">
      <c r="B32" s="39" t="s">
        <v>839</v>
      </c>
    </row>
    <row r="33" spans="2:6" x14ac:dyDescent="0.2">
      <c r="B33" s="39" t="s">
        <v>840</v>
      </c>
    </row>
    <row r="34" spans="2:6" x14ac:dyDescent="0.2">
      <c r="B34" s="39" t="s">
        <v>841</v>
      </c>
    </row>
    <row r="35" spans="2:6" x14ac:dyDescent="0.2">
      <c r="B35" s="39" t="s">
        <v>842</v>
      </c>
    </row>
    <row r="37" spans="2:6" x14ac:dyDescent="0.2">
      <c r="B37" s="8" t="s">
        <v>186</v>
      </c>
      <c r="C37" s="441"/>
      <c r="D37" s="441"/>
      <c r="E37" s="441"/>
      <c r="F37" s="441"/>
    </row>
  </sheetData>
  <pageMargins left="0.75" right="0.75" top="1" bottom="1" header="0" footer="0"/>
  <pageSetup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23D3-804D-477B-9F88-500AD0EED2DB}">
  <dimension ref="O5:P18"/>
  <sheetViews>
    <sheetView zoomScale="80" zoomScaleNormal="80" workbookViewId="0">
      <selection activeCell="N11" sqref="N11"/>
    </sheetView>
  </sheetViews>
  <sheetFormatPr baseColWidth="10" defaultColWidth="11.42578125" defaultRowHeight="12.75" x14ac:dyDescent="0.2"/>
  <cols>
    <col min="1" max="14" width="11.42578125" style="2"/>
    <col min="15" max="15" width="12.85546875" style="2" bestFit="1" customWidth="1"/>
    <col min="16" max="16" width="12.140625" style="2" bestFit="1" customWidth="1"/>
    <col min="17" max="16384" width="11.42578125" style="2"/>
  </cols>
  <sheetData>
    <row r="5" spans="15:16" x14ac:dyDescent="0.2">
      <c r="P5" s="28"/>
    </row>
    <row r="7" spans="15:16" x14ac:dyDescent="0.2">
      <c r="P7" s="15"/>
    </row>
    <row r="10" spans="15:16" ht="15" x14ac:dyDescent="0.25">
      <c r="P10" s="22"/>
    </row>
    <row r="12" spans="15:16" x14ac:dyDescent="0.2">
      <c r="O12" s="23"/>
    </row>
    <row r="14" spans="15:16" x14ac:dyDescent="0.2">
      <c r="P14" s="23"/>
    </row>
    <row r="15" spans="15:16" x14ac:dyDescent="0.2">
      <c r="P15" s="23"/>
    </row>
    <row r="16" spans="15:16" x14ac:dyDescent="0.2">
      <c r="P16" s="23"/>
    </row>
    <row r="17" spans="16:16" x14ac:dyDescent="0.2">
      <c r="P17" s="23"/>
    </row>
    <row r="18" spans="16:16" x14ac:dyDescent="0.2">
      <c r="P18" s="2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FDEC-6B22-4B79-9B1F-114DC49D9AF7}">
  <dimension ref="C1:S63"/>
  <sheetViews>
    <sheetView topLeftCell="E16" zoomScale="142" zoomScaleNormal="142" workbookViewId="0">
      <selection activeCell="P20" sqref="P20"/>
    </sheetView>
  </sheetViews>
  <sheetFormatPr baseColWidth="10" defaultColWidth="11.42578125" defaultRowHeight="12.75" x14ac:dyDescent="0.2"/>
  <cols>
    <col min="1" max="8" width="11.42578125" style="2"/>
    <col min="9" max="9" width="12.28515625" style="2" customWidth="1"/>
    <col min="10" max="16384" width="11.42578125" style="2"/>
  </cols>
  <sheetData>
    <row r="1" spans="3:19" x14ac:dyDescent="0.2">
      <c r="C1" s="1" t="s">
        <v>57</v>
      </c>
      <c r="H1" s="1" t="s">
        <v>58</v>
      </c>
      <c r="K1" s="2" t="s">
        <v>59</v>
      </c>
    </row>
    <row r="2" spans="3:19" x14ac:dyDescent="0.2">
      <c r="H2" s="1" t="s">
        <v>60</v>
      </c>
      <c r="O2" s="1" t="s">
        <v>61</v>
      </c>
      <c r="R2" s="15">
        <f>P4/12</f>
        <v>4.0750000000000001E-2</v>
      </c>
      <c r="S2" s="2" t="s">
        <v>848</v>
      </c>
    </row>
    <row r="3" spans="3:19" x14ac:dyDescent="0.2">
      <c r="H3" s="2" t="s">
        <v>62</v>
      </c>
      <c r="I3" s="28">
        <v>15000</v>
      </c>
      <c r="O3" s="2" t="s">
        <v>62</v>
      </c>
      <c r="P3" s="28">
        <v>25000</v>
      </c>
    </row>
    <row r="4" spans="3:19" x14ac:dyDescent="0.2">
      <c r="H4" s="2" t="s">
        <v>63</v>
      </c>
      <c r="I4" s="15">
        <v>0.125</v>
      </c>
      <c r="J4" s="15" t="s">
        <v>50</v>
      </c>
      <c r="O4" s="2" t="s">
        <v>63</v>
      </c>
      <c r="P4" s="15">
        <v>0.48899999999999999</v>
      </c>
      <c r="Q4" s="15" t="s">
        <v>32</v>
      </c>
      <c r="R4" s="15">
        <f>(1+P4)^(1/12)-1</f>
        <v>3.3731835917170994E-2</v>
      </c>
      <c r="S4" s="2" t="s">
        <v>50</v>
      </c>
    </row>
    <row r="5" spans="3:19" x14ac:dyDescent="0.2">
      <c r="H5" s="2" t="s">
        <v>64</v>
      </c>
      <c r="I5" s="2">
        <v>10</v>
      </c>
      <c r="J5" s="2" t="s">
        <v>53</v>
      </c>
      <c r="O5" s="2" t="s">
        <v>64</v>
      </c>
      <c r="P5" s="2">
        <v>8</v>
      </c>
      <c r="Q5" s="2" t="s">
        <v>53</v>
      </c>
    </row>
    <row r="6" spans="3:19" x14ac:dyDescent="0.2">
      <c r="H6" s="2" t="s">
        <v>65</v>
      </c>
      <c r="O6" s="2" t="s">
        <v>65</v>
      </c>
    </row>
    <row r="7" spans="3:19" x14ac:dyDescent="0.2">
      <c r="J7" s="29"/>
      <c r="K7" s="29"/>
      <c r="L7" s="29"/>
      <c r="M7" s="29"/>
      <c r="Q7" s="29"/>
    </row>
    <row r="8" spans="3:19" x14ac:dyDescent="0.2">
      <c r="H8" s="2" t="s">
        <v>66</v>
      </c>
      <c r="I8" s="30">
        <f>I3*(1+I4)^I5</f>
        <v>48709.815382026136</v>
      </c>
      <c r="J8" s="31"/>
      <c r="K8" s="31"/>
      <c r="L8" s="31"/>
      <c r="M8" s="31"/>
      <c r="N8" s="28"/>
      <c r="O8" s="2" t="s">
        <v>66</v>
      </c>
      <c r="P8" s="30"/>
      <c r="Q8" s="31"/>
    </row>
    <row r="10" spans="3:19" x14ac:dyDescent="0.2">
      <c r="H10" s="2" t="s">
        <v>67</v>
      </c>
      <c r="I10" s="30">
        <f>FV(I4,I5,,-I3)</f>
        <v>48709.815382026136</v>
      </c>
      <c r="J10" s="23" t="s">
        <v>68</v>
      </c>
      <c r="M10" s="23"/>
      <c r="O10" s="2" t="s">
        <v>67</v>
      </c>
      <c r="P10" s="30">
        <f>FV(R4,P5,,-P3)</f>
        <v>32598.914621610482</v>
      </c>
      <c r="Q10" s="23"/>
    </row>
    <row r="12" spans="3:19" x14ac:dyDescent="0.2">
      <c r="H12" s="1" t="s">
        <v>69</v>
      </c>
      <c r="K12" s="29"/>
      <c r="L12" s="29"/>
      <c r="O12" s="1" t="s">
        <v>69</v>
      </c>
    </row>
    <row r="13" spans="3:19" x14ac:dyDescent="0.2">
      <c r="H13" s="2" t="s">
        <v>70</v>
      </c>
      <c r="I13" s="28">
        <v>2568795</v>
      </c>
      <c r="K13" s="31"/>
      <c r="L13" s="31"/>
      <c r="M13" s="28"/>
      <c r="O13" s="2" t="s">
        <v>70</v>
      </c>
      <c r="P13" s="28">
        <v>25486358</v>
      </c>
    </row>
    <row r="14" spans="3:19" x14ac:dyDescent="0.2">
      <c r="H14" s="2" t="s">
        <v>63</v>
      </c>
      <c r="I14" s="15">
        <v>0.25600000000000001</v>
      </c>
      <c r="J14" s="15" t="s">
        <v>32</v>
      </c>
      <c r="O14" s="2" t="s">
        <v>63</v>
      </c>
      <c r="P14" s="15">
        <v>0.156</v>
      </c>
      <c r="Q14" s="15" t="s">
        <v>32</v>
      </c>
      <c r="R14" s="15">
        <f>(1+P14)^(1/12)-1</f>
        <v>1.2153744586148818E-2</v>
      </c>
      <c r="S14" s="2" t="s">
        <v>50</v>
      </c>
    </row>
    <row r="15" spans="3:19" ht="15" x14ac:dyDescent="0.25">
      <c r="H15" s="2" t="s">
        <v>64</v>
      </c>
      <c r="I15" s="2">
        <v>25</v>
      </c>
      <c r="J15" s="2" t="s">
        <v>52</v>
      </c>
      <c r="M15" s="23"/>
      <c r="O15" s="2" t="s">
        <v>64</v>
      </c>
      <c r="P15" s="2">
        <v>560</v>
      </c>
      <c r="Q15" s="2" t="s">
        <v>53</v>
      </c>
      <c r="R15" s="32">
        <f>P15/12</f>
        <v>46.666666666666664</v>
      </c>
      <c r="S15" s="2" t="s">
        <v>52</v>
      </c>
    </row>
    <row r="16" spans="3:19" x14ac:dyDescent="0.2">
      <c r="H16" s="2" t="s">
        <v>71</v>
      </c>
      <c r="O16" s="2" t="s">
        <v>71</v>
      </c>
    </row>
    <row r="17" spans="8:17" x14ac:dyDescent="0.2">
      <c r="J17" s="29"/>
      <c r="Q17" s="29"/>
    </row>
    <row r="18" spans="8:17" x14ac:dyDescent="0.2">
      <c r="H18" s="2" t="s">
        <v>66</v>
      </c>
      <c r="I18" s="30">
        <f>I13*(1/(1+I14)^I15)</f>
        <v>8609.7087867378068</v>
      </c>
      <c r="J18" s="31"/>
      <c r="O18" s="2" t="s">
        <v>66</v>
      </c>
      <c r="P18" s="30"/>
      <c r="Q18" s="31"/>
    </row>
    <row r="20" spans="8:17" x14ac:dyDescent="0.2">
      <c r="H20" s="2" t="s">
        <v>67</v>
      </c>
      <c r="I20" s="30">
        <f>PV(I14,I15,,-I13)</f>
        <v>8609.7087867378068</v>
      </c>
      <c r="J20" s="23" t="s">
        <v>90</v>
      </c>
      <c r="O20" s="2" t="s">
        <v>67</v>
      </c>
      <c r="P20" s="30">
        <f>PV(R14,P15,,-P13)</f>
        <v>29395.139256350423</v>
      </c>
      <c r="Q20" s="23"/>
    </row>
    <row r="22" spans="8:17" x14ac:dyDescent="0.2">
      <c r="H22" s="1" t="s">
        <v>72</v>
      </c>
    </row>
    <row r="23" spans="8:17" x14ac:dyDescent="0.2">
      <c r="H23" s="2" t="s">
        <v>62</v>
      </c>
      <c r="I23" s="28">
        <v>35260</v>
      </c>
    </row>
    <row r="24" spans="8:17" x14ac:dyDescent="0.2">
      <c r="H24" s="2" t="s">
        <v>63</v>
      </c>
      <c r="I24" s="15">
        <v>0.185</v>
      </c>
      <c r="J24" s="15" t="s">
        <v>32</v>
      </c>
      <c r="K24" s="15">
        <f>(1+I24)^(1/12)-1</f>
        <v>1.4245748385667056E-2</v>
      </c>
      <c r="L24" s="2" t="s">
        <v>50</v>
      </c>
    </row>
    <row r="25" spans="8:17" x14ac:dyDescent="0.2">
      <c r="H25" s="2" t="s">
        <v>64</v>
      </c>
      <c r="I25" s="2">
        <v>10</v>
      </c>
      <c r="J25" s="2" t="s">
        <v>53</v>
      </c>
    </row>
    <row r="26" spans="8:17" x14ac:dyDescent="0.2">
      <c r="H26" s="2" t="s">
        <v>65</v>
      </c>
    </row>
    <row r="27" spans="8:17" x14ac:dyDescent="0.2">
      <c r="J27" s="29"/>
    </row>
    <row r="28" spans="8:17" x14ac:dyDescent="0.2">
      <c r="H28" s="2" t="s">
        <v>66</v>
      </c>
      <c r="I28" s="30">
        <f>I23*(1+K24)^I25</f>
        <v>40617.600768237848</v>
      </c>
      <c r="J28" s="31"/>
    </row>
    <row r="30" spans="8:17" x14ac:dyDescent="0.2">
      <c r="H30" s="2" t="s">
        <v>67</v>
      </c>
      <c r="I30" s="30">
        <f>FV(K24,I25,,-I23)</f>
        <v>40617.600768237848</v>
      </c>
      <c r="J30" s="23"/>
    </row>
    <row r="32" spans="8:17" x14ac:dyDescent="0.2">
      <c r="H32" s="1" t="s">
        <v>73</v>
      </c>
    </row>
    <row r="33" spans="8:12" x14ac:dyDescent="0.2">
      <c r="H33" s="2" t="s">
        <v>70</v>
      </c>
      <c r="I33" s="28">
        <v>354689</v>
      </c>
    </row>
    <row r="34" spans="8:12" x14ac:dyDescent="0.2">
      <c r="H34" s="2" t="s">
        <v>63</v>
      </c>
      <c r="I34" s="15">
        <v>8.5000000000000006E-2</v>
      </c>
      <c r="J34" s="15" t="s">
        <v>50</v>
      </c>
      <c r="K34" s="15">
        <f>(1+I34)^(12/1)-1</f>
        <v>1.6616862324112498</v>
      </c>
      <c r="L34" s="2" t="s">
        <v>32</v>
      </c>
    </row>
    <row r="35" spans="8:12" x14ac:dyDescent="0.2">
      <c r="H35" s="2" t="s">
        <v>64</v>
      </c>
      <c r="I35" s="2">
        <v>5</v>
      </c>
      <c r="J35" s="2" t="s">
        <v>52</v>
      </c>
    </row>
    <row r="36" spans="8:12" x14ac:dyDescent="0.2">
      <c r="H36" s="2" t="s">
        <v>71</v>
      </c>
    </row>
    <row r="37" spans="8:12" x14ac:dyDescent="0.2">
      <c r="J37" s="29"/>
    </row>
    <row r="38" spans="8:12" x14ac:dyDescent="0.2">
      <c r="H38" s="2" t="s">
        <v>66</v>
      </c>
      <c r="I38" s="30">
        <f>I33*(1/(1+K34)^I35)</f>
        <v>2654.993295964864</v>
      </c>
      <c r="J38" s="31"/>
    </row>
    <row r="40" spans="8:12" x14ac:dyDescent="0.2">
      <c r="H40" s="2" t="s">
        <v>67</v>
      </c>
      <c r="I40" s="30">
        <f>PV(K34,I35,,-I33)</f>
        <v>2654.993295964864</v>
      </c>
      <c r="J40" s="23"/>
    </row>
    <row r="43" spans="8:12" x14ac:dyDescent="0.2">
      <c r="H43" s="1" t="s">
        <v>74</v>
      </c>
    </row>
    <row r="44" spans="8:12" x14ac:dyDescent="0.2">
      <c r="H44" s="2" t="s">
        <v>62</v>
      </c>
      <c r="I44" s="28">
        <v>45861</v>
      </c>
    </row>
    <row r="45" spans="8:12" x14ac:dyDescent="0.2">
      <c r="H45" s="2" t="s">
        <v>63</v>
      </c>
      <c r="I45" s="15">
        <v>0.25800000000000001</v>
      </c>
      <c r="J45" s="15" t="s">
        <v>32</v>
      </c>
      <c r="K45" s="15">
        <f>(1+I45)^(1/12)-1</f>
        <v>1.9311021408296769E-2</v>
      </c>
      <c r="L45" s="2" t="s">
        <v>50</v>
      </c>
    </row>
    <row r="46" spans="8:12" x14ac:dyDescent="0.2">
      <c r="H46" s="2" t="s">
        <v>64</v>
      </c>
      <c r="I46" s="2">
        <v>8</v>
      </c>
      <c r="J46" s="2" t="s">
        <v>53</v>
      </c>
    </row>
    <row r="47" spans="8:12" x14ac:dyDescent="0.2">
      <c r="H47" s="2" t="s">
        <v>75</v>
      </c>
    </row>
    <row r="48" spans="8:12" x14ac:dyDescent="0.2">
      <c r="J48" s="29"/>
    </row>
    <row r="49" spans="8:12" x14ac:dyDescent="0.2">
      <c r="H49" s="2" t="s">
        <v>66</v>
      </c>
      <c r="I49" s="30"/>
      <c r="J49" s="31"/>
    </row>
    <row r="51" spans="8:12" x14ac:dyDescent="0.2">
      <c r="H51" s="2" t="s">
        <v>67</v>
      </c>
      <c r="I51" s="30">
        <f>PMT(K45,I46,-I44)</f>
        <v>6241.8997742514093</v>
      </c>
      <c r="J51" s="442">
        <f>I51*8</f>
        <v>49935.198194011275</v>
      </c>
    </row>
    <row r="52" spans="8:12" x14ac:dyDescent="0.2">
      <c r="J52" s="2" t="s">
        <v>846</v>
      </c>
    </row>
    <row r="53" spans="8:12" x14ac:dyDescent="0.2">
      <c r="H53" s="1" t="s">
        <v>76</v>
      </c>
    </row>
    <row r="54" spans="8:12" x14ac:dyDescent="0.2">
      <c r="H54" s="2" t="s">
        <v>70</v>
      </c>
      <c r="I54" s="28">
        <v>15489</v>
      </c>
    </row>
    <row r="55" spans="8:12" x14ac:dyDescent="0.2">
      <c r="H55" s="2" t="s">
        <v>63</v>
      </c>
      <c r="I55" s="15">
        <v>7.8E-2</v>
      </c>
      <c r="J55" s="15" t="s">
        <v>50</v>
      </c>
      <c r="K55" s="15">
        <f>(1+I55)^(12/1)-1</f>
        <v>1.4627772334568316</v>
      </c>
      <c r="L55" s="2" t="s">
        <v>32</v>
      </c>
    </row>
    <row r="56" spans="8:12" x14ac:dyDescent="0.2">
      <c r="H56" s="2" t="s">
        <v>64</v>
      </c>
      <c r="I56" s="2">
        <v>3</v>
      </c>
      <c r="J56" s="2" t="s">
        <v>52</v>
      </c>
    </row>
    <row r="57" spans="8:12" x14ac:dyDescent="0.2">
      <c r="H57" s="2" t="s">
        <v>75</v>
      </c>
    </row>
    <row r="58" spans="8:12" x14ac:dyDescent="0.2">
      <c r="J58" s="29"/>
    </row>
    <row r="59" spans="8:12" x14ac:dyDescent="0.2">
      <c r="H59" s="2" t="s">
        <v>66</v>
      </c>
      <c r="I59" s="30"/>
      <c r="J59" s="31"/>
    </row>
    <row r="61" spans="8:12" x14ac:dyDescent="0.2">
      <c r="H61" s="2" t="s">
        <v>67</v>
      </c>
      <c r="I61" s="30">
        <f>PMT(K55,I56,,-I54)</f>
        <v>1625.6213738530198</v>
      </c>
      <c r="J61" s="23"/>
    </row>
    <row r="63" spans="8:12" x14ac:dyDescent="0.2">
      <c r="I63" s="442">
        <f>I61*3</f>
        <v>4876.8641215590596</v>
      </c>
      <c r="J63" s="2" t="s">
        <v>847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A096-E3C4-4E76-A1BF-739C2A6B474F}">
  <dimension ref="A1:S30"/>
  <sheetViews>
    <sheetView zoomScale="110" zoomScaleNormal="110" workbookViewId="0">
      <pane ySplit="2" topLeftCell="A3" activePane="bottomLeft" state="frozen"/>
      <selection activeCell="E36" sqref="E36"/>
      <selection pane="bottomLeft" activeCell="D19" sqref="D19"/>
    </sheetView>
  </sheetViews>
  <sheetFormatPr baseColWidth="10" defaultColWidth="11.42578125" defaultRowHeight="12.75" x14ac:dyDescent="0.2"/>
  <cols>
    <col min="1" max="7" width="11.42578125" style="2"/>
    <col min="8" max="8" width="13.85546875" style="2" customWidth="1"/>
    <col min="9" max="10" width="11.42578125" style="2"/>
    <col min="11" max="11" width="4" style="2" customWidth="1"/>
    <col min="12" max="16384" width="11.42578125" style="2"/>
  </cols>
  <sheetData>
    <row r="1" spans="1:19" x14ac:dyDescent="0.2">
      <c r="A1" s="1" t="s">
        <v>80</v>
      </c>
    </row>
    <row r="2" spans="1:19" x14ac:dyDescent="0.2">
      <c r="A2" s="1" t="s">
        <v>0</v>
      </c>
      <c r="L2" s="2" t="s">
        <v>59</v>
      </c>
    </row>
    <row r="3" spans="1:19" x14ac:dyDescent="0.2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9" x14ac:dyDescent="0.2">
      <c r="A4" s="3" t="s">
        <v>11</v>
      </c>
      <c r="B4" s="5">
        <v>0.254</v>
      </c>
      <c r="C4" s="6">
        <f>(1+B4)^(1/2)-1</f>
        <v>0.11982141433355342</v>
      </c>
      <c r="D4" s="6">
        <f>(1+B4)^(1/360)-1</f>
        <v>6.2891557955269128E-4</v>
      </c>
      <c r="E4" s="6">
        <f>(1+B4)^(1/12)-1</f>
        <v>1.9040539286276026E-2</v>
      </c>
      <c r="F4" s="6"/>
      <c r="G4" s="6">
        <f>(1+B4)^(1/4)-1</f>
        <v>5.8216147265554463E-2</v>
      </c>
      <c r="H4" s="6"/>
      <c r="I4" s="6"/>
      <c r="J4" s="7"/>
      <c r="N4" s="2">
        <f>60*24</f>
        <v>1440</v>
      </c>
    </row>
    <row r="5" spans="1:19" x14ac:dyDescent="0.2">
      <c r="L5" s="1" t="s">
        <v>12</v>
      </c>
    </row>
    <row r="6" spans="1:19" x14ac:dyDescent="0.2">
      <c r="A6" s="3" t="s">
        <v>13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L6" s="8" t="s">
        <v>14</v>
      </c>
      <c r="M6" s="9"/>
      <c r="N6" s="9"/>
      <c r="O6" s="10"/>
      <c r="P6" s="11"/>
      <c r="Q6" s="11"/>
      <c r="S6" s="2" t="s">
        <v>15</v>
      </c>
    </row>
    <row r="7" spans="1:19" x14ac:dyDescent="0.2">
      <c r="A7" s="3" t="s">
        <v>11</v>
      </c>
      <c r="B7" s="6">
        <f>(1+C7)^(2/1)-1</f>
        <v>0.40896900000000014</v>
      </c>
      <c r="C7" s="5">
        <v>0.187</v>
      </c>
      <c r="D7" s="6">
        <f>(1+C7)^(1/60)-1</f>
        <v>2.8612374757772674E-3</v>
      </c>
      <c r="E7" s="6">
        <f>(1+C7)^(1/6)-1</f>
        <v>2.8983600360189099E-2</v>
      </c>
      <c r="F7" s="6"/>
      <c r="G7" s="6"/>
      <c r="H7" s="6"/>
      <c r="I7" s="6">
        <f>(1+C7)^(1/12)-1</f>
        <v>1.4388288753468093E-2</v>
      </c>
      <c r="J7" s="6">
        <f>(1+C7)^(1/1440)-1</f>
        <v>1.1905508345755322E-4</v>
      </c>
      <c r="L7" s="8" t="s">
        <v>16</v>
      </c>
      <c r="M7" s="9"/>
      <c r="N7" s="9"/>
      <c r="O7" s="10"/>
      <c r="P7" s="11"/>
      <c r="Q7" s="11"/>
      <c r="S7" s="2" t="s">
        <v>17</v>
      </c>
    </row>
    <row r="9" spans="1:19" x14ac:dyDescent="0.2">
      <c r="A9" s="3" t="s">
        <v>18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L9" s="2" t="s">
        <v>19</v>
      </c>
    </row>
    <row r="10" spans="1:19" x14ac:dyDescent="0.2">
      <c r="A10" s="3" t="s">
        <v>11</v>
      </c>
      <c r="B10" s="6">
        <f>(1+D10)^(360/1)-1</f>
        <v>10.469763827185695</v>
      </c>
      <c r="C10" s="6"/>
      <c r="D10" s="5">
        <v>6.7999999999999996E-3</v>
      </c>
      <c r="E10" s="6">
        <f>(1+D10)^(30/1)-1</f>
        <v>0.22545172162441096</v>
      </c>
      <c r="F10" s="6"/>
      <c r="G10" s="6">
        <f>(1+D10)^(90/1)-1</f>
        <v>0.84029996927273487</v>
      </c>
      <c r="H10" s="6"/>
      <c r="I10" s="6">
        <f>(1+D10)^(15/1)-1</f>
        <v>0.10700122927863576</v>
      </c>
      <c r="J10" s="6"/>
      <c r="L10" s="2" t="s">
        <v>20</v>
      </c>
    </row>
    <row r="11" spans="1:19" ht="15" x14ac:dyDescent="0.25">
      <c r="A11" s="12"/>
      <c r="C11" s="12"/>
      <c r="E11" s="12"/>
      <c r="G11" s="12"/>
    </row>
    <row r="12" spans="1:19" x14ac:dyDescent="0.2">
      <c r="A12" s="3" t="s">
        <v>21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</row>
    <row r="13" spans="1:19" x14ac:dyDescent="0.2">
      <c r="A13" s="3" t="s">
        <v>11</v>
      </c>
      <c r="B13" s="6">
        <f>(1+E13)^(12/1)-1</f>
        <v>1.6470044791845035</v>
      </c>
      <c r="C13" s="6"/>
      <c r="D13" s="6">
        <f>(1+E13)^(1/30)-1</f>
        <v>2.707627395863943E-3</v>
      </c>
      <c r="E13" s="5">
        <v>8.4500000000000006E-2</v>
      </c>
      <c r="F13" s="6"/>
      <c r="G13" s="6">
        <f>(1+E13)^(3/1)-1</f>
        <v>0.27552410112500003</v>
      </c>
      <c r="H13" s="6"/>
      <c r="I13" s="6"/>
      <c r="J13" s="6"/>
      <c r="L13" s="2" t="s">
        <v>83</v>
      </c>
    </row>
    <row r="14" spans="1:19" ht="15" x14ac:dyDescent="0.25">
      <c r="A14" s="12"/>
      <c r="C14" s="12"/>
    </row>
    <row r="15" spans="1:19" x14ac:dyDescent="0.2">
      <c r="A15" s="3" t="s">
        <v>22</v>
      </c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8</v>
      </c>
      <c r="I15" s="4" t="s">
        <v>9</v>
      </c>
      <c r="J15" s="4" t="s">
        <v>10</v>
      </c>
      <c r="L15" s="2" t="s">
        <v>84</v>
      </c>
    </row>
    <row r="16" spans="1:19" x14ac:dyDescent="0.2">
      <c r="A16" s="3" t="s">
        <v>11</v>
      </c>
      <c r="B16" s="6"/>
      <c r="C16" s="6">
        <f>(1+F16)^(3/1)-1</f>
        <v>0.34411081465599969</v>
      </c>
      <c r="D16" s="6">
        <f>(1+F16)^(1/60)-1</f>
        <v>1.6443097865754819E-3</v>
      </c>
      <c r="E16" s="6"/>
      <c r="F16" s="5">
        <v>0.1036</v>
      </c>
      <c r="G16" s="6"/>
      <c r="H16" s="6"/>
      <c r="I16" s="6"/>
      <c r="J16" s="6"/>
      <c r="L16" s="2" t="s">
        <v>85</v>
      </c>
    </row>
    <row r="18" spans="1:12" x14ac:dyDescent="0.2">
      <c r="A18" s="3" t="s">
        <v>23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  <c r="I18" s="4" t="s">
        <v>9</v>
      </c>
      <c r="J18" s="4" t="s">
        <v>10</v>
      </c>
    </row>
    <row r="19" spans="1:12" x14ac:dyDescent="0.2">
      <c r="A19" s="3" t="s">
        <v>11</v>
      </c>
      <c r="B19" s="6"/>
      <c r="C19" s="6"/>
      <c r="D19" s="6">
        <f>(1+G19)^(1/90)-1</f>
        <v>1.629344304269198E-3</v>
      </c>
      <c r="E19" s="6">
        <f>(1+G19)^(1/3)-1</f>
        <v>5.0052907386968437E-2</v>
      </c>
      <c r="F19" s="6"/>
      <c r="G19" s="5">
        <v>0.1578</v>
      </c>
      <c r="H19" s="6">
        <f>(1+G19)^(4/1)-1</f>
        <v>0.79694250204070505</v>
      </c>
      <c r="I19" s="6"/>
      <c r="J19" s="6"/>
      <c r="L19" s="2" t="s">
        <v>86</v>
      </c>
    </row>
    <row r="20" spans="1:12" x14ac:dyDescent="0.2">
      <c r="L20" s="2" t="s">
        <v>87</v>
      </c>
    </row>
    <row r="21" spans="1:12" x14ac:dyDescent="0.2">
      <c r="A21" s="3" t="s">
        <v>24</v>
      </c>
      <c r="B21" s="4" t="s">
        <v>2</v>
      </c>
      <c r="C21" s="4" t="s">
        <v>3</v>
      </c>
      <c r="D21" s="4" t="s">
        <v>4</v>
      </c>
      <c r="E21" s="4" t="s">
        <v>5</v>
      </c>
      <c r="F21" s="4" t="s">
        <v>6</v>
      </c>
      <c r="G21" s="4" t="s">
        <v>7</v>
      </c>
      <c r="H21" s="4" t="s">
        <v>8</v>
      </c>
      <c r="I21" s="4" t="s">
        <v>9</v>
      </c>
      <c r="J21" s="4" t="s">
        <v>10</v>
      </c>
      <c r="L21" s="2" t="s">
        <v>88</v>
      </c>
    </row>
    <row r="22" spans="1:12" x14ac:dyDescent="0.2">
      <c r="A22" s="3" t="s">
        <v>11</v>
      </c>
      <c r="B22" s="6">
        <f>(1+H22)^(3/1)-1</f>
        <v>0.82255403837500007</v>
      </c>
      <c r="C22" s="6"/>
      <c r="D22" s="6"/>
      <c r="E22" s="6"/>
      <c r="F22" s="6"/>
      <c r="G22" s="6"/>
      <c r="H22" s="5">
        <v>0.2215</v>
      </c>
      <c r="I22" s="6"/>
      <c r="J22" s="6"/>
      <c r="L22" s="2" t="s">
        <v>89</v>
      </c>
    </row>
    <row r="24" spans="1:12" x14ac:dyDescent="0.2">
      <c r="A24" s="3" t="s">
        <v>25</v>
      </c>
      <c r="B24" s="4" t="s">
        <v>2</v>
      </c>
      <c r="C24" s="4" t="s">
        <v>3</v>
      </c>
      <c r="D24" s="4" t="s">
        <v>4</v>
      </c>
      <c r="E24" s="4" t="s">
        <v>5</v>
      </c>
      <c r="F24" s="4" t="s">
        <v>6</v>
      </c>
      <c r="G24" s="4" t="s">
        <v>7</v>
      </c>
      <c r="H24" s="4" t="s">
        <v>8</v>
      </c>
      <c r="I24" s="4" t="s">
        <v>9</v>
      </c>
      <c r="J24" s="4" t="s">
        <v>10</v>
      </c>
    </row>
    <row r="25" spans="1:12" x14ac:dyDescent="0.2">
      <c r="A25" s="3" t="s">
        <v>11</v>
      </c>
      <c r="B25" s="6"/>
      <c r="C25" s="6"/>
      <c r="D25" s="6"/>
      <c r="E25" s="6"/>
      <c r="F25" s="6"/>
      <c r="G25" s="6"/>
      <c r="H25" s="6"/>
      <c r="I25" s="5">
        <v>4.5900000000000003E-2</v>
      </c>
      <c r="J25" s="6"/>
    </row>
    <row r="27" spans="1:12" x14ac:dyDescent="0.2">
      <c r="A27" s="3" t="s">
        <v>26</v>
      </c>
      <c r="B27" s="4" t="s">
        <v>2</v>
      </c>
      <c r="C27" s="4" t="s">
        <v>3</v>
      </c>
      <c r="D27" s="4" t="s">
        <v>4</v>
      </c>
      <c r="E27" s="4" t="s">
        <v>5</v>
      </c>
      <c r="F27" s="4" t="s">
        <v>6</v>
      </c>
      <c r="G27" s="4" t="s">
        <v>7</v>
      </c>
      <c r="H27" s="4" t="s">
        <v>8</v>
      </c>
      <c r="I27" s="4" t="s">
        <v>9</v>
      </c>
      <c r="J27" s="4" t="s">
        <v>10</v>
      </c>
    </row>
    <row r="28" spans="1:12" x14ac:dyDescent="0.2">
      <c r="A28" s="3" t="s">
        <v>11</v>
      </c>
      <c r="B28" s="6">
        <f>(1+J28)^(8760/1)-1</f>
        <v>0.24482786902320264</v>
      </c>
      <c r="C28" s="6"/>
      <c r="D28" s="6">
        <f>(1+J28)^(24/1)-1</f>
        <v>6.0017253162891748E-4</v>
      </c>
      <c r="E28" s="6">
        <f>(1+J28)^(720/1)-1</f>
        <v>1.816274730695655E-2</v>
      </c>
      <c r="F28" s="6"/>
      <c r="G28" s="6"/>
      <c r="H28" s="6"/>
      <c r="I28" s="6"/>
      <c r="J28" s="13">
        <v>2.5000000000000001E-5</v>
      </c>
    </row>
    <row r="30" spans="1:12" ht="15" x14ac:dyDescent="0.25">
      <c r="B30" s="14"/>
    </row>
  </sheetData>
  <pageMargins left="0.75" right="0.75" top="1" bottom="1" header="0" footer="0"/>
  <pageSetup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8E8B-997C-40CA-A415-A871587F47E5}">
  <dimension ref="A1:L56"/>
  <sheetViews>
    <sheetView zoomScale="130" zoomScaleNormal="130" workbookViewId="0">
      <pane ySplit="2" topLeftCell="A38" activePane="bottomLeft" state="frozen"/>
      <selection activeCell="E36" sqref="E36"/>
      <selection pane="bottomLeft" activeCell="B54" sqref="B54"/>
    </sheetView>
  </sheetViews>
  <sheetFormatPr baseColWidth="10" defaultColWidth="11.42578125" defaultRowHeight="12.75" x14ac:dyDescent="0.2"/>
  <cols>
    <col min="1" max="1" width="18" style="2" customWidth="1"/>
    <col min="2" max="2" width="18.85546875" style="2" customWidth="1"/>
    <col min="3" max="5" width="11.42578125" style="2"/>
    <col min="6" max="6" width="12.140625" style="2" bestFit="1" customWidth="1"/>
    <col min="7" max="16384" width="11.42578125" style="2"/>
  </cols>
  <sheetData>
    <row r="1" spans="1:12" x14ac:dyDescent="0.2">
      <c r="A1" s="1" t="s">
        <v>81</v>
      </c>
    </row>
    <row r="2" spans="1:12" x14ac:dyDescent="0.2">
      <c r="A2" s="1" t="s">
        <v>27</v>
      </c>
    </row>
    <row r="4" spans="1:12" x14ac:dyDescent="0.2">
      <c r="A4" s="1" t="s">
        <v>1</v>
      </c>
      <c r="B4" s="16" t="s">
        <v>28</v>
      </c>
      <c r="F4" s="2" t="s">
        <v>91</v>
      </c>
    </row>
    <row r="5" spans="1:12" x14ac:dyDescent="0.2">
      <c r="A5" s="17" t="s">
        <v>29</v>
      </c>
      <c r="B5" s="34">
        <v>25450</v>
      </c>
      <c r="C5" s="17" t="s">
        <v>30</v>
      </c>
      <c r="D5" s="17"/>
      <c r="E5" s="17"/>
    </row>
    <row r="6" spans="1:12" x14ac:dyDescent="0.2">
      <c r="A6" s="17" t="s">
        <v>31</v>
      </c>
      <c r="B6" s="19">
        <v>0.1865</v>
      </c>
      <c r="C6" s="17" t="s">
        <v>32</v>
      </c>
      <c r="D6" s="17" t="s">
        <v>33</v>
      </c>
      <c r="E6" s="17"/>
      <c r="F6" s="15">
        <f>(1+B6)^(1/12)-1</f>
        <v>1.4352674312893887E-2</v>
      </c>
      <c r="G6" s="2" t="s">
        <v>92</v>
      </c>
      <c r="I6" s="36">
        <v>0.09</v>
      </c>
      <c r="J6" s="2" t="s">
        <v>93</v>
      </c>
      <c r="K6" s="15">
        <f>(1+I6)^(1/12)-1</f>
        <v>7.2073233161367156E-3</v>
      </c>
      <c r="L6" s="2" t="s">
        <v>92</v>
      </c>
    </row>
    <row r="7" spans="1:12" x14ac:dyDescent="0.2">
      <c r="A7" s="17" t="s">
        <v>34</v>
      </c>
      <c r="B7" s="20">
        <f>B5*B6</f>
        <v>4746.4250000000002</v>
      </c>
      <c r="C7" s="17" t="s">
        <v>35</v>
      </c>
      <c r="D7" s="17"/>
      <c r="E7" s="17"/>
    </row>
    <row r="8" spans="1:12" x14ac:dyDescent="0.2">
      <c r="A8" s="17" t="s">
        <v>36</v>
      </c>
      <c r="B8" s="35">
        <f>B5+B7</f>
        <v>30196.424999999999</v>
      </c>
      <c r="C8" s="17" t="s">
        <v>37</v>
      </c>
      <c r="D8" s="17" t="s">
        <v>38</v>
      </c>
      <c r="E8" s="17"/>
    </row>
    <row r="9" spans="1:12" ht="15" x14ac:dyDescent="0.25">
      <c r="A9" s="17"/>
      <c r="B9" s="17"/>
      <c r="C9" s="17"/>
      <c r="D9" s="443">
        <f>B8-B5</f>
        <v>4746.4249999999993</v>
      </c>
      <c r="E9" s="17" t="s">
        <v>850</v>
      </c>
      <c r="F9" s="22"/>
      <c r="K9" s="15">
        <f>K12-K6</f>
        <v>5.651726174445737E-2</v>
      </c>
      <c r="L9" s="2" t="s">
        <v>94</v>
      </c>
    </row>
    <row r="10" spans="1:12" x14ac:dyDescent="0.2">
      <c r="A10" s="16" t="s">
        <v>13</v>
      </c>
      <c r="B10" s="16" t="s">
        <v>39</v>
      </c>
      <c r="C10" s="17"/>
      <c r="D10" s="17"/>
      <c r="E10" s="17"/>
    </row>
    <row r="11" spans="1:12" x14ac:dyDescent="0.2">
      <c r="A11" s="17" t="s">
        <v>40</v>
      </c>
      <c r="B11" s="34">
        <v>45000</v>
      </c>
      <c r="C11" s="17" t="s">
        <v>30</v>
      </c>
      <c r="D11" s="17"/>
      <c r="E11" s="17"/>
    </row>
    <row r="12" spans="1:12" x14ac:dyDescent="0.2">
      <c r="A12" s="17" t="s">
        <v>31</v>
      </c>
      <c r="B12" s="19">
        <v>0.42149999999999999</v>
      </c>
      <c r="C12" s="17" t="s">
        <v>32</v>
      </c>
      <c r="D12" s="17" t="s">
        <v>33</v>
      </c>
      <c r="E12" s="17"/>
      <c r="F12" s="15">
        <f>(1+B12)^(1/12)-1</f>
        <v>2.974313503148851E-2</v>
      </c>
      <c r="G12" s="2" t="s">
        <v>92</v>
      </c>
      <c r="I12" s="15">
        <v>1.0987</v>
      </c>
      <c r="J12" s="2" t="s">
        <v>93</v>
      </c>
      <c r="K12" s="15">
        <f>(1+I12)^(1/12)-1</f>
        <v>6.3724585060594086E-2</v>
      </c>
      <c r="L12" s="2" t="s">
        <v>92</v>
      </c>
    </row>
    <row r="13" spans="1:12" x14ac:dyDescent="0.2">
      <c r="A13" s="17" t="s">
        <v>34</v>
      </c>
      <c r="B13" s="20">
        <f>B11*B12</f>
        <v>18967.5</v>
      </c>
      <c r="C13" s="17" t="s">
        <v>35</v>
      </c>
      <c r="D13" s="17"/>
      <c r="E13" s="17"/>
      <c r="F13" s="23"/>
    </row>
    <row r="14" spans="1:12" x14ac:dyDescent="0.2">
      <c r="A14" s="17" t="s">
        <v>41</v>
      </c>
      <c r="B14" s="35">
        <f>B11+B13</f>
        <v>63967.5</v>
      </c>
      <c r="C14" s="17" t="s">
        <v>37</v>
      </c>
      <c r="D14" s="17" t="s">
        <v>42</v>
      </c>
      <c r="E14" s="17"/>
      <c r="F14" s="23"/>
    </row>
    <row r="15" spans="1:12" x14ac:dyDescent="0.2">
      <c r="A15" s="17"/>
      <c r="B15" s="17"/>
      <c r="C15" s="17"/>
      <c r="D15" s="443">
        <f>B14-B11</f>
        <v>18967.5</v>
      </c>
      <c r="E15" s="17" t="s">
        <v>849</v>
      </c>
      <c r="F15" s="23"/>
    </row>
    <row r="16" spans="1:12" x14ac:dyDescent="0.2">
      <c r="A16" s="17"/>
      <c r="B16" s="17"/>
      <c r="C16" s="17"/>
      <c r="D16" s="17"/>
      <c r="E16" s="17"/>
    </row>
    <row r="17" spans="1:5" x14ac:dyDescent="0.2">
      <c r="A17" s="16" t="s">
        <v>18</v>
      </c>
      <c r="B17" s="16" t="s">
        <v>43</v>
      </c>
      <c r="C17" s="17"/>
      <c r="D17" s="17"/>
      <c r="E17" s="17"/>
    </row>
    <row r="18" spans="1:5" x14ac:dyDescent="0.2">
      <c r="A18" s="17" t="s">
        <v>40</v>
      </c>
      <c r="B18" s="34">
        <v>35000</v>
      </c>
      <c r="C18" s="17" t="s">
        <v>30</v>
      </c>
      <c r="D18" s="17"/>
      <c r="E18" s="17"/>
    </row>
    <row r="19" spans="1:5" x14ac:dyDescent="0.2">
      <c r="A19" s="17" t="s">
        <v>31</v>
      </c>
      <c r="B19" s="19">
        <v>0.35599999999999998</v>
      </c>
      <c r="C19" s="17" t="s">
        <v>32</v>
      </c>
      <c r="D19" s="17" t="s">
        <v>33</v>
      </c>
      <c r="E19" s="17"/>
    </row>
    <row r="20" spans="1:5" x14ac:dyDescent="0.2">
      <c r="A20" s="17" t="s">
        <v>34</v>
      </c>
      <c r="B20" s="35">
        <f>B19*B18</f>
        <v>12460</v>
      </c>
      <c r="C20" s="17" t="s">
        <v>35</v>
      </c>
      <c r="D20" s="17"/>
      <c r="E20" s="17"/>
    </row>
    <row r="21" spans="1:5" x14ac:dyDescent="0.2">
      <c r="A21" s="17" t="s">
        <v>41</v>
      </c>
      <c r="B21" s="35">
        <f>B18+B20</f>
        <v>47460</v>
      </c>
      <c r="C21" s="17" t="s">
        <v>37</v>
      </c>
      <c r="D21" s="17" t="s">
        <v>42</v>
      </c>
      <c r="E21" s="17"/>
    </row>
    <row r="22" spans="1:5" x14ac:dyDescent="0.2">
      <c r="A22" s="17" t="s">
        <v>44</v>
      </c>
      <c r="B22" s="37">
        <f>10*12</f>
        <v>120</v>
      </c>
      <c r="C22" s="17"/>
      <c r="D22" s="17"/>
      <c r="E22" s="17"/>
    </row>
    <row r="23" spans="1:5" x14ac:dyDescent="0.2">
      <c r="A23" s="17" t="s">
        <v>45</v>
      </c>
      <c r="B23" s="20">
        <f>0.75%*B18</f>
        <v>262.5</v>
      </c>
      <c r="C23" s="17"/>
      <c r="D23" s="17" t="s">
        <v>851</v>
      </c>
      <c r="E23" s="17"/>
    </row>
    <row r="24" spans="1:5" x14ac:dyDescent="0.2">
      <c r="A24" s="17" t="s">
        <v>46</v>
      </c>
      <c r="B24" s="20">
        <f>B21+B22+B23</f>
        <v>47842.5</v>
      </c>
      <c r="C24" s="17"/>
      <c r="D24" s="17"/>
      <c r="E24" s="17"/>
    </row>
    <row r="25" spans="1:5" x14ac:dyDescent="0.2">
      <c r="A25" s="17" t="s">
        <v>47</v>
      </c>
      <c r="B25" s="20">
        <f>B24-B18</f>
        <v>12842.5</v>
      </c>
      <c r="C25" s="17"/>
      <c r="D25" s="17"/>
      <c r="E25" s="17"/>
    </row>
    <row r="26" spans="1:5" x14ac:dyDescent="0.2">
      <c r="A26" s="17" t="s">
        <v>48</v>
      </c>
      <c r="B26" s="24">
        <f>B25/B18</f>
        <v>0.36692857142857144</v>
      </c>
      <c r="C26" s="17" t="s">
        <v>49</v>
      </c>
      <c r="D26" s="17"/>
      <c r="E26" s="17"/>
    </row>
    <row r="27" spans="1:5" x14ac:dyDescent="0.2">
      <c r="A27" s="17"/>
      <c r="B27" s="17"/>
      <c r="C27" s="17"/>
      <c r="D27" s="17"/>
      <c r="E27" s="17"/>
    </row>
    <row r="28" spans="1:5" x14ac:dyDescent="0.2">
      <c r="A28" s="1" t="s">
        <v>21</v>
      </c>
      <c r="B28" s="16" t="s">
        <v>28</v>
      </c>
      <c r="E28" s="17"/>
    </row>
    <row r="29" spans="1:5" x14ac:dyDescent="0.2">
      <c r="A29" s="17" t="s">
        <v>29</v>
      </c>
      <c r="B29" s="18">
        <v>25450</v>
      </c>
      <c r="C29" s="17" t="s">
        <v>30</v>
      </c>
      <c r="D29" s="17"/>
      <c r="E29" s="17"/>
    </row>
    <row r="30" spans="1:5" x14ac:dyDescent="0.2">
      <c r="A30" s="17" t="s">
        <v>31</v>
      </c>
      <c r="B30" s="19">
        <v>5.3999999999999999E-2</v>
      </c>
      <c r="C30" s="17" t="s">
        <v>50</v>
      </c>
      <c r="D30" s="17" t="s">
        <v>33</v>
      </c>
    </row>
    <row r="31" spans="1:5" x14ac:dyDescent="0.2">
      <c r="A31" s="17" t="s">
        <v>51</v>
      </c>
      <c r="B31" s="25">
        <v>2</v>
      </c>
      <c r="C31" s="17" t="s">
        <v>52</v>
      </c>
      <c r="D31" s="17"/>
    </row>
    <row r="32" spans="1:5" x14ac:dyDescent="0.2">
      <c r="A32" s="17" t="s">
        <v>51</v>
      </c>
      <c r="B32" s="25">
        <f>B31*12</f>
        <v>24</v>
      </c>
      <c r="C32" s="17" t="s">
        <v>53</v>
      </c>
      <c r="D32" s="17"/>
    </row>
    <row r="33" spans="1:4" x14ac:dyDescent="0.2">
      <c r="A33" s="17" t="s">
        <v>34</v>
      </c>
      <c r="B33" s="20"/>
      <c r="C33" s="17"/>
      <c r="D33" s="17"/>
    </row>
    <row r="34" spans="1:4" x14ac:dyDescent="0.2">
      <c r="A34" s="17" t="s">
        <v>36</v>
      </c>
      <c r="B34" s="21"/>
      <c r="C34" s="17" t="s">
        <v>37</v>
      </c>
      <c r="D34" s="17" t="s">
        <v>38</v>
      </c>
    </row>
    <row r="35" spans="1:4" x14ac:dyDescent="0.2">
      <c r="A35" s="17"/>
      <c r="B35" s="17"/>
      <c r="C35" s="17"/>
      <c r="D35" s="17"/>
    </row>
    <row r="36" spans="1:4" x14ac:dyDescent="0.2">
      <c r="A36" s="16" t="s">
        <v>22</v>
      </c>
      <c r="B36" s="16" t="s">
        <v>39</v>
      </c>
      <c r="C36" s="17"/>
      <c r="D36" s="17"/>
    </row>
    <row r="37" spans="1:4" x14ac:dyDescent="0.2">
      <c r="A37" s="17" t="s">
        <v>40</v>
      </c>
      <c r="B37" s="18">
        <v>468790</v>
      </c>
      <c r="C37" s="17" t="s">
        <v>30</v>
      </c>
      <c r="D37" s="17"/>
    </row>
    <row r="38" spans="1:4" x14ac:dyDescent="0.2">
      <c r="A38" s="17" t="s">
        <v>31</v>
      </c>
      <c r="B38" s="19">
        <v>0.85699999999999998</v>
      </c>
      <c r="C38" s="17" t="s">
        <v>32</v>
      </c>
      <c r="D38" s="17" t="s">
        <v>33</v>
      </c>
    </row>
    <row r="39" spans="1:4" x14ac:dyDescent="0.2">
      <c r="A39" s="17" t="s">
        <v>51</v>
      </c>
      <c r="B39" s="25">
        <v>5</v>
      </c>
      <c r="C39" s="17" t="s">
        <v>52</v>
      </c>
      <c r="D39" s="17"/>
    </row>
    <row r="40" spans="1:4" x14ac:dyDescent="0.2">
      <c r="A40" s="17" t="s">
        <v>34</v>
      </c>
      <c r="B40" s="26"/>
      <c r="C40" s="17" t="s">
        <v>35</v>
      </c>
      <c r="D40" s="17"/>
    </row>
    <row r="41" spans="1:4" x14ac:dyDescent="0.2">
      <c r="A41" s="17" t="s">
        <v>41</v>
      </c>
      <c r="B41" s="21"/>
      <c r="C41" s="17" t="s">
        <v>37</v>
      </c>
      <c r="D41" s="17" t="s">
        <v>42</v>
      </c>
    </row>
    <row r="42" spans="1:4" x14ac:dyDescent="0.2">
      <c r="A42" s="17"/>
      <c r="B42" s="17"/>
      <c r="C42" s="17"/>
      <c r="D42" s="17"/>
    </row>
    <row r="43" spans="1:4" x14ac:dyDescent="0.2">
      <c r="A43" s="17"/>
      <c r="B43" s="17"/>
      <c r="C43" s="17"/>
      <c r="D43" s="17"/>
    </row>
    <row r="44" spans="1:4" x14ac:dyDescent="0.2">
      <c r="A44" s="16" t="s">
        <v>23</v>
      </c>
      <c r="B44" s="16" t="s">
        <v>43</v>
      </c>
      <c r="C44" s="17"/>
      <c r="D44" s="17"/>
    </row>
    <row r="45" spans="1:4" x14ac:dyDescent="0.2">
      <c r="A45" s="17" t="s">
        <v>40</v>
      </c>
      <c r="B45" s="18">
        <v>48950</v>
      </c>
      <c r="C45" s="17" t="s">
        <v>30</v>
      </c>
      <c r="D45" s="17"/>
    </row>
    <row r="46" spans="1:4" x14ac:dyDescent="0.2">
      <c r="A46" s="17" t="s">
        <v>31</v>
      </c>
      <c r="B46" s="19">
        <v>5.0000000000000001E-3</v>
      </c>
      <c r="C46" s="17" t="s">
        <v>50</v>
      </c>
      <c r="D46" s="17" t="s">
        <v>33</v>
      </c>
    </row>
    <row r="47" spans="1:4" x14ac:dyDescent="0.2">
      <c r="A47" s="17" t="s">
        <v>51</v>
      </c>
      <c r="B47" s="25">
        <v>3</v>
      </c>
      <c r="C47" s="17" t="s">
        <v>52</v>
      </c>
      <c r="D47" s="17"/>
    </row>
    <row r="48" spans="1:4" x14ac:dyDescent="0.2">
      <c r="A48" s="17" t="s">
        <v>51</v>
      </c>
      <c r="B48" s="25">
        <f>B47*12</f>
        <v>36</v>
      </c>
      <c r="C48" s="17" t="s">
        <v>53</v>
      </c>
      <c r="D48" s="17"/>
    </row>
    <row r="49" spans="1:4" x14ac:dyDescent="0.2">
      <c r="A49" s="17" t="s">
        <v>34</v>
      </c>
      <c r="B49" s="21"/>
      <c r="C49" s="17"/>
      <c r="D49" s="17"/>
    </row>
    <row r="50" spans="1:4" x14ac:dyDescent="0.2">
      <c r="A50" s="17" t="s">
        <v>41</v>
      </c>
      <c r="B50" s="21"/>
      <c r="C50" s="17" t="s">
        <v>37</v>
      </c>
      <c r="D50" s="17" t="s">
        <v>42</v>
      </c>
    </row>
    <row r="51" spans="1:4" x14ac:dyDescent="0.2">
      <c r="A51" s="17" t="s">
        <v>44</v>
      </c>
      <c r="B51" s="17">
        <f>10*15*3</f>
        <v>450</v>
      </c>
      <c r="C51" s="17" t="s">
        <v>54</v>
      </c>
      <c r="D51" s="17"/>
    </row>
    <row r="52" spans="1:4" x14ac:dyDescent="0.2">
      <c r="A52" s="17" t="s">
        <v>55</v>
      </c>
      <c r="B52" s="17">
        <f>95*3</f>
        <v>285</v>
      </c>
      <c r="C52" s="17" t="s">
        <v>54</v>
      </c>
      <c r="D52" s="17"/>
    </row>
    <row r="53" spans="1:4" x14ac:dyDescent="0.2">
      <c r="A53" s="17" t="s">
        <v>45</v>
      </c>
      <c r="B53" s="26"/>
      <c r="C53" s="17"/>
      <c r="D53" s="17"/>
    </row>
    <row r="54" spans="1:4" x14ac:dyDescent="0.2">
      <c r="A54" s="17" t="s">
        <v>46</v>
      </c>
      <c r="B54" s="26"/>
      <c r="C54" s="17"/>
      <c r="D54" s="17"/>
    </row>
    <row r="55" spans="1:4" x14ac:dyDescent="0.2">
      <c r="A55" s="17" t="s">
        <v>47</v>
      </c>
      <c r="B55" s="26"/>
      <c r="C55" s="17"/>
      <c r="D55" s="17"/>
    </row>
    <row r="56" spans="1:4" x14ac:dyDescent="0.2">
      <c r="A56" s="17" t="s">
        <v>48</v>
      </c>
      <c r="B56" s="27"/>
      <c r="C56" s="17" t="s">
        <v>56</v>
      </c>
      <c r="D56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4DCC-7C19-480E-913F-BDE1B27D8327}">
  <dimension ref="A1:E51"/>
  <sheetViews>
    <sheetView zoomScale="140" zoomScaleNormal="140" workbookViewId="0">
      <pane ySplit="2" topLeftCell="A3" activePane="bottomLeft" state="frozen"/>
      <selection pane="bottomLeft" activeCell="B21" sqref="B21"/>
    </sheetView>
  </sheetViews>
  <sheetFormatPr baseColWidth="10" defaultColWidth="11.42578125" defaultRowHeight="12.75" x14ac:dyDescent="0.2"/>
  <cols>
    <col min="1" max="7" width="11.42578125" style="2"/>
    <col min="8" max="8" width="13.85546875" style="2" customWidth="1"/>
    <col min="9" max="16384" width="11.42578125" style="2"/>
  </cols>
  <sheetData>
    <row r="1" spans="1:5" x14ac:dyDescent="0.2">
      <c r="A1" s="1" t="s">
        <v>82</v>
      </c>
    </row>
    <row r="2" spans="1:5" x14ac:dyDescent="0.2">
      <c r="A2" s="1" t="s">
        <v>77</v>
      </c>
    </row>
    <row r="3" spans="1:5" x14ac:dyDescent="0.2">
      <c r="A3" s="1" t="s">
        <v>60</v>
      </c>
    </row>
    <row r="4" spans="1:5" x14ac:dyDescent="0.2">
      <c r="A4" s="2" t="s">
        <v>62</v>
      </c>
      <c r="B4" s="28">
        <v>125000</v>
      </c>
    </row>
    <row r="5" spans="1:5" x14ac:dyDescent="0.2">
      <c r="A5" s="2" t="s">
        <v>63</v>
      </c>
      <c r="B5" s="15">
        <v>0.64200000000000002</v>
      </c>
      <c r="C5" s="15" t="s">
        <v>32</v>
      </c>
      <c r="D5" s="15">
        <f>(1+B5)^(1/12)-1</f>
        <v>4.2192066205793521E-2</v>
      </c>
      <c r="E5" s="2" t="s">
        <v>50</v>
      </c>
    </row>
    <row r="6" spans="1:5" x14ac:dyDescent="0.2">
      <c r="A6" s="2" t="s">
        <v>64</v>
      </c>
      <c r="B6" s="2">
        <v>8</v>
      </c>
      <c r="C6" s="2" t="s">
        <v>53</v>
      </c>
    </row>
    <row r="7" spans="1:5" x14ac:dyDescent="0.2">
      <c r="A7" s="2" t="s">
        <v>65</v>
      </c>
    </row>
    <row r="8" spans="1:5" x14ac:dyDescent="0.2">
      <c r="C8" s="29"/>
    </row>
    <row r="9" spans="1:5" x14ac:dyDescent="0.2">
      <c r="A9" s="2" t="s">
        <v>66</v>
      </c>
      <c r="B9" s="33"/>
      <c r="C9" s="31"/>
    </row>
    <row r="11" spans="1:5" x14ac:dyDescent="0.2">
      <c r="A11" s="2" t="s">
        <v>67</v>
      </c>
      <c r="B11" s="33">
        <f>FV(D5,B6,,-B4)</f>
        <v>173977.11101238811</v>
      </c>
      <c r="C11" s="23"/>
    </row>
    <row r="13" spans="1:5" x14ac:dyDescent="0.2">
      <c r="A13" s="1" t="s">
        <v>69</v>
      </c>
    </row>
    <row r="14" spans="1:5" x14ac:dyDescent="0.2">
      <c r="A14" s="2" t="s">
        <v>70</v>
      </c>
      <c r="B14" s="28">
        <v>84596</v>
      </c>
    </row>
    <row r="15" spans="1:5" x14ac:dyDescent="0.2">
      <c r="A15" s="2" t="s">
        <v>63</v>
      </c>
      <c r="B15" s="15">
        <v>0.46500000000000002</v>
      </c>
      <c r="C15" s="15" t="s">
        <v>32</v>
      </c>
      <c r="D15" s="15">
        <f>(1+B15)^(1/12)-1</f>
        <v>3.2332980154400559E-2</v>
      </c>
      <c r="E15" s="2" t="s">
        <v>50</v>
      </c>
    </row>
    <row r="16" spans="1:5" x14ac:dyDescent="0.2">
      <c r="A16" s="2" t="s">
        <v>64</v>
      </c>
      <c r="B16" s="2">
        <v>36</v>
      </c>
      <c r="C16" s="2" t="s">
        <v>53</v>
      </c>
    </row>
    <row r="17" spans="1:5" x14ac:dyDescent="0.2">
      <c r="A17" s="2" t="s">
        <v>71</v>
      </c>
    </row>
    <row r="18" spans="1:5" x14ac:dyDescent="0.2">
      <c r="C18" s="29"/>
    </row>
    <row r="19" spans="1:5" x14ac:dyDescent="0.2">
      <c r="A19" s="2" t="s">
        <v>66</v>
      </c>
      <c r="B19" s="33"/>
      <c r="C19" s="31"/>
    </row>
    <row r="21" spans="1:5" x14ac:dyDescent="0.2">
      <c r="A21" s="2" t="s">
        <v>67</v>
      </c>
      <c r="B21" s="33"/>
      <c r="C21" s="23"/>
    </row>
    <row r="23" spans="1:5" x14ac:dyDescent="0.2">
      <c r="A23" s="1" t="s">
        <v>72</v>
      </c>
    </row>
    <row r="24" spans="1:5" x14ac:dyDescent="0.2">
      <c r="A24" s="2" t="s">
        <v>70</v>
      </c>
      <c r="B24" s="28">
        <v>145783</v>
      </c>
    </row>
    <row r="25" spans="1:5" x14ac:dyDescent="0.2">
      <c r="A25" s="2" t="s">
        <v>63</v>
      </c>
      <c r="B25" s="15">
        <v>0.1211</v>
      </c>
      <c r="C25" s="15" t="s">
        <v>50</v>
      </c>
      <c r="D25" s="15">
        <f>(1+B25)^(12/1)-1</f>
        <v>2.9421416993072027</v>
      </c>
      <c r="E25" s="2" t="s">
        <v>32</v>
      </c>
    </row>
    <row r="26" spans="1:5" x14ac:dyDescent="0.2">
      <c r="A26" s="2" t="s">
        <v>64</v>
      </c>
      <c r="B26" s="2">
        <v>3</v>
      </c>
      <c r="C26" s="2" t="s">
        <v>52</v>
      </c>
    </row>
    <row r="27" spans="1:5" x14ac:dyDescent="0.2">
      <c r="A27" s="2" t="s">
        <v>71</v>
      </c>
    </row>
    <row r="28" spans="1:5" x14ac:dyDescent="0.2">
      <c r="C28" s="29"/>
    </row>
    <row r="29" spans="1:5" x14ac:dyDescent="0.2">
      <c r="A29" s="2" t="s">
        <v>66</v>
      </c>
      <c r="B29" s="33"/>
      <c r="C29" s="31"/>
    </row>
    <row r="31" spans="1:5" x14ac:dyDescent="0.2">
      <c r="A31" s="2" t="s">
        <v>67</v>
      </c>
      <c r="B31" s="33"/>
      <c r="C31" s="23"/>
    </row>
    <row r="33" spans="1:5" x14ac:dyDescent="0.2">
      <c r="A33" s="1" t="s">
        <v>73</v>
      </c>
    </row>
    <row r="34" spans="1:5" x14ac:dyDescent="0.2">
      <c r="A34" s="2" t="s">
        <v>62</v>
      </c>
      <c r="B34" s="28">
        <v>65423</v>
      </c>
    </row>
    <row r="35" spans="1:5" x14ac:dyDescent="0.2">
      <c r="A35" s="2" t="s">
        <v>63</v>
      </c>
      <c r="B35" s="15">
        <v>0.25800000000000001</v>
      </c>
      <c r="C35" s="15" t="s">
        <v>32</v>
      </c>
      <c r="D35" s="15">
        <f>(1+B35)^(1/12)-1</f>
        <v>1.9311021408296769E-2</v>
      </c>
      <c r="E35" s="2" t="s">
        <v>50</v>
      </c>
    </row>
    <row r="36" spans="1:5" x14ac:dyDescent="0.2">
      <c r="A36" s="2" t="s">
        <v>64</v>
      </c>
      <c r="B36" s="2">
        <v>10</v>
      </c>
      <c r="C36" s="2" t="s">
        <v>53</v>
      </c>
    </row>
    <row r="37" spans="1:5" x14ac:dyDescent="0.2">
      <c r="A37" s="2" t="s">
        <v>78</v>
      </c>
    </row>
    <row r="38" spans="1:5" x14ac:dyDescent="0.2">
      <c r="C38" s="29"/>
    </row>
    <row r="39" spans="1:5" x14ac:dyDescent="0.2">
      <c r="A39" s="2" t="s">
        <v>66</v>
      </c>
      <c r="B39" s="33"/>
      <c r="C39" s="31"/>
    </row>
    <row r="41" spans="1:5" x14ac:dyDescent="0.2">
      <c r="A41" s="2" t="s">
        <v>67</v>
      </c>
      <c r="B41" s="33"/>
      <c r="C41" s="23"/>
    </row>
    <row r="43" spans="1:5" x14ac:dyDescent="0.2">
      <c r="A43" s="1" t="s">
        <v>74</v>
      </c>
    </row>
    <row r="44" spans="1:5" x14ac:dyDescent="0.2">
      <c r="A44" s="2" t="s">
        <v>70</v>
      </c>
      <c r="B44" s="28">
        <v>35462</v>
      </c>
    </row>
    <row r="45" spans="1:5" x14ac:dyDescent="0.2">
      <c r="A45" s="2" t="s">
        <v>63</v>
      </c>
      <c r="B45" s="15">
        <v>0.105</v>
      </c>
      <c r="C45" s="15" t="s">
        <v>50</v>
      </c>
      <c r="D45" s="15">
        <f>(1+B45)^(12/1)-1</f>
        <v>2.3139605657298077</v>
      </c>
      <c r="E45" s="2" t="s">
        <v>32</v>
      </c>
    </row>
    <row r="46" spans="1:5" x14ac:dyDescent="0.2">
      <c r="A46" s="2" t="s">
        <v>64</v>
      </c>
      <c r="B46" s="2">
        <v>5</v>
      </c>
      <c r="C46" s="2" t="s">
        <v>52</v>
      </c>
    </row>
    <row r="47" spans="1:5" x14ac:dyDescent="0.2">
      <c r="A47" s="2" t="s">
        <v>79</v>
      </c>
    </row>
    <row r="48" spans="1:5" x14ac:dyDescent="0.2">
      <c r="C48" s="29"/>
    </row>
    <row r="49" spans="1:3" x14ac:dyDescent="0.2">
      <c r="A49" s="2" t="s">
        <v>66</v>
      </c>
      <c r="B49" s="33"/>
      <c r="C49" s="31"/>
    </row>
    <row r="51" spans="1:3" x14ac:dyDescent="0.2">
      <c r="A51" s="2" t="s">
        <v>67</v>
      </c>
      <c r="B51" s="33"/>
      <c r="C51" s="23"/>
    </row>
  </sheetData>
  <pageMargins left="0.75" right="0.75" top="1" bottom="1" header="0" footer="0"/>
  <pageSetup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1EAF-F478-4222-81D3-EBBA8E4F1946}">
  <dimension ref="A1:J35"/>
  <sheetViews>
    <sheetView topLeftCell="A7" zoomScale="140" zoomScaleNormal="140" workbookViewId="0">
      <selection activeCell="E20" sqref="E20"/>
    </sheetView>
  </sheetViews>
  <sheetFormatPr baseColWidth="10" defaultColWidth="11.42578125" defaultRowHeight="12.75" x14ac:dyDescent="0.2"/>
  <cols>
    <col min="1" max="1" width="9.42578125" style="39" customWidth="1"/>
    <col min="2" max="2" width="11.42578125" style="39"/>
    <col min="3" max="3" width="9.140625" style="39" customWidth="1"/>
    <col min="4" max="4" width="8.85546875" style="39" customWidth="1"/>
    <col min="5" max="5" width="11.42578125" style="39"/>
    <col min="6" max="6" width="9.42578125" style="39" customWidth="1"/>
    <col min="7" max="7" width="14.28515625" style="39" customWidth="1"/>
    <col min="8" max="8" width="22" style="39" customWidth="1"/>
    <col min="9" max="16384" width="11.42578125" style="39"/>
  </cols>
  <sheetData>
    <row r="1" spans="1:8" x14ac:dyDescent="0.2">
      <c r="A1" s="74" t="s">
        <v>203</v>
      </c>
      <c r="B1" s="75"/>
      <c r="C1" s="75"/>
    </row>
    <row r="3" spans="1:8" x14ac:dyDescent="0.2">
      <c r="A3" s="444" t="s">
        <v>204</v>
      </c>
      <c r="B3" s="444"/>
      <c r="C3" s="444"/>
      <c r="D3" s="444"/>
      <c r="E3" s="444"/>
      <c r="F3" s="444"/>
      <c r="G3" s="444"/>
      <c r="H3" s="445"/>
    </row>
    <row r="4" spans="1:8" ht="9" customHeight="1" x14ac:dyDescent="0.2"/>
    <row r="5" spans="1:8" x14ac:dyDescent="0.2">
      <c r="A5" s="39" t="s">
        <v>205</v>
      </c>
      <c r="F5" s="39" t="s">
        <v>852</v>
      </c>
    </row>
    <row r="6" spans="1:8" x14ac:dyDescent="0.2">
      <c r="F6" s="39" t="s">
        <v>853</v>
      </c>
    </row>
    <row r="7" spans="1:8" x14ac:dyDescent="0.2">
      <c r="B7" s="77">
        <v>0</v>
      </c>
      <c r="C7" s="77">
        <v>1</v>
      </c>
      <c r="D7" s="77">
        <v>2</v>
      </c>
    </row>
    <row r="8" spans="1:8" x14ac:dyDescent="0.2">
      <c r="A8" s="78" t="s">
        <v>206</v>
      </c>
      <c r="B8" s="79">
        <v>10000</v>
      </c>
      <c r="C8" s="80">
        <f>-9000</f>
        <v>-9000</v>
      </c>
      <c r="D8" s="80">
        <f>-2200</f>
        <v>-2200</v>
      </c>
      <c r="G8" s="39" t="s">
        <v>854</v>
      </c>
    </row>
    <row r="9" spans="1:8" x14ac:dyDescent="0.2">
      <c r="A9" s="78" t="s">
        <v>207</v>
      </c>
      <c r="B9" s="79">
        <v>10000</v>
      </c>
      <c r="C9" s="80">
        <f>-2800</f>
        <v>-2800</v>
      </c>
      <c r="D9" s="80">
        <f>-8640</f>
        <v>-8640</v>
      </c>
      <c r="G9" s="39" t="s">
        <v>855</v>
      </c>
    </row>
    <row r="10" spans="1:8" x14ac:dyDescent="0.2">
      <c r="G10" s="39" t="s">
        <v>856</v>
      </c>
    </row>
    <row r="11" spans="1:8" x14ac:dyDescent="0.2">
      <c r="A11" s="39" t="s">
        <v>208</v>
      </c>
      <c r="G11" s="39" t="s">
        <v>857</v>
      </c>
    </row>
    <row r="13" spans="1:8" x14ac:dyDescent="0.2">
      <c r="B13" s="77">
        <v>0</v>
      </c>
      <c r="C13" s="77">
        <v>1</v>
      </c>
      <c r="D13" s="77">
        <v>2</v>
      </c>
      <c r="E13" s="77" t="s">
        <v>193</v>
      </c>
    </row>
    <row r="14" spans="1:8" x14ac:dyDescent="0.2">
      <c r="A14" s="78" t="s">
        <v>206</v>
      </c>
      <c r="B14" s="80">
        <v>10000</v>
      </c>
      <c r="C14" s="80">
        <f>-9000</f>
        <v>-9000</v>
      </c>
      <c r="D14" s="80">
        <f>-2200</f>
        <v>-2200</v>
      </c>
      <c r="E14" s="81">
        <f>-(D14+C14+B14)</f>
        <v>1200</v>
      </c>
      <c r="G14" s="39" t="s">
        <v>209</v>
      </c>
    </row>
    <row r="15" spans="1:8" ht="16.5" customHeight="1" x14ac:dyDescent="0.2">
      <c r="A15" s="78" t="s">
        <v>207</v>
      </c>
      <c r="B15" s="80">
        <v>10000</v>
      </c>
      <c r="C15" s="80">
        <f>C9</f>
        <v>-2800</v>
      </c>
      <c r="D15" s="80">
        <f>D9</f>
        <v>-8640</v>
      </c>
      <c r="E15" s="80">
        <f>-SUM(C15:D15)-B15</f>
        <v>1440</v>
      </c>
      <c r="G15" s="39" t="s">
        <v>210</v>
      </c>
    </row>
    <row r="17" spans="1:10" ht="12.75" customHeight="1" x14ac:dyDescent="0.2">
      <c r="A17" s="39" t="s">
        <v>211</v>
      </c>
    </row>
    <row r="18" spans="1:10" x14ac:dyDescent="0.2">
      <c r="B18" s="77">
        <v>0</v>
      </c>
      <c r="C18" s="77">
        <v>1</v>
      </c>
      <c r="D18" s="77">
        <v>2</v>
      </c>
      <c r="E18" s="77" t="s">
        <v>11</v>
      </c>
    </row>
    <row r="19" spans="1:10" x14ac:dyDescent="0.2">
      <c r="A19" s="78" t="s">
        <v>206</v>
      </c>
      <c r="B19" s="80">
        <v>10000</v>
      </c>
      <c r="C19" s="80">
        <f>-9000</f>
        <v>-9000</v>
      </c>
      <c r="D19" s="80">
        <f>-2200</f>
        <v>-2200</v>
      </c>
      <c r="E19" s="82">
        <f>IRR(B19:D19)</f>
        <v>0.10000000000000009</v>
      </c>
      <c r="G19" s="39" t="s">
        <v>212</v>
      </c>
    </row>
    <row r="20" spans="1:10" x14ac:dyDescent="0.2">
      <c r="A20" s="78" t="s">
        <v>207</v>
      </c>
      <c r="B20" s="80">
        <v>10000</v>
      </c>
      <c r="C20" s="80">
        <f>C15</f>
        <v>-2800</v>
      </c>
      <c r="D20" s="80">
        <f>-8640</f>
        <v>-8640</v>
      </c>
      <c r="E20" s="82">
        <f>IRR(B20:D20)</f>
        <v>8.0000000000000071E-2</v>
      </c>
      <c r="G20" s="39" t="s">
        <v>213</v>
      </c>
    </row>
    <row r="21" spans="1:10" x14ac:dyDescent="0.2">
      <c r="G21" s="39" t="s">
        <v>214</v>
      </c>
    </row>
    <row r="22" spans="1:10" x14ac:dyDescent="0.2">
      <c r="A22" s="39" t="s">
        <v>215</v>
      </c>
    </row>
    <row r="23" spans="1:10" x14ac:dyDescent="0.2">
      <c r="A23" s="39" t="s">
        <v>858</v>
      </c>
    </row>
    <row r="24" spans="1:10" x14ac:dyDescent="0.2">
      <c r="A24" s="76" t="s">
        <v>216</v>
      </c>
      <c r="B24" s="76"/>
      <c r="C24" s="76"/>
      <c r="D24" s="76"/>
      <c r="E24" s="76"/>
      <c r="F24" s="76"/>
      <c r="G24" s="76"/>
      <c r="H24" s="76"/>
    </row>
    <row r="26" spans="1:10" x14ac:dyDescent="0.2">
      <c r="A26" s="39" t="s">
        <v>205</v>
      </c>
    </row>
    <row r="28" spans="1:10" x14ac:dyDescent="0.2">
      <c r="B28" s="83" t="s">
        <v>217</v>
      </c>
      <c r="C28" s="84">
        <v>0.5</v>
      </c>
    </row>
    <row r="29" spans="1:10" x14ac:dyDescent="0.2">
      <c r="B29" s="77">
        <v>0</v>
      </c>
      <c r="C29" s="77">
        <v>1</v>
      </c>
      <c r="D29" s="77">
        <v>2</v>
      </c>
      <c r="E29" s="77" t="s">
        <v>193</v>
      </c>
      <c r="F29" s="77" t="s">
        <v>218</v>
      </c>
      <c r="G29" s="77" t="s">
        <v>219</v>
      </c>
      <c r="H29" s="77" t="s">
        <v>220</v>
      </c>
      <c r="J29" s="39" t="s">
        <v>221</v>
      </c>
    </row>
    <row r="30" spans="1:10" ht="15" x14ac:dyDescent="0.25">
      <c r="A30" s="78" t="s">
        <v>206</v>
      </c>
      <c r="B30" s="79">
        <v>10000</v>
      </c>
      <c r="C30" s="79">
        <f>-9500</f>
        <v>-9500</v>
      </c>
      <c r="D30" s="79">
        <f>-1050</f>
        <v>-1050</v>
      </c>
      <c r="E30" s="79">
        <f>-SUM(B30:D30)</f>
        <v>550</v>
      </c>
      <c r="F30" s="85">
        <f>IRR(B30:D30)</f>
        <v>5.0000000000000044E-2</v>
      </c>
      <c r="G30" s="79">
        <f>(B30*(1+$C$28)+C30)*(1+$C$28)+D30</f>
        <v>7200</v>
      </c>
      <c r="H30" s="79">
        <f>NPV($C$28,C30:D30)+B30</f>
        <v>3200</v>
      </c>
      <c r="I30" s="54">
        <f>B30*(1+$C$28)^$D$29+C30*(1+$C$28)+D30</f>
        <v>7200</v>
      </c>
      <c r="J30" s="38" t="s">
        <v>222</v>
      </c>
    </row>
    <row r="31" spans="1:10" ht="15" x14ac:dyDescent="0.25">
      <c r="A31" s="78" t="s">
        <v>207</v>
      </c>
      <c r="B31" s="79">
        <v>10000</v>
      </c>
      <c r="C31" s="79">
        <f>-1800</f>
        <v>-1800</v>
      </c>
      <c r="D31" s="79">
        <f>-9720</f>
        <v>-9720</v>
      </c>
      <c r="E31" s="79">
        <f>-SUM(B31:D31)</f>
        <v>1520</v>
      </c>
      <c r="F31" s="85">
        <f>IRR(B31:D31)</f>
        <v>7.9999999999999849E-2</v>
      </c>
      <c r="G31" s="79">
        <f>(B31*(1+$C$28)+C31)*(1+$C$28)+D31</f>
        <v>10080</v>
      </c>
      <c r="H31" s="79">
        <f>NPV($C$28,C31:D31)+B31</f>
        <v>4480</v>
      </c>
      <c r="I31" s="54">
        <f>B31*(1+$C$28)^$D$29+C31*(1+$C$28)+D31</f>
        <v>10080</v>
      </c>
      <c r="J31" s="38" t="s">
        <v>223</v>
      </c>
    </row>
    <row r="32" spans="1:10" ht="15" x14ac:dyDescent="0.25">
      <c r="B32" s="53"/>
      <c r="C32" s="53"/>
      <c r="D32" s="53"/>
      <c r="E32" s="53"/>
      <c r="F32" s="86"/>
      <c r="G32" s="53"/>
      <c r="H32" s="53"/>
    </row>
    <row r="35" spans="1:1" x14ac:dyDescent="0.2">
      <c r="A35" s="39" t="s">
        <v>859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169F-B902-406B-A000-6C91C01CDAE7}">
  <dimension ref="A1:I17"/>
  <sheetViews>
    <sheetView topLeftCell="A4" zoomScale="140" zoomScaleNormal="140" workbookViewId="0">
      <selection activeCell="D19" sqref="D19"/>
    </sheetView>
  </sheetViews>
  <sheetFormatPr baseColWidth="10" defaultColWidth="11.42578125" defaultRowHeight="12.75" x14ac:dyDescent="0.2"/>
  <cols>
    <col min="1" max="1" width="13.85546875" style="39" customWidth="1"/>
    <col min="2" max="2" width="12" style="39" customWidth="1"/>
    <col min="3" max="3" width="13.42578125" style="39" customWidth="1"/>
    <col min="4" max="4" width="11.42578125" style="39"/>
    <col min="5" max="5" width="15.85546875" style="39" customWidth="1"/>
    <col min="6" max="6" width="11.42578125" style="39"/>
    <col min="7" max="7" width="2.5703125" style="39" customWidth="1"/>
    <col min="8" max="16384" width="11.42578125" style="39"/>
  </cols>
  <sheetData>
    <row r="1" spans="1:8" ht="15" x14ac:dyDescent="0.25">
      <c r="A1" s="98" t="s">
        <v>240</v>
      </c>
    </row>
    <row r="2" spans="1:8" ht="15" x14ac:dyDescent="0.25">
      <c r="A2" s="98" t="s">
        <v>241</v>
      </c>
    </row>
    <row r="3" spans="1:8" ht="13.5" thickBot="1" x14ac:dyDescent="0.25"/>
    <row r="4" spans="1:8" x14ac:dyDescent="0.2">
      <c r="A4" s="99" t="s">
        <v>40</v>
      </c>
      <c r="B4" s="100">
        <v>12000</v>
      </c>
      <c r="D4" s="101" t="s">
        <v>242</v>
      </c>
      <c r="E4" s="102"/>
      <c r="F4" s="103"/>
      <c r="H4" s="38" t="s">
        <v>243</v>
      </c>
    </row>
    <row r="5" spans="1:8" ht="13.5" thickBot="1" x14ac:dyDescent="0.25">
      <c r="A5" s="104" t="s">
        <v>227</v>
      </c>
      <c r="B5" s="105">
        <v>6</v>
      </c>
    </row>
    <row r="6" spans="1:8" ht="13.5" thickBot="1" x14ac:dyDescent="0.25">
      <c r="A6" s="104" t="s">
        <v>244</v>
      </c>
      <c r="B6" s="106">
        <v>0.15</v>
      </c>
      <c r="D6" s="41" t="s">
        <v>230</v>
      </c>
      <c r="E6" s="90">
        <f>(1+B6)^(1/12)-1</f>
        <v>1.171491691985338E-2</v>
      </c>
    </row>
    <row r="7" spans="1:8" x14ac:dyDescent="0.2">
      <c r="A7" s="104" t="s">
        <v>231</v>
      </c>
      <c r="B7" s="107" t="s">
        <v>245</v>
      </c>
      <c r="C7" s="39" t="s">
        <v>810</v>
      </c>
      <c r="E7" s="39" t="s">
        <v>811</v>
      </c>
    </row>
    <row r="8" spans="1:8" x14ac:dyDescent="0.2">
      <c r="D8" s="39" t="s">
        <v>246</v>
      </c>
      <c r="E8" s="446">
        <f>PMT(E6,B5,-B4,)</f>
        <v>2082.8002613692106</v>
      </c>
    </row>
    <row r="9" spans="1:8" x14ac:dyDescent="0.2">
      <c r="B9" s="93" t="s">
        <v>234</v>
      </c>
      <c r="C9" s="93" t="s">
        <v>235</v>
      </c>
      <c r="D9" s="93" t="s">
        <v>236</v>
      </c>
      <c r="E9" s="93" t="s">
        <v>237</v>
      </c>
      <c r="F9" s="93" t="s">
        <v>246</v>
      </c>
      <c r="H9" s="93" t="s">
        <v>247</v>
      </c>
    </row>
    <row r="10" spans="1:8" x14ac:dyDescent="0.2">
      <c r="B10" s="94">
        <v>0</v>
      </c>
      <c r="C10" s="95">
        <f>B4</f>
        <v>12000</v>
      </c>
      <c r="D10" s="95"/>
      <c r="E10" s="95"/>
      <c r="F10" s="108"/>
      <c r="H10" s="108">
        <f>-B4</f>
        <v>-12000</v>
      </c>
    </row>
    <row r="11" spans="1:8" x14ac:dyDescent="0.2">
      <c r="B11" s="94">
        <v>1</v>
      </c>
      <c r="C11" s="95">
        <f>C10-E11</f>
        <v>10057.77874166903</v>
      </c>
      <c r="D11" s="95">
        <f>B4*E6</f>
        <v>140.57900303824056</v>
      </c>
      <c r="E11" s="95">
        <f>F11-D11</f>
        <v>1942.2212583309702</v>
      </c>
      <c r="F11" s="109">
        <f>E8</f>
        <v>2082.8002613692106</v>
      </c>
      <c r="H11" s="109">
        <f>F11</f>
        <v>2082.8002613692106</v>
      </c>
    </row>
    <row r="12" spans="1:8" x14ac:dyDescent="0.2">
      <c r="B12" s="94">
        <v>2</v>
      </c>
      <c r="C12" s="95">
        <f>C11-E12</f>
        <v>8092.8045226567392</v>
      </c>
      <c r="D12" s="95">
        <f>C11*E6</f>
        <v>117.82604235692015</v>
      </c>
      <c r="E12" s="95">
        <f>F12-D12</f>
        <v>1964.9742190122904</v>
      </c>
      <c r="F12" s="109">
        <f>F11</f>
        <v>2082.8002613692106</v>
      </c>
      <c r="H12" s="109">
        <f t="shared" ref="H12:H16" si="0">F12</f>
        <v>2082.8002613692106</v>
      </c>
    </row>
    <row r="13" spans="1:8" x14ac:dyDescent="0.2">
      <c r="B13" s="94">
        <v>3</v>
      </c>
      <c r="C13" s="95">
        <f>C12-E13</f>
        <v>6104.8107939190659</v>
      </c>
      <c r="D13" s="95">
        <f>C12*E6</f>
        <v>94.806532631537394</v>
      </c>
      <c r="E13" s="95">
        <f>F13-D13</f>
        <v>1987.9937287376731</v>
      </c>
      <c r="F13" s="109">
        <f t="shared" ref="F13:F16" si="1">F12</f>
        <v>2082.8002613692106</v>
      </c>
      <c r="H13" s="109">
        <f t="shared" si="0"/>
        <v>2082.8002613692106</v>
      </c>
    </row>
    <row r="14" spans="1:8" x14ac:dyDescent="0.2">
      <c r="B14" s="94">
        <v>4</v>
      </c>
      <c r="C14" s="95">
        <f>C13-E14</f>
        <v>4093.5278838120412</v>
      </c>
      <c r="D14" s="95">
        <f>C13*E6</f>
        <v>71.517351262186011</v>
      </c>
      <c r="E14" s="95">
        <f>F14-D14</f>
        <v>2011.2829101070247</v>
      </c>
      <c r="F14" s="109">
        <f t="shared" si="1"/>
        <v>2082.8002613692106</v>
      </c>
      <c r="H14" s="109">
        <f t="shared" si="0"/>
        <v>2082.8002613692106</v>
      </c>
    </row>
    <row r="15" spans="1:8" x14ac:dyDescent="0.2">
      <c r="B15" s="94">
        <v>5</v>
      </c>
      <c r="C15" s="95">
        <f>C14-E15</f>
        <v>2058.6829615107918</v>
      </c>
      <c r="D15" s="95">
        <f>C14*E6</f>
        <v>47.955339067961283</v>
      </c>
      <c r="E15" s="95">
        <f>F15-D15</f>
        <v>2034.8449223012494</v>
      </c>
      <c r="F15" s="109">
        <f t="shared" si="1"/>
        <v>2082.8002613692106</v>
      </c>
      <c r="H15" s="109">
        <f t="shared" si="0"/>
        <v>2082.8002613692106</v>
      </c>
    </row>
    <row r="16" spans="1:8" x14ac:dyDescent="0.2">
      <c r="B16" s="94">
        <v>6</v>
      </c>
      <c r="C16" s="95">
        <f>C15-E16</f>
        <v>0</v>
      </c>
      <c r="D16" s="95">
        <f>C15*E6</f>
        <v>24.11729985841664</v>
      </c>
      <c r="E16" s="95">
        <f>F16-D16</f>
        <v>2058.682961510794</v>
      </c>
      <c r="F16" s="109">
        <f t="shared" si="1"/>
        <v>2082.8002613692106</v>
      </c>
      <c r="H16" s="109">
        <f t="shared" si="0"/>
        <v>2082.8002613692106</v>
      </c>
    </row>
    <row r="17" spans="4:9" x14ac:dyDescent="0.2">
      <c r="D17" s="447">
        <f>SUM(D11:D16)</f>
        <v>496.80156821526202</v>
      </c>
      <c r="E17" s="447">
        <f>SUM(E11:E16)</f>
        <v>12000.000000000002</v>
      </c>
      <c r="F17" s="447">
        <f>SUM(F11:F16)</f>
        <v>12496.801568215265</v>
      </c>
      <c r="H17" s="448">
        <f>IRR(H10:H16)</f>
        <v>1.171491691985338E-2</v>
      </c>
      <c r="I17" s="38" t="s">
        <v>218</v>
      </c>
    </row>
  </sheetData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6A4A-B632-4E09-AA0A-39ABED22A187}">
  <dimension ref="A1:I18"/>
  <sheetViews>
    <sheetView topLeftCell="A4" zoomScale="140" zoomScaleNormal="140" workbookViewId="0">
      <selection activeCell="E6" sqref="E6"/>
    </sheetView>
  </sheetViews>
  <sheetFormatPr baseColWidth="10" defaultColWidth="11.42578125" defaultRowHeight="12.75" x14ac:dyDescent="0.2"/>
  <cols>
    <col min="1" max="1" width="13.85546875" style="39" customWidth="1"/>
    <col min="2" max="2" width="11.42578125" style="39"/>
    <col min="3" max="3" width="13.85546875" style="39" customWidth="1"/>
    <col min="4" max="4" width="12" style="39" customWidth="1"/>
    <col min="5" max="5" width="14" style="39" customWidth="1"/>
    <col min="6" max="6" width="15" style="39" customWidth="1"/>
    <col min="7" max="7" width="3.140625" style="39" customWidth="1"/>
    <col min="8" max="16384" width="11.42578125" style="39"/>
  </cols>
  <sheetData>
    <row r="1" spans="1:8" x14ac:dyDescent="0.2">
      <c r="A1" s="38" t="s">
        <v>224</v>
      </c>
    </row>
    <row r="2" spans="1:8" x14ac:dyDescent="0.2">
      <c r="A2" s="38" t="s">
        <v>225</v>
      </c>
    </row>
    <row r="4" spans="1:8" x14ac:dyDescent="0.2">
      <c r="A4" s="87" t="s">
        <v>40</v>
      </c>
      <c r="B4" s="88">
        <v>12000</v>
      </c>
      <c r="G4" s="39" t="s">
        <v>226</v>
      </c>
    </row>
    <row r="5" spans="1:8" ht="13.5" thickBot="1" x14ac:dyDescent="0.25">
      <c r="A5" s="87" t="s">
        <v>227</v>
      </c>
      <c r="B5" s="87">
        <v>6</v>
      </c>
      <c r="G5" s="39" t="s">
        <v>228</v>
      </c>
    </row>
    <row r="6" spans="1:8" ht="13.5" thickBot="1" x14ac:dyDescent="0.25">
      <c r="A6" s="87" t="s">
        <v>229</v>
      </c>
      <c r="B6" s="89">
        <v>0.15</v>
      </c>
      <c r="D6" s="90" t="s">
        <v>230</v>
      </c>
      <c r="E6" s="90">
        <f>(1+B6)^(1/12)-1</f>
        <v>1.171491691985338E-2</v>
      </c>
    </row>
    <row r="7" spans="1:8" x14ac:dyDescent="0.2">
      <c r="A7" s="87" t="s">
        <v>231</v>
      </c>
      <c r="B7" s="91" t="s">
        <v>232</v>
      </c>
      <c r="C7" s="39" t="s">
        <v>233</v>
      </c>
      <c r="E7" s="92"/>
    </row>
    <row r="8" spans="1:8" x14ac:dyDescent="0.2">
      <c r="C8" s="39" t="s">
        <v>257</v>
      </c>
    </row>
    <row r="9" spans="1:8" x14ac:dyDescent="0.2">
      <c r="C9" s="120">
        <f>B4/B5</f>
        <v>2000</v>
      </c>
    </row>
    <row r="10" spans="1:8" x14ac:dyDescent="0.2">
      <c r="B10" s="93" t="s">
        <v>234</v>
      </c>
      <c r="C10" s="93" t="s">
        <v>235</v>
      </c>
      <c r="D10" s="93" t="s">
        <v>236</v>
      </c>
      <c r="E10" s="93" t="s">
        <v>237</v>
      </c>
      <c r="F10" s="93" t="s">
        <v>238</v>
      </c>
      <c r="H10" s="93" t="s">
        <v>239</v>
      </c>
    </row>
    <row r="11" spans="1:8" x14ac:dyDescent="0.2">
      <c r="B11" s="94">
        <v>0</v>
      </c>
      <c r="C11" s="95">
        <f>B4</f>
        <v>12000</v>
      </c>
      <c r="D11" s="95"/>
      <c r="E11" s="95"/>
      <c r="F11" s="95"/>
      <c r="H11" s="95">
        <f>-C11</f>
        <v>-12000</v>
      </c>
    </row>
    <row r="12" spans="1:8" x14ac:dyDescent="0.2">
      <c r="B12" s="94">
        <v>1</v>
      </c>
      <c r="C12" s="95">
        <f>C11-E12</f>
        <v>10000</v>
      </c>
      <c r="D12" s="95">
        <f>C11*E6</f>
        <v>140.57900303824056</v>
      </c>
      <c r="E12" s="96">
        <f>C9</f>
        <v>2000</v>
      </c>
      <c r="F12" s="95">
        <f>D12+E12</f>
        <v>2140.5790030382404</v>
      </c>
      <c r="H12" s="95">
        <f>F12</f>
        <v>2140.5790030382404</v>
      </c>
    </row>
    <row r="13" spans="1:8" x14ac:dyDescent="0.2">
      <c r="B13" s="94">
        <v>2</v>
      </c>
      <c r="C13" s="95">
        <f>C12-E13</f>
        <v>8000</v>
      </c>
      <c r="D13" s="95">
        <f>C12*E6</f>
        <v>117.1491691985338</v>
      </c>
      <c r="E13" s="96">
        <f>E12</f>
        <v>2000</v>
      </c>
      <c r="F13" s="95">
        <f t="shared" ref="F13:F17" si="0">D13+E13</f>
        <v>2117.1491691985339</v>
      </c>
      <c r="H13" s="95">
        <f t="shared" ref="H13:H17" si="1">F13</f>
        <v>2117.1491691985339</v>
      </c>
    </row>
    <row r="14" spans="1:8" x14ac:dyDescent="0.2">
      <c r="B14" s="94">
        <v>3</v>
      </c>
      <c r="C14" s="95">
        <f>C13-E14</f>
        <v>6000</v>
      </c>
      <c r="D14" s="95">
        <f>C13*E6</f>
        <v>93.719335358827038</v>
      </c>
      <c r="E14" s="96">
        <f t="shared" ref="E14:E17" si="2">E13</f>
        <v>2000</v>
      </c>
      <c r="F14" s="95">
        <f t="shared" si="0"/>
        <v>2093.7193353588273</v>
      </c>
      <c r="H14" s="95">
        <f t="shared" si="1"/>
        <v>2093.7193353588273</v>
      </c>
    </row>
    <row r="15" spans="1:8" x14ac:dyDescent="0.2">
      <c r="B15" s="94">
        <v>4</v>
      </c>
      <c r="C15" s="95">
        <f>C14-E15</f>
        <v>4000</v>
      </c>
      <c r="D15" s="95">
        <f>C14*E6</f>
        <v>70.289501519120279</v>
      </c>
      <c r="E15" s="96">
        <f t="shared" si="2"/>
        <v>2000</v>
      </c>
      <c r="F15" s="95">
        <f t="shared" si="0"/>
        <v>2070.2895015191202</v>
      </c>
      <c r="H15" s="95">
        <f t="shared" si="1"/>
        <v>2070.2895015191202</v>
      </c>
    </row>
    <row r="16" spans="1:8" x14ac:dyDescent="0.2">
      <c r="B16" s="94">
        <v>5</v>
      </c>
      <c r="C16" s="95">
        <f>C15-E16</f>
        <v>2000</v>
      </c>
      <c r="D16" s="95">
        <f>C15*E6</f>
        <v>46.859667679413519</v>
      </c>
      <c r="E16" s="96">
        <f t="shared" si="2"/>
        <v>2000</v>
      </c>
      <c r="F16" s="95">
        <f t="shared" si="0"/>
        <v>2046.8596676794136</v>
      </c>
      <c r="H16" s="95">
        <f t="shared" si="1"/>
        <v>2046.8596676794136</v>
      </c>
    </row>
    <row r="17" spans="2:9" x14ac:dyDescent="0.2">
      <c r="B17" s="94">
        <v>6</v>
      </c>
      <c r="C17" s="95">
        <f>C16-E17</f>
        <v>0</v>
      </c>
      <c r="D17" s="95">
        <f>C16*E6</f>
        <v>23.42983383970676</v>
      </c>
      <c r="E17" s="96">
        <f t="shared" si="2"/>
        <v>2000</v>
      </c>
      <c r="F17" s="95">
        <f t="shared" si="0"/>
        <v>2023.4298338397068</v>
      </c>
      <c r="H17" s="95">
        <f t="shared" si="1"/>
        <v>2023.4298338397068</v>
      </c>
    </row>
    <row r="18" spans="2:9" x14ac:dyDescent="0.2">
      <c r="D18" s="447">
        <f>SUM(D12:D17)</f>
        <v>492.02651063384195</v>
      </c>
      <c r="E18" s="447">
        <f>SUM(E12:E17)</f>
        <v>12000</v>
      </c>
      <c r="F18" s="449">
        <f>SUM(F11:F17)</f>
        <v>12492.026510633843</v>
      </c>
      <c r="H18" s="450">
        <f>IRR(H11:H17)</f>
        <v>1.171491691985338E-2</v>
      </c>
      <c r="I18" s="38" t="s">
        <v>218</v>
      </c>
    </row>
  </sheetData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7590-5412-4BF4-9DE4-7BF2CD6CFCF1}">
  <dimension ref="A1:I18"/>
  <sheetViews>
    <sheetView topLeftCell="A3" zoomScale="140" zoomScaleNormal="140" workbookViewId="0">
      <selection activeCell="H18" sqref="H18"/>
    </sheetView>
  </sheetViews>
  <sheetFormatPr baseColWidth="10" defaultColWidth="11.42578125" defaultRowHeight="12.75" x14ac:dyDescent="0.2"/>
  <cols>
    <col min="1" max="1" width="14.5703125" style="39" customWidth="1"/>
    <col min="2" max="2" width="14.7109375" style="39" customWidth="1"/>
    <col min="3" max="4" width="11.42578125" style="39"/>
    <col min="5" max="5" width="12.85546875" style="39" customWidth="1"/>
    <col min="6" max="6" width="13.5703125" style="39" bestFit="1" customWidth="1"/>
    <col min="7" max="7" width="4.140625" style="39" customWidth="1"/>
    <col min="8" max="16384" width="11.42578125" style="39"/>
  </cols>
  <sheetData>
    <row r="1" spans="1:8" ht="18" x14ac:dyDescent="0.25">
      <c r="A1" s="98" t="s">
        <v>248</v>
      </c>
      <c r="B1" s="56"/>
    </row>
    <row r="2" spans="1:8" ht="18" x14ac:dyDescent="0.25">
      <c r="A2" s="98" t="s">
        <v>249</v>
      </c>
      <c r="B2" s="56"/>
    </row>
    <row r="4" spans="1:8" x14ac:dyDescent="0.2">
      <c r="A4" s="87" t="s">
        <v>40</v>
      </c>
      <c r="B4" s="88">
        <v>12000</v>
      </c>
    </row>
    <row r="5" spans="1:8" ht="13.5" thickBot="1" x14ac:dyDescent="0.25">
      <c r="A5" s="87" t="s">
        <v>227</v>
      </c>
      <c r="B5" s="87">
        <v>6</v>
      </c>
    </row>
    <row r="6" spans="1:8" ht="13.5" thickBot="1" x14ac:dyDescent="0.25">
      <c r="A6" s="87" t="s">
        <v>244</v>
      </c>
      <c r="B6" s="89">
        <v>0.15</v>
      </c>
      <c r="D6" s="112" t="s">
        <v>230</v>
      </c>
      <c r="E6" s="90">
        <f>(1+B6)^(1/12)-1</f>
        <v>1.171491691985338E-2</v>
      </c>
    </row>
    <row r="7" spans="1:8" x14ac:dyDescent="0.2">
      <c r="A7" s="87" t="s">
        <v>231</v>
      </c>
      <c r="B7" s="91" t="s">
        <v>250</v>
      </c>
      <c r="C7" s="39" t="s">
        <v>812</v>
      </c>
    </row>
    <row r="10" spans="1:8" x14ac:dyDescent="0.2">
      <c r="B10" s="93" t="s">
        <v>234</v>
      </c>
      <c r="C10" s="93" t="s">
        <v>235</v>
      </c>
      <c r="D10" s="93" t="s">
        <v>236</v>
      </c>
      <c r="E10" s="93" t="s">
        <v>237</v>
      </c>
      <c r="F10" s="93" t="s">
        <v>251</v>
      </c>
      <c r="H10" s="93" t="s">
        <v>239</v>
      </c>
    </row>
    <row r="11" spans="1:8" x14ac:dyDescent="0.2">
      <c r="B11" s="79">
        <v>0</v>
      </c>
      <c r="C11" s="95">
        <v>12000</v>
      </c>
      <c r="D11" s="95"/>
      <c r="E11" s="108"/>
      <c r="F11" s="95"/>
      <c r="H11" s="108">
        <f>-C11</f>
        <v>-12000</v>
      </c>
    </row>
    <row r="12" spans="1:8" x14ac:dyDescent="0.2">
      <c r="B12" s="79">
        <v>1</v>
      </c>
      <c r="C12" s="95"/>
      <c r="D12" s="95">
        <f>C11*E6</f>
        <v>140.57900303824056</v>
      </c>
      <c r="E12" s="108"/>
      <c r="F12" s="95">
        <f>D12+E12</f>
        <v>140.57900303824056</v>
      </c>
      <c r="H12" s="109">
        <f>F12</f>
        <v>140.57900303824056</v>
      </c>
    </row>
    <row r="13" spans="1:8" x14ac:dyDescent="0.2">
      <c r="B13" s="79">
        <v>2</v>
      </c>
      <c r="C13" s="95"/>
      <c r="D13" s="95">
        <f>D12</f>
        <v>140.57900303824056</v>
      </c>
      <c r="E13" s="108"/>
      <c r="F13" s="95">
        <f t="shared" ref="F13:F17" si="0">D13+E13</f>
        <v>140.57900303824056</v>
      </c>
      <c r="H13" s="109">
        <f t="shared" ref="H13:H16" si="1">F13</f>
        <v>140.57900303824056</v>
      </c>
    </row>
    <row r="14" spans="1:8" x14ac:dyDescent="0.2">
      <c r="B14" s="79">
        <v>3</v>
      </c>
      <c r="C14" s="95"/>
      <c r="D14" s="95">
        <f>D13</f>
        <v>140.57900303824056</v>
      </c>
      <c r="E14" s="108"/>
      <c r="F14" s="95">
        <f t="shared" si="0"/>
        <v>140.57900303824056</v>
      </c>
      <c r="H14" s="109">
        <f t="shared" si="1"/>
        <v>140.57900303824056</v>
      </c>
    </row>
    <row r="15" spans="1:8" x14ac:dyDescent="0.2">
      <c r="B15" s="79">
        <v>4</v>
      </c>
      <c r="C15" s="95"/>
      <c r="D15" s="95">
        <f>D14</f>
        <v>140.57900303824056</v>
      </c>
      <c r="E15" s="108"/>
      <c r="F15" s="95">
        <f t="shared" si="0"/>
        <v>140.57900303824056</v>
      </c>
      <c r="H15" s="109">
        <f t="shared" si="1"/>
        <v>140.57900303824056</v>
      </c>
    </row>
    <row r="16" spans="1:8" x14ac:dyDescent="0.2">
      <c r="B16" s="79">
        <v>5</v>
      </c>
      <c r="C16" s="95"/>
      <c r="D16" s="95">
        <f>D15</f>
        <v>140.57900303824056</v>
      </c>
      <c r="E16" s="108"/>
      <c r="F16" s="95">
        <f t="shared" si="0"/>
        <v>140.57900303824056</v>
      </c>
      <c r="H16" s="109">
        <f t="shared" si="1"/>
        <v>140.57900303824056</v>
      </c>
    </row>
    <row r="17" spans="2:9" x14ac:dyDescent="0.2">
      <c r="B17" s="79">
        <v>6</v>
      </c>
      <c r="C17" s="95"/>
      <c r="D17" s="95">
        <f>D16</f>
        <v>140.57900303824056</v>
      </c>
      <c r="E17" s="109">
        <f>B4</f>
        <v>12000</v>
      </c>
      <c r="F17" s="95">
        <f t="shared" si="0"/>
        <v>12140.579003038241</v>
      </c>
      <c r="H17" s="109">
        <f>F17</f>
        <v>12140.579003038241</v>
      </c>
    </row>
    <row r="18" spans="2:9" x14ac:dyDescent="0.2">
      <c r="D18" s="110">
        <f>SUM(D12:D17)</f>
        <v>843.47401822944335</v>
      </c>
      <c r="F18" s="110">
        <f>SUM(F12:F17)</f>
        <v>12843.474018229444</v>
      </c>
      <c r="H18" s="111">
        <f>IRR(H11:H17)</f>
        <v>1.1714916919858709E-2</v>
      </c>
      <c r="I18" s="38" t="s">
        <v>218</v>
      </c>
    </row>
  </sheetData>
  <pageMargins left="0.75" right="0.75" top="1" bottom="1" header="0" footer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E117-BBCB-4FDF-9797-BDAD11D43B6C}">
  <dimension ref="F1:J85"/>
  <sheetViews>
    <sheetView topLeftCell="A24" zoomScale="130" zoomScaleNormal="130" workbookViewId="0">
      <selection activeCell="E23" sqref="E23"/>
    </sheetView>
  </sheetViews>
  <sheetFormatPr baseColWidth="10" defaultColWidth="11.5703125" defaultRowHeight="12.75" x14ac:dyDescent="0.2"/>
  <cols>
    <col min="1" max="4" width="11.5703125" style="39"/>
    <col min="5" max="5" width="3.7109375" style="39" customWidth="1"/>
    <col min="6" max="6" width="11.5703125" style="39"/>
    <col min="7" max="7" width="16.140625" style="39" customWidth="1"/>
    <col min="8" max="8" width="13" style="39" bestFit="1" customWidth="1"/>
    <col min="9" max="9" width="11.5703125" style="39"/>
    <col min="10" max="10" width="15.85546875" style="39" bestFit="1" customWidth="1"/>
    <col min="11" max="16384" width="11.5703125" style="39"/>
  </cols>
  <sheetData>
    <row r="1" spans="6:10" x14ac:dyDescent="0.2">
      <c r="F1" s="39" t="s">
        <v>40</v>
      </c>
      <c r="G1" s="54">
        <v>20000</v>
      </c>
      <c r="I1" s="38" t="s">
        <v>252</v>
      </c>
    </row>
    <row r="2" spans="6:10" ht="13.5" thickBot="1" x14ac:dyDescent="0.25">
      <c r="F2" s="39" t="s">
        <v>253</v>
      </c>
      <c r="G2" s="39">
        <v>10</v>
      </c>
      <c r="H2" s="39" t="s">
        <v>53</v>
      </c>
    </row>
    <row r="3" spans="6:10" ht="13.5" thickBot="1" x14ac:dyDescent="0.25">
      <c r="F3" s="39" t="s">
        <v>244</v>
      </c>
      <c r="G3" s="113">
        <v>2.1386500000000002</v>
      </c>
      <c r="I3" s="114" t="s">
        <v>230</v>
      </c>
      <c r="J3" s="90">
        <f>(1+G3)^(30/360)-1</f>
        <v>0.10000647292444143</v>
      </c>
    </row>
    <row r="4" spans="6:10" x14ac:dyDescent="0.2">
      <c r="F4" s="39" t="s">
        <v>231</v>
      </c>
      <c r="G4" s="39" t="s">
        <v>254</v>
      </c>
    </row>
    <row r="6" spans="6:10" x14ac:dyDescent="0.2">
      <c r="F6" s="115" t="s">
        <v>255</v>
      </c>
      <c r="G6" s="115" t="s">
        <v>256</v>
      </c>
      <c r="H6" s="115" t="s">
        <v>257</v>
      </c>
      <c r="I6" s="115" t="s">
        <v>258</v>
      </c>
      <c r="J6" s="116" t="s">
        <v>259</v>
      </c>
    </row>
    <row r="7" spans="6:10" x14ac:dyDescent="0.2">
      <c r="F7" s="115">
        <v>0</v>
      </c>
      <c r="G7" s="117">
        <v>20000</v>
      </c>
      <c r="H7" s="115"/>
      <c r="I7" s="115"/>
      <c r="J7" s="118">
        <v>-20000</v>
      </c>
    </row>
    <row r="8" spans="6:10" x14ac:dyDescent="0.2">
      <c r="F8" s="94">
        <v>1</v>
      </c>
      <c r="G8" s="119">
        <f>G1-H8</f>
        <v>18745.131051514218</v>
      </c>
      <c r="H8" s="95">
        <f>J8-I8</f>
        <v>1254.8689484857839</v>
      </c>
      <c r="I8" s="119">
        <f>G1*$J$3</f>
        <v>2000.1294584888285</v>
      </c>
      <c r="J8" s="109">
        <f>PMT($J$3,$G$2,-$G$1)</f>
        <v>3254.9984069746124</v>
      </c>
    </row>
    <row r="9" spans="6:10" x14ac:dyDescent="0.2">
      <c r="F9" s="94">
        <v>2</v>
      </c>
      <c r="G9" s="119">
        <f>G8-H9</f>
        <v>17364.767085507967</v>
      </c>
      <c r="H9" s="95">
        <f t="shared" ref="H9:H17" si="0">J9-I9</f>
        <v>1380.3639660062495</v>
      </c>
      <c r="I9" s="119">
        <f>G8*$J$3</f>
        <v>1874.6344409683629</v>
      </c>
      <c r="J9" s="109">
        <f t="shared" ref="J9:J17" si="1">PMT($J$3,$G$2,-$G$1)</f>
        <v>3254.9984069746124</v>
      </c>
    </row>
    <row r="10" spans="6:10" x14ac:dyDescent="0.2">
      <c r="F10" s="94">
        <v>3</v>
      </c>
      <c r="G10" s="119">
        <f t="shared" ref="G10:G17" si="2">G9-H10</f>
        <v>15846.357787909439</v>
      </c>
      <c r="H10" s="95">
        <f t="shared" si="0"/>
        <v>1518.4092975985284</v>
      </c>
      <c r="I10" s="119">
        <f t="shared" ref="I10:I17" si="3">G9*$J$3</f>
        <v>1736.589109376084</v>
      </c>
      <c r="J10" s="109">
        <f t="shared" si="1"/>
        <v>3254.9984069746124</v>
      </c>
    </row>
    <row r="11" spans="6:10" x14ac:dyDescent="0.2">
      <c r="F11" s="94">
        <v>4</v>
      </c>
      <c r="G11" s="119">
        <f t="shared" si="2"/>
        <v>14176.097732002403</v>
      </c>
      <c r="H11" s="95">
        <f t="shared" si="0"/>
        <v>1670.2600559070356</v>
      </c>
      <c r="I11" s="119">
        <f t="shared" si="3"/>
        <v>1584.7383510675768</v>
      </c>
      <c r="J11" s="109">
        <f t="shared" si="1"/>
        <v>3254.9984069746124</v>
      </c>
    </row>
    <row r="12" spans="6:10" x14ac:dyDescent="0.2">
      <c r="F12" s="94">
        <v>5</v>
      </c>
      <c r="G12" s="119">
        <f t="shared" si="2"/>
        <v>12338.800859037525</v>
      </c>
      <c r="H12" s="95">
        <f t="shared" si="0"/>
        <v>1837.2968729648785</v>
      </c>
      <c r="I12" s="119">
        <f t="shared" si="3"/>
        <v>1417.7015340097339</v>
      </c>
      <c r="J12" s="109">
        <f t="shared" si="1"/>
        <v>3254.9984069746124</v>
      </c>
    </row>
    <row r="13" spans="6:10" x14ac:dyDescent="0.2">
      <c r="F13" s="94">
        <v>6</v>
      </c>
      <c r="G13" s="119">
        <f t="shared" si="2"/>
        <v>10317.762406092323</v>
      </c>
      <c r="H13" s="95">
        <f t="shared" si="0"/>
        <v>2021.0384529452017</v>
      </c>
      <c r="I13" s="119">
        <f t="shared" si="3"/>
        <v>1233.9599540294107</v>
      </c>
      <c r="J13" s="109">
        <f t="shared" si="1"/>
        <v>3254.9984069746124</v>
      </c>
    </row>
    <row r="14" spans="6:10" x14ac:dyDescent="0.2">
      <c r="F14" s="94">
        <v>7</v>
      </c>
      <c r="G14" s="119">
        <f t="shared" si="2"/>
        <v>8094.6070258234013</v>
      </c>
      <c r="H14" s="95">
        <f t="shared" si="0"/>
        <v>2223.1553802689209</v>
      </c>
      <c r="I14" s="119">
        <f t="shared" si="3"/>
        <v>1031.8430267056915</v>
      </c>
      <c r="J14" s="109">
        <f t="shared" si="1"/>
        <v>3254.9984069746124</v>
      </c>
    </row>
    <row r="15" spans="6:10" x14ac:dyDescent="0.2">
      <c r="F15" s="94">
        <v>8</v>
      </c>
      <c r="G15" s="119">
        <f t="shared" si="2"/>
        <v>5649.1217172107899</v>
      </c>
      <c r="H15" s="95">
        <f t="shared" si="0"/>
        <v>2445.4853086126113</v>
      </c>
      <c r="I15" s="119">
        <f t="shared" si="3"/>
        <v>809.5130983620013</v>
      </c>
      <c r="J15" s="109">
        <f t="shared" si="1"/>
        <v>3254.9984069746124</v>
      </c>
    </row>
    <row r="16" spans="6:10" x14ac:dyDescent="0.2">
      <c r="F16" s="94">
        <v>9</v>
      </c>
      <c r="G16" s="119">
        <f t="shared" si="2"/>
        <v>2959.0720482952925</v>
      </c>
      <c r="H16" s="95">
        <f t="shared" si="0"/>
        <v>2690.0496689154975</v>
      </c>
      <c r="I16" s="119">
        <f t="shared" si="3"/>
        <v>564.94873805911493</v>
      </c>
      <c r="J16" s="109">
        <f t="shared" si="1"/>
        <v>3254.9984069746124</v>
      </c>
    </row>
    <row r="17" spans="6:10" x14ac:dyDescent="0.2">
      <c r="F17" s="94">
        <v>10</v>
      </c>
      <c r="G17" s="119">
        <f t="shared" si="2"/>
        <v>-5.4569682106375694E-12</v>
      </c>
      <c r="H17" s="95">
        <f t="shared" si="0"/>
        <v>2959.0720482952979</v>
      </c>
      <c r="I17" s="119">
        <f t="shared" si="3"/>
        <v>295.9263586793146</v>
      </c>
      <c r="J17" s="109">
        <f t="shared" si="1"/>
        <v>3254.9984069746124</v>
      </c>
    </row>
    <row r="18" spans="6:10" x14ac:dyDescent="0.2">
      <c r="G18" s="120"/>
      <c r="H18" s="121">
        <f>SUM(H8:H17)</f>
        <v>20000.000000000004</v>
      </c>
      <c r="I18" s="121">
        <f>SUM(I8:I17)</f>
        <v>12549.98406974612</v>
      </c>
      <c r="J18" s="121">
        <f>SUM(J8:J17)</f>
        <v>32549.98406974613</v>
      </c>
    </row>
    <row r="19" spans="6:10" x14ac:dyDescent="0.2">
      <c r="J19" s="114" t="s">
        <v>218</v>
      </c>
    </row>
    <row r="20" spans="6:10" x14ac:dyDescent="0.2">
      <c r="I20" s="122">
        <f>I18/H18</f>
        <v>0.62749920348730592</v>
      </c>
      <c r="J20" s="123">
        <f>IRR(J7:J17)</f>
        <v>0.10000647292444143</v>
      </c>
    </row>
    <row r="23" spans="6:10" x14ac:dyDescent="0.2">
      <c r="F23" s="39" t="s">
        <v>40</v>
      </c>
      <c r="G23" s="54">
        <v>20000</v>
      </c>
      <c r="I23" s="38" t="s">
        <v>260</v>
      </c>
    </row>
    <row r="24" spans="6:10" ht="13.5" thickBot="1" x14ac:dyDescent="0.25">
      <c r="F24" s="39" t="s">
        <v>253</v>
      </c>
      <c r="G24" s="39">
        <v>10</v>
      </c>
      <c r="H24" s="39" t="s">
        <v>53</v>
      </c>
    </row>
    <row r="25" spans="6:10" ht="13.5" thickBot="1" x14ac:dyDescent="0.25">
      <c r="F25" s="39" t="s">
        <v>244</v>
      </c>
      <c r="G25" s="113">
        <v>2.1386500000000002</v>
      </c>
      <c r="I25" s="114" t="s">
        <v>230</v>
      </c>
      <c r="J25" s="90">
        <f>(1+G25)^(30/360)-1</f>
        <v>0.10000647292444143</v>
      </c>
    </row>
    <row r="26" spans="6:10" x14ac:dyDescent="0.2">
      <c r="F26" s="39" t="s">
        <v>231</v>
      </c>
      <c r="G26" s="39" t="s">
        <v>261</v>
      </c>
    </row>
    <row r="28" spans="6:10" x14ac:dyDescent="0.2">
      <c r="F28" s="115" t="s">
        <v>255</v>
      </c>
      <c r="G28" s="115" t="s">
        <v>256</v>
      </c>
      <c r="H28" s="115" t="s">
        <v>257</v>
      </c>
      <c r="I28" s="115" t="s">
        <v>258</v>
      </c>
      <c r="J28" s="116" t="s">
        <v>259</v>
      </c>
    </row>
    <row r="29" spans="6:10" x14ac:dyDescent="0.2">
      <c r="F29" s="115">
        <v>0</v>
      </c>
      <c r="G29" s="117">
        <v>20000</v>
      </c>
      <c r="H29" s="115"/>
      <c r="I29" s="115"/>
      <c r="J29" s="118">
        <v>-20000</v>
      </c>
    </row>
    <row r="30" spans="6:10" x14ac:dyDescent="0.2">
      <c r="F30" s="94">
        <v>1</v>
      </c>
      <c r="G30" s="119">
        <f>G23-H30</f>
        <v>17041</v>
      </c>
      <c r="H30" s="95">
        <v>2959</v>
      </c>
      <c r="I30" s="119">
        <f>G23*$J$3</f>
        <v>2000.1294584888285</v>
      </c>
      <c r="J30" s="109">
        <f>H30+I30</f>
        <v>4959.1294584888283</v>
      </c>
    </row>
    <row r="31" spans="6:10" x14ac:dyDescent="0.2">
      <c r="F31" s="94">
        <v>2</v>
      </c>
      <c r="G31" s="119">
        <f>G30-H31</f>
        <v>14351</v>
      </c>
      <c r="H31" s="95">
        <v>2690</v>
      </c>
      <c r="I31" s="119">
        <f>G30*$J$3</f>
        <v>1704.2103051054064</v>
      </c>
      <c r="J31" s="109">
        <f t="shared" ref="J31:J39" si="4">H31+I31</f>
        <v>4394.2103051054064</v>
      </c>
    </row>
    <row r="32" spans="6:10" x14ac:dyDescent="0.2">
      <c r="F32" s="94">
        <v>3</v>
      </c>
      <c r="G32" s="119">
        <f t="shared" ref="G32:G39" si="5">G31-H32</f>
        <v>11905</v>
      </c>
      <c r="H32" s="95">
        <v>2446</v>
      </c>
      <c r="I32" s="119">
        <f t="shared" ref="I32:I39" si="6">G31*$J$3</f>
        <v>1435.1928929386588</v>
      </c>
      <c r="J32" s="109">
        <f t="shared" si="4"/>
        <v>3881.1928929386586</v>
      </c>
    </row>
    <row r="33" spans="6:10" x14ac:dyDescent="0.2">
      <c r="F33" s="94">
        <v>4</v>
      </c>
      <c r="G33" s="119">
        <f t="shared" si="5"/>
        <v>9682</v>
      </c>
      <c r="H33" s="95">
        <v>2223</v>
      </c>
      <c r="I33" s="119">
        <f t="shared" si="6"/>
        <v>1190.5770601654751</v>
      </c>
      <c r="J33" s="109">
        <f t="shared" si="4"/>
        <v>3413.5770601654749</v>
      </c>
    </row>
    <row r="34" spans="6:10" x14ac:dyDescent="0.2">
      <c r="F34" s="94">
        <v>5</v>
      </c>
      <c r="G34" s="119">
        <f t="shared" si="5"/>
        <v>7661</v>
      </c>
      <c r="H34" s="95">
        <v>2021</v>
      </c>
      <c r="I34" s="119">
        <f t="shared" si="6"/>
        <v>968.26267085444192</v>
      </c>
      <c r="J34" s="109">
        <f t="shared" si="4"/>
        <v>2989.2626708544421</v>
      </c>
    </row>
    <row r="35" spans="6:10" x14ac:dyDescent="0.2">
      <c r="F35" s="94">
        <v>6</v>
      </c>
      <c r="G35" s="119">
        <f t="shared" si="5"/>
        <v>5824</v>
      </c>
      <c r="H35" s="95">
        <v>1837</v>
      </c>
      <c r="I35" s="119">
        <f t="shared" si="6"/>
        <v>766.14958907414575</v>
      </c>
      <c r="J35" s="109">
        <f t="shared" si="4"/>
        <v>2603.1495890741458</v>
      </c>
    </row>
    <row r="36" spans="6:10" x14ac:dyDescent="0.2">
      <c r="F36" s="94">
        <v>7</v>
      </c>
      <c r="G36" s="119">
        <f t="shared" si="5"/>
        <v>4154</v>
      </c>
      <c r="H36" s="95">
        <v>1670</v>
      </c>
      <c r="I36" s="119">
        <f t="shared" si="6"/>
        <v>582.43769831194686</v>
      </c>
      <c r="J36" s="109">
        <f t="shared" si="4"/>
        <v>2252.4376983119469</v>
      </c>
    </row>
    <row r="37" spans="6:10" x14ac:dyDescent="0.2">
      <c r="F37" s="94">
        <v>8</v>
      </c>
      <c r="G37" s="119">
        <f t="shared" si="5"/>
        <v>2636</v>
      </c>
      <c r="H37" s="95">
        <v>1518</v>
      </c>
      <c r="I37" s="119">
        <f t="shared" si="6"/>
        <v>415.42688852812967</v>
      </c>
      <c r="J37" s="109">
        <f t="shared" si="4"/>
        <v>1933.4268885281297</v>
      </c>
    </row>
    <row r="38" spans="6:10" x14ac:dyDescent="0.2">
      <c r="F38" s="94">
        <v>9</v>
      </c>
      <c r="G38" s="119">
        <f t="shared" si="5"/>
        <v>1256</v>
      </c>
      <c r="H38" s="95">
        <v>1380</v>
      </c>
      <c r="I38" s="119">
        <f t="shared" si="6"/>
        <v>263.61706262882763</v>
      </c>
      <c r="J38" s="109">
        <f t="shared" si="4"/>
        <v>1643.6170626288276</v>
      </c>
    </row>
    <row r="39" spans="6:10" x14ac:dyDescent="0.2">
      <c r="F39" s="94">
        <v>10</v>
      </c>
      <c r="G39" s="119">
        <f t="shared" si="5"/>
        <v>0</v>
      </c>
      <c r="H39" s="95">
        <v>1256</v>
      </c>
      <c r="I39" s="119">
        <f t="shared" si="6"/>
        <v>125.60812999309843</v>
      </c>
      <c r="J39" s="109">
        <f t="shared" si="4"/>
        <v>1381.6081299930984</v>
      </c>
    </row>
    <row r="40" spans="6:10" x14ac:dyDescent="0.2">
      <c r="G40" s="120"/>
      <c r="H40" s="121">
        <f>SUM(H30:H39)</f>
        <v>20000</v>
      </c>
      <c r="I40" s="121">
        <f>SUM(I30:I39)</f>
        <v>9451.6117560889597</v>
      </c>
      <c r="J40" s="121">
        <f>SUM(J30:J39)</f>
        <v>29451.611756088958</v>
      </c>
    </row>
    <row r="41" spans="6:10" x14ac:dyDescent="0.2">
      <c r="J41" s="114" t="s">
        <v>218</v>
      </c>
    </row>
    <row r="42" spans="6:10" x14ac:dyDescent="0.2">
      <c r="I42" s="122">
        <f>I40/H40</f>
        <v>0.472580587804448</v>
      </c>
      <c r="J42" s="123">
        <f>IRR(J29:J39)</f>
        <v>0.10000647292444143</v>
      </c>
    </row>
    <row r="44" spans="6:10" x14ac:dyDescent="0.2">
      <c r="F44" s="39" t="s">
        <v>40</v>
      </c>
      <c r="G44" s="54">
        <v>20000</v>
      </c>
      <c r="I44" s="38" t="s">
        <v>262</v>
      </c>
    </row>
    <row r="45" spans="6:10" ht="13.5" thickBot="1" x14ac:dyDescent="0.25">
      <c r="F45" s="39" t="s">
        <v>253</v>
      </c>
      <c r="G45" s="39">
        <v>10</v>
      </c>
      <c r="H45" s="39" t="s">
        <v>53</v>
      </c>
    </row>
    <row r="46" spans="6:10" ht="13.5" thickBot="1" x14ac:dyDescent="0.25">
      <c r="F46" s="39" t="s">
        <v>244</v>
      </c>
      <c r="G46" s="113">
        <v>2.1386500000000002</v>
      </c>
      <c r="I46" s="114" t="s">
        <v>230</v>
      </c>
      <c r="J46" s="90">
        <f>(1+G46)^(30/360)-1</f>
        <v>0.10000647292444143</v>
      </c>
    </row>
    <row r="47" spans="6:10" x14ac:dyDescent="0.2">
      <c r="F47" s="39" t="s">
        <v>231</v>
      </c>
      <c r="G47" s="39" t="s">
        <v>261</v>
      </c>
    </row>
    <row r="49" spans="6:10" x14ac:dyDescent="0.2">
      <c r="F49" s="115" t="s">
        <v>255</v>
      </c>
      <c r="G49" s="115" t="s">
        <v>256</v>
      </c>
      <c r="H49" s="115" t="s">
        <v>257</v>
      </c>
      <c r="I49" s="115" t="s">
        <v>258</v>
      </c>
      <c r="J49" s="116" t="s">
        <v>259</v>
      </c>
    </row>
    <row r="50" spans="6:10" x14ac:dyDescent="0.2">
      <c r="F50" s="115">
        <v>0</v>
      </c>
      <c r="G50" s="117">
        <v>20000</v>
      </c>
      <c r="H50" s="115"/>
      <c r="I50" s="115"/>
      <c r="J50" s="118">
        <v>-20000</v>
      </c>
    </row>
    <row r="51" spans="6:10" x14ac:dyDescent="0.2">
      <c r="F51" s="94">
        <v>1</v>
      </c>
      <c r="G51" s="119">
        <f>G44-H51</f>
        <v>18000</v>
      </c>
      <c r="H51" s="95">
        <f>$G$44/$G$45</f>
        <v>2000</v>
      </c>
      <c r="I51" s="119">
        <f>G44*$J$3</f>
        <v>2000.1294584888285</v>
      </c>
      <c r="J51" s="109">
        <f>H51+I51</f>
        <v>4000.1294584888283</v>
      </c>
    </row>
    <row r="52" spans="6:10" x14ac:dyDescent="0.2">
      <c r="F52" s="94">
        <v>2</v>
      </c>
      <c r="G52" s="119">
        <f>G51-H52</f>
        <v>16000</v>
      </c>
      <c r="H52" s="95">
        <f t="shared" ref="H52:H60" si="7">$G$44/$G$45</f>
        <v>2000</v>
      </c>
      <c r="I52" s="119">
        <f>G51*$J$3</f>
        <v>1800.1165126399455</v>
      </c>
      <c r="J52" s="109">
        <f t="shared" ref="J52:J60" si="8">H52+I52</f>
        <v>3800.1165126399455</v>
      </c>
    </row>
    <row r="53" spans="6:10" x14ac:dyDescent="0.2">
      <c r="F53" s="94">
        <v>3</v>
      </c>
      <c r="G53" s="119">
        <f t="shared" ref="G53:G60" si="9">G52-H53</f>
        <v>14000</v>
      </c>
      <c r="H53" s="95">
        <f t="shared" si="7"/>
        <v>2000</v>
      </c>
      <c r="I53" s="119">
        <f t="shared" ref="I53:I60" si="10">G52*$J$3</f>
        <v>1600.1035667910628</v>
      </c>
      <c r="J53" s="109">
        <f t="shared" si="8"/>
        <v>3600.1035667910628</v>
      </c>
    </row>
    <row r="54" spans="6:10" x14ac:dyDescent="0.2">
      <c r="F54" s="94">
        <v>4</v>
      </c>
      <c r="G54" s="119">
        <f t="shared" si="9"/>
        <v>12000</v>
      </c>
      <c r="H54" s="95">
        <f t="shared" si="7"/>
        <v>2000</v>
      </c>
      <c r="I54" s="119">
        <f t="shared" si="10"/>
        <v>1400.0906209421801</v>
      </c>
      <c r="J54" s="109">
        <f t="shared" si="8"/>
        <v>3400.0906209421801</v>
      </c>
    </row>
    <row r="55" spans="6:10" x14ac:dyDescent="0.2">
      <c r="F55" s="94">
        <v>5</v>
      </c>
      <c r="G55" s="119">
        <f t="shared" si="9"/>
        <v>10000</v>
      </c>
      <c r="H55" s="95">
        <f t="shared" si="7"/>
        <v>2000</v>
      </c>
      <c r="I55" s="119">
        <f t="shared" si="10"/>
        <v>1200.0776750932971</v>
      </c>
      <c r="J55" s="109">
        <f t="shared" si="8"/>
        <v>3200.0776750932973</v>
      </c>
    </row>
    <row r="56" spans="6:10" x14ac:dyDescent="0.2">
      <c r="F56" s="94">
        <v>6</v>
      </c>
      <c r="G56" s="119">
        <f t="shared" si="9"/>
        <v>8000</v>
      </c>
      <c r="H56" s="95">
        <f t="shared" si="7"/>
        <v>2000</v>
      </c>
      <c r="I56" s="119">
        <f t="shared" si="10"/>
        <v>1000.0647292444143</v>
      </c>
      <c r="J56" s="109">
        <f t="shared" si="8"/>
        <v>3000.0647292444141</v>
      </c>
    </row>
    <row r="57" spans="6:10" x14ac:dyDescent="0.2">
      <c r="F57" s="94">
        <v>7</v>
      </c>
      <c r="G57" s="119">
        <f t="shared" si="9"/>
        <v>6000</v>
      </c>
      <c r="H57" s="95">
        <f t="shared" si="7"/>
        <v>2000</v>
      </c>
      <c r="I57" s="119">
        <f t="shared" si="10"/>
        <v>800.0517833955314</v>
      </c>
      <c r="J57" s="109">
        <f t="shared" si="8"/>
        <v>2800.0517833955314</v>
      </c>
    </row>
    <row r="58" spans="6:10" x14ac:dyDescent="0.2">
      <c r="F58" s="94">
        <v>8</v>
      </c>
      <c r="G58" s="119">
        <f t="shared" si="9"/>
        <v>4000</v>
      </c>
      <c r="H58" s="95">
        <f t="shared" si="7"/>
        <v>2000</v>
      </c>
      <c r="I58" s="119">
        <f t="shared" si="10"/>
        <v>600.03883754664855</v>
      </c>
      <c r="J58" s="109">
        <f t="shared" si="8"/>
        <v>2600.0388375466487</v>
      </c>
    </row>
    <row r="59" spans="6:10" x14ac:dyDescent="0.2">
      <c r="F59" s="94">
        <v>9</v>
      </c>
      <c r="G59" s="119">
        <f t="shared" si="9"/>
        <v>2000</v>
      </c>
      <c r="H59" s="95">
        <f t="shared" si="7"/>
        <v>2000</v>
      </c>
      <c r="I59" s="119">
        <f t="shared" si="10"/>
        <v>400.0258916977657</v>
      </c>
      <c r="J59" s="109">
        <f t="shared" si="8"/>
        <v>2400.0258916977655</v>
      </c>
    </row>
    <row r="60" spans="6:10" x14ac:dyDescent="0.2">
      <c r="F60" s="94">
        <v>10</v>
      </c>
      <c r="G60" s="119">
        <f t="shared" si="9"/>
        <v>0</v>
      </c>
      <c r="H60" s="95">
        <f t="shared" si="7"/>
        <v>2000</v>
      </c>
      <c r="I60" s="119">
        <f t="shared" si="10"/>
        <v>200.01294584888285</v>
      </c>
      <c r="J60" s="109">
        <f t="shared" si="8"/>
        <v>2200.0129458488827</v>
      </c>
    </row>
    <row r="61" spans="6:10" x14ac:dyDescent="0.2">
      <c r="G61" s="120"/>
      <c r="H61" s="121">
        <f>SUM(H51:H60)</f>
        <v>20000</v>
      </c>
      <c r="I61" s="121">
        <f>SUM(I51:I60)</f>
        <v>11000.712021688556</v>
      </c>
      <c r="J61" s="121">
        <f>SUM(J51:J60)</f>
        <v>31000.71202168856</v>
      </c>
    </row>
    <row r="62" spans="6:10" x14ac:dyDescent="0.2">
      <c r="J62" s="114" t="s">
        <v>218</v>
      </c>
    </row>
    <row r="63" spans="6:10" x14ac:dyDescent="0.2">
      <c r="I63" s="122">
        <f>I61/H61</f>
        <v>0.55003560108442784</v>
      </c>
      <c r="J63" s="123">
        <f>IRR(J50:J60)</f>
        <v>0.10000647292444143</v>
      </c>
    </row>
    <row r="65" spans="6:10" x14ac:dyDescent="0.2">
      <c r="F65" s="38" t="s">
        <v>263</v>
      </c>
    </row>
    <row r="66" spans="6:10" x14ac:dyDescent="0.2">
      <c r="F66" s="39" t="s">
        <v>40</v>
      </c>
      <c r="G66" s="54">
        <v>20000</v>
      </c>
      <c r="I66" s="38" t="s">
        <v>262</v>
      </c>
    </row>
    <row r="67" spans="6:10" ht="13.5" thickBot="1" x14ac:dyDescent="0.25">
      <c r="F67" s="39" t="s">
        <v>253</v>
      </c>
      <c r="G67" s="39">
        <v>10</v>
      </c>
      <c r="H67" s="39" t="s">
        <v>53</v>
      </c>
    </row>
    <row r="68" spans="6:10" ht="13.5" thickBot="1" x14ac:dyDescent="0.25">
      <c r="F68" s="39" t="s">
        <v>244</v>
      </c>
      <c r="G68" s="113">
        <v>2.1386500000000002</v>
      </c>
      <c r="I68" s="114" t="s">
        <v>230</v>
      </c>
      <c r="J68" s="90">
        <f>(1+G68)^(30/360)-1</f>
        <v>0.10000647292444143</v>
      </c>
    </row>
    <row r="69" spans="6:10" x14ac:dyDescent="0.2">
      <c r="F69" s="39" t="s">
        <v>231</v>
      </c>
      <c r="G69" s="39" t="s">
        <v>261</v>
      </c>
    </row>
    <row r="71" spans="6:10" x14ac:dyDescent="0.2">
      <c r="F71" s="115" t="s">
        <v>255</v>
      </c>
      <c r="G71" s="115" t="s">
        <v>256</v>
      </c>
      <c r="H71" s="115" t="s">
        <v>257</v>
      </c>
      <c r="I71" s="115" t="s">
        <v>258</v>
      </c>
      <c r="J71" s="116" t="s">
        <v>259</v>
      </c>
    </row>
    <row r="72" spans="6:10" x14ac:dyDescent="0.2">
      <c r="F72" s="115">
        <v>0</v>
      </c>
      <c r="G72" s="117">
        <v>20000</v>
      </c>
      <c r="H72" s="115"/>
      <c r="I72" s="115"/>
      <c r="J72" s="118">
        <v>-20000</v>
      </c>
    </row>
    <row r="73" spans="6:10" x14ac:dyDescent="0.2">
      <c r="F73" s="94">
        <v>1</v>
      </c>
      <c r="G73" s="119">
        <f>G66-H73</f>
        <v>18000</v>
      </c>
      <c r="H73" s="95">
        <f>$G$44/$G$45</f>
        <v>2000</v>
      </c>
      <c r="I73" s="119">
        <f>G66*$J$3</f>
        <v>2000.1294584888285</v>
      </c>
      <c r="J73" s="109">
        <f>H73+I73</f>
        <v>4000.1294584888283</v>
      </c>
    </row>
    <row r="74" spans="6:10" x14ac:dyDescent="0.2">
      <c r="F74" s="94">
        <v>2</v>
      </c>
      <c r="G74" s="119">
        <f>G73-H74</f>
        <v>16000</v>
      </c>
      <c r="H74" s="95">
        <f t="shared" ref="H74:H82" si="11">$G$44/$G$45</f>
        <v>2000</v>
      </c>
      <c r="I74" s="119">
        <f>G73*$J$3</f>
        <v>1800.1165126399455</v>
      </c>
      <c r="J74" s="109">
        <f t="shared" ref="J74:J82" si="12">H74+I74</f>
        <v>3800.1165126399455</v>
      </c>
    </row>
    <row r="75" spans="6:10" x14ac:dyDescent="0.2">
      <c r="F75" s="94">
        <v>3</v>
      </c>
      <c r="G75" s="119">
        <f t="shared" ref="G75:G82" si="13">G74-H75</f>
        <v>14000</v>
      </c>
      <c r="H75" s="95">
        <f t="shared" si="11"/>
        <v>2000</v>
      </c>
      <c r="I75" s="119">
        <f t="shared" ref="I75:I82" si="14">G74*$J$3</f>
        <v>1600.1035667910628</v>
      </c>
      <c r="J75" s="109">
        <f t="shared" si="12"/>
        <v>3600.1035667910628</v>
      </c>
    </row>
    <row r="76" spans="6:10" x14ac:dyDescent="0.2">
      <c r="F76" s="94">
        <v>4</v>
      </c>
      <c r="G76" s="119">
        <f t="shared" si="13"/>
        <v>12000</v>
      </c>
      <c r="H76" s="95">
        <f t="shared" si="11"/>
        <v>2000</v>
      </c>
      <c r="I76" s="119">
        <f t="shared" si="14"/>
        <v>1400.0906209421801</v>
      </c>
      <c r="J76" s="109">
        <f t="shared" si="12"/>
        <v>3400.0906209421801</v>
      </c>
    </row>
    <row r="77" spans="6:10" x14ac:dyDescent="0.2">
      <c r="F77" s="94">
        <v>5</v>
      </c>
      <c r="G77" s="119">
        <f t="shared" si="13"/>
        <v>10000</v>
      </c>
      <c r="H77" s="95">
        <f t="shared" si="11"/>
        <v>2000</v>
      </c>
      <c r="I77" s="119">
        <f t="shared" si="14"/>
        <v>1200.0776750932971</v>
      </c>
      <c r="J77" s="109">
        <f t="shared" si="12"/>
        <v>3200.0776750932973</v>
      </c>
    </row>
    <row r="78" spans="6:10" x14ac:dyDescent="0.2">
      <c r="F78" s="94">
        <v>6</v>
      </c>
      <c r="G78" s="119">
        <f t="shared" si="13"/>
        <v>8000</v>
      </c>
      <c r="H78" s="95">
        <f t="shared" si="11"/>
        <v>2000</v>
      </c>
      <c r="I78" s="119">
        <f t="shared" si="14"/>
        <v>1000.0647292444143</v>
      </c>
      <c r="J78" s="109">
        <f t="shared" si="12"/>
        <v>3000.0647292444141</v>
      </c>
    </row>
    <row r="79" spans="6:10" x14ac:dyDescent="0.2">
      <c r="F79" s="94">
        <v>7</v>
      </c>
      <c r="G79" s="119">
        <f t="shared" si="13"/>
        <v>6000</v>
      </c>
      <c r="H79" s="95">
        <f t="shared" si="11"/>
        <v>2000</v>
      </c>
      <c r="I79" s="119">
        <f t="shared" si="14"/>
        <v>800.0517833955314</v>
      </c>
      <c r="J79" s="109">
        <f t="shared" si="12"/>
        <v>2800.0517833955314</v>
      </c>
    </row>
    <row r="80" spans="6:10" x14ac:dyDescent="0.2">
      <c r="F80" s="94">
        <v>8</v>
      </c>
      <c r="G80" s="119">
        <f t="shared" si="13"/>
        <v>4000</v>
      </c>
      <c r="H80" s="95">
        <f t="shared" si="11"/>
        <v>2000</v>
      </c>
      <c r="I80" s="119">
        <f t="shared" si="14"/>
        <v>600.03883754664855</v>
      </c>
      <c r="J80" s="109">
        <f t="shared" si="12"/>
        <v>2600.0388375466487</v>
      </c>
    </row>
    <row r="81" spans="6:10" x14ac:dyDescent="0.2">
      <c r="F81" s="94">
        <v>9</v>
      </c>
      <c r="G81" s="119">
        <f t="shared" si="13"/>
        <v>2000</v>
      </c>
      <c r="H81" s="95">
        <f t="shared" si="11"/>
        <v>2000</v>
      </c>
      <c r="I81" s="119">
        <f t="shared" si="14"/>
        <v>400.0258916977657</v>
      </c>
      <c r="J81" s="109">
        <f t="shared" si="12"/>
        <v>2400.0258916977655</v>
      </c>
    </row>
    <row r="82" spans="6:10" x14ac:dyDescent="0.2">
      <c r="F82" s="94">
        <v>10</v>
      </c>
      <c r="G82" s="119">
        <f t="shared" si="13"/>
        <v>0</v>
      </c>
      <c r="H82" s="95">
        <f t="shared" si="11"/>
        <v>2000</v>
      </c>
      <c r="I82" s="119">
        <f t="shared" si="14"/>
        <v>200.01294584888285</v>
      </c>
      <c r="J82" s="109">
        <f t="shared" si="12"/>
        <v>2200.0129458488827</v>
      </c>
    </row>
    <row r="83" spans="6:10" x14ac:dyDescent="0.2">
      <c r="G83" s="120"/>
      <c r="H83" s="121">
        <f>SUM(H73:H82)</f>
        <v>20000</v>
      </c>
      <c r="I83" s="121">
        <f>SUM(I73:I82)</f>
        <v>11000.712021688556</v>
      </c>
      <c r="J83" s="121">
        <f>SUM(J73:J82)</f>
        <v>31000.71202168856</v>
      </c>
    </row>
    <row r="84" spans="6:10" x14ac:dyDescent="0.2">
      <c r="J84" s="114" t="s">
        <v>218</v>
      </c>
    </row>
    <row r="85" spans="6:10" x14ac:dyDescent="0.2">
      <c r="I85" s="122">
        <f>I83/H83</f>
        <v>0.55003560108442784</v>
      </c>
      <c r="J85" s="123">
        <f>IRR(J72:J82)</f>
        <v>0.10000647292444143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947F-52F2-4F25-94C7-A2BC79372497}">
  <sheetPr>
    <tabColor rgb="FF00B050"/>
  </sheetPr>
  <dimension ref="A1:M58"/>
  <sheetViews>
    <sheetView tabSelected="1" topLeftCell="A44" zoomScaleNormal="100" workbookViewId="0">
      <selection activeCell="C64" sqref="C64"/>
    </sheetView>
  </sheetViews>
  <sheetFormatPr baseColWidth="10" defaultColWidth="11.42578125" defaultRowHeight="15" x14ac:dyDescent="0.2"/>
  <cols>
    <col min="1" max="1" width="21" style="40" customWidth="1"/>
    <col min="2" max="2" width="14.42578125" style="40" bestFit="1" customWidth="1"/>
    <col min="3" max="3" width="14.42578125" style="40" customWidth="1"/>
    <col min="4" max="4" width="15.85546875" style="40" customWidth="1"/>
    <col min="5" max="5" width="15.140625" style="40" customWidth="1"/>
    <col min="6" max="6" width="12" style="40" bestFit="1" customWidth="1"/>
    <col min="7" max="7" width="15" style="40" customWidth="1"/>
    <col min="8" max="9" width="11.42578125" style="40" bestFit="1" customWidth="1"/>
    <col min="10" max="10" width="12.7109375" style="40" bestFit="1" customWidth="1"/>
    <col min="11" max="16384" width="11.42578125" style="40"/>
  </cols>
  <sheetData>
    <row r="1" spans="1:13" ht="18" x14ac:dyDescent="0.25">
      <c r="A1" s="56" t="s">
        <v>264</v>
      </c>
      <c r="B1" s="56" t="s">
        <v>265</v>
      </c>
    </row>
    <row r="2" spans="1:13" x14ac:dyDescent="0.2">
      <c r="A2" s="40" t="s">
        <v>860</v>
      </c>
    </row>
    <row r="3" spans="1:13" x14ac:dyDescent="0.2">
      <c r="A3" s="40" t="s">
        <v>861</v>
      </c>
    </row>
    <row r="4" spans="1:13" ht="15.75" x14ac:dyDescent="0.25">
      <c r="A4" s="124" t="s">
        <v>266</v>
      </c>
      <c r="E4" s="124" t="s">
        <v>267</v>
      </c>
    </row>
    <row r="5" spans="1:13" x14ac:dyDescent="0.2">
      <c r="A5" s="40" t="s">
        <v>268</v>
      </c>
      <c r="B5" s="125">
        <v>25000</v>
      </c>
      <c r="E5" s="40" t="s">
        <v>268</v>
      </c>
      <c r="G5" s="125">
        <v>25000</v>
      </c>
    </row>
    <row r="6" spans="1:13" x14ac:dyDescent="0.2">
      <c r="A6" s="40" t="s">
        <v>253</v>
      </c>
      <c r="B6" s="125">
        <v>8</v>
      </c>
      <c r="C6" s="40" t="s">
        <v>53</v>
      </c>
      <c r="E6" s="40" t="s">
        <v>253</v>
      </c>
      <c r="G6" s="125">
        <v>8</v>
      </c>
      <c r="H6" s="40" t="s">
        <v>53</v>
      </c>
    </row>
    <row r="7" spans="1:13" ht="15.75" x14ac:dyDescent="0.25">
      <c r="A7" s="40" t="s">
        <v>862</v>
      </c>
      <c r="B7" s="126">
        <v>0.40260000000000001</v>
      </c>
      <c r="C7" s="126">
        <f>(1+B7)^(1/12)-1</f>
        <v>2.859518314746845E-2</v>
      </c>
      <c r="E7" s="40" t="s">
        <v>863</v>
      </c>
      <c r="F7" s="127"/>
      <c r="G7" s="126">
        <v>0.42149999999999999</v>
      </c>
      <c r="H7" s="126">
        <f>(1+G7)^(1/12)-1</f>
        <v>2.974313503148851E-2</v>
      </c>
    </row>
    <row r="8" spans="1:13" x14ac:dyDescent="0.2">
      <c r="A8" s="40" t="s">
        <v>269</v>
      </c>
      <c r="B8" s="125">
        <f>20*12</f>
        <v>240</v>
      </c>
      <c r="E8" s="40" t="s">
        <v>269</v>
      </c>
      <c r="F8" s="127"/>
      <c r="G8" s="125">
        <f>12*12</f>
        <v>144</v>
      </c>
    </row>
    <row r="9" spans="1:13" x14ac:dyDescent="0.2">
      <c r="A9" s="40" t="s">
        <v>864</v>
      </c>
      <c r="B9" s="40">
        <v>8.5</v>
      </c>
      <c r="E9" s="40" t="s">
        <v>864</v>
      </c>
      <c r="G9" s="40">
        <v>5.6</v>
      </c>
    </row>
    <row r="10" spans="1:13" x14ac:dyDescent="0.2">
      <c r="A10" s="40" t="s">
        <v>271</v>
      </c>
      <c r="B10" s="127">
        <v>8.5000000000000006E-3</v>
      </c>
      <c r="C10" s="40" t="s">
        <v>865</v>
      </c>
      <c r="E10" s="40" t="s">
        <v>271</v>
      </c>
      <c r="F10" s="127"/>
      <c r="G10" s="127">
        <v>4.5999999999999999E-3</v>
      </c>
      <c r="H10" s="40" t="s">
        <v>865</v>
      </c>
    </row>
    <row r="11" spans="1:13" x14ac:dyDescent="0.2">
      <c r="A11" s="40" t="s">
        <v>272</v>
      </c>
      <c r="B11" s="40" t="s">
        <v>273</v>
      </c>
      <c r="E11" s="40" t="s">
        <v>272</v>
      </c>
      <c r="G11" s="40" t="s">
        <v>274</v>
      </c>
    </row>
    <row r="12" spans="1:13" ht="9" customHeight="1" x14ac:dyDescent="0.2"/>
    <row r="13" spans="1:13" x14ac:dyDescent="0.2">
      <c r="A13" s="40" t="s">
        <v>275</v>
      </c>
    </row>
    <row r="14" spans="1:13" ht="6" customHeight="1" x14ac:dyDescent="0.2"/>
    <row r="15" spans="1:13" ht="15.75" x14ac:dyDescent="0.25">
      <c r="A15" s="124" t="s">
        <v>276</v>
      </c>
      <c r="M15" s="128"/>
    </row>
    <row r="17" spans="1:12" ht="15.75" x14ac:dyDescent="0.25">
      <c r="A17" s="124" t="s">
        <v>277</v>
      </c>
    </row>
    <row r="18" spans="1:12" ht="15.75" thickBot="1" x14ac:dyDescent="0.25"/>
    <row r="19" spans="1:12" ht="16.5" thickBot="1" x14ac:dyDescent="0.3">
      <c r="A19" s="129" t="s">
        <v>246</v>
      </c>
      <c r="B19" s="130">
        <f>PMT(C7,8,-B5,,0)</f>
        <v>3540.3352985083006</v>
      </c>
      <c r="D19" s="131"/>
      <c r="E19" s="452" t="s">
        <v>866</v>
      </c>
      <c r="F19" s="453"/>
      <c r="G19" s="451">
        <f>G5/G6</f>
        <v>3125</v>
      </c>
      <c r="L19" s="132"/>
    </row>
    <row r="20" spans="1:12" ht="9" customHeight="1" x14ac:dyDescent="0.2"/>
    <row r="21" spans="1:12" x14ac:dyDescent="0.2">
      <c r="A21" s="40" t="s">
        <v>278</v>
      </c>
    </row>
    <row r="22" spans="1:12" ht="15.75" x14ac:dyDescent="0.25">
      <c r="A22" s="133" t="s">
        <v>279</v>
      </c>
      <c r="B22" s="134">
        <v>0</v>
      </c>
      <c r="C22" s="134">
        <v>1</v>
      </c>
      <c r="D22" s="134">
        <v>2</v>
      </c>
      <c r="E22" s="134">
        <v>3</v>
      </c>
      <c r="F22" s="134">
        <v>4</v>
      </c>
      <c r="G22" s="134">
        <v>5</v>
      </c>
      <c r="H22" s="134">
        <v>6</v>
      </c>
      <c r="I22" s="134">
        <v>7</v>
      </c>
      <c r="J22" s="134">
        <v>8</v>
      </c>
    </row>
    <row r="23" spans="1:12" ht="15.75" x14ac:dyDescent="0.25">
      <c r="A23" s="135" t="s">
        <v>280</v>
      </c>
      <c r="B23" s="136">
        <f>B5</f>
        <v>25000</v>
      </c>
      <c r="C23" s="136">
        <f t="shared" ref="C23:J23" si="0">+B23-C24</f>
        <v>22174.544280178412</v>
      </c>
      <c r="D23" s="136">
        <f t="shared" si="0"/>
        <v>19268.294136573462</v>
      </c>
      <c r="E23" s="136">
        <f t="shared" si="0"/>
        <v>16278.939237839772</v>
      </c>
      <c r="F23" s="136">
        <f t="shared" si="0"/>
        <v>13204.103188284011</v>
      </c>
      <c r="G23" s="136">
        <f t="shared" si="0"/>
        <v>10041.341638742764</v>
      </c>
      <c r="H23" s="136">
        <f t="shared" si="0"/>
        <v>6788.1403434406138</v>
      </c>
      <c r="I23" s="136">
        <f t="shared" si="0"/>
        <v>3441.9131612837168</v>
      </c>
      <c r="J23" s="136">
        <f t="shared" si="0"/>
        <v>6.3664629124104977E-12</v>
      </c>
    </row>
    <row r="24" spans="1:12" ht="15.75" x14ac:dyDescent="0.25">
      <c r="A24" s="135" t="s">
        <v>237</v>
      </c>
      <c r="B24" s="136"/>
      <c r="C24" s="136">
        <f t="shared" ref="C24:J24" si="1">+C26-C25</f>
        <v>2825.4557198215894</v>
      </c>
      <c r="D24" s="136">
        <f t="shared" si="1"/>
        <v>2906.2501436049502</v>
      </c>
      <c r="E24" s="136">
        <f t="shared" si="1"/>
        <v>2989.3548987336899</v>
      </c>
      <c r="F24" s="136">
        <f t="shared" si="1"/>
        <v>3074.8360495557617</v>
      </c>
      <c r="G24" s="136">
        <f t="shared" si="1"/>
        <v>3162.7615495412474</v>
      </c>
      <c r="H24" s="136">
        <f t="shared" si="1"/>
        <v>3253.2012953021504</v>
      </c>
      <c r="I24" s="136">
        <f t="shared" si="1"/>
        <v>3346.227182156897</v>
      </c>
      <c r="J24" s="136">
        <f t="shared" si="1"/>
        <v>3441.9131612837105</v>
      </c>
    </row>
    <row r="25" spans="1:12" ht="15.75" x14ac:dyDescent="0.25">
      <c r="A25" s="135" t="s">
        <v>193</v>
      </c>
      <c r="B25" s="136"/>
      <c r="C25" s="136">
        <f>+B23*$C$7</f>
        <v>714.87957868671128</v>
      </c>
      <c r="D25" s="136">
        <f>+C23*$C$7</f>
        <v>634.0851549033506</v>
      </c>
      <c r="E25" s="136">
        <f t="shared" ref="E25:J25" si="2">+D23*$C$7</f>
        <v>550.98039977461065</v>
      </c>
      <c r="F25" s="136">
        <f t="shared" si="2"/>
        <v>465.49924895253872</v>
      </c>
      <c r="G25" s="136">
        <f t="shared" si="2"/>
        <v>377.5737489670534</v>
      </c>
      <c r="H25" s="136">
        <f t="shared" si="2"/>
        <v>287.13400320615034</v>
      </c>
      <c r="I25" s="136">
        <f t="shared" si="2"/>
        <v>194.10811635140374</v>
      </c>
      <c r="J25" s="136">
        <f t="shared" si="2"/>
        <v>98.422137224590003</v>
      </c>
    </row>
    <row r="26" spans="1:12" ht="15.75" x14ac:dyDescent="0.25">
      <c r="A26" s="135" t="s">
        <v>251</v>
      </c>
      <c r="B26" s="136"/>
      <c r="C26" s="136">
        <f>$B$19</f>
        <v>3540.3352985083006</v>
      </c>
      <c r="D26" s="136">
        <f t="shared" ref="D26:J26" si="3">$B$19</f>
        <v>3540.3352985083006</v>
      </c>
      <c r="E26" s="136">
        <f t="shared" si="3"/>
        <v>3540.3352985083006</v>
      </c>
      <c r="F26" s="136">
        <f t="shared" si="3"/>
        <v>3540.3352985083006</v>
      </c>
      <c r="G26" s="136">
        <f t="shared" si="3"/>
        <v>3540.3352985083006</v>
      </c>
      <c r="H26" s="136">
        <f t="shared" si="3"/>
        <v>3540.3352985083006</v>
      </c>
      <c r="I26" s="136">
        <f t="shared" si="3"/>
        <v>3540.3352985083006</v>
      </c>
      <c r="J26" s="136">
        <f t="shared" si="3"/>
        <v>3540.3352985083006</v>
      </c>
    </row>
    <row r="27" spans="1:12" ht="15.75" x14ac:dyDescent="0.25">
      <c r="A27" s="135" t="s">
        <v>281</v>
      </c>
      <c r="B27" s="136"/>
      <c r="C27" s="136">
        <f>$B$8/12</f>
        <v>20</v>
      </c>
      <c r="D27" s="136">
        <f t="shared" ref="D27:J27" si="4">$B$8/12</f>
        <v>20</v>
      </c>
      <c r="E27" s="136">
        <f t="shared" si="4"/>
        <v>20</v>
      </c>
      <c r="F27" s="136">
        <f t="shared" si="4"/>
        <v>20</v>
      </c>
      <c r="G27" s="136">
        <f t="shared" si="4"/>
        <v>20</v>
      </c>
      <c r="H27" s="136">
        <f t="shared" si="4"/>
        <v>20</v>
      </c>
      <c r="I27" s="136">
        <f t="shared" si="4"/>
        <v>20</v>
      </c>
      <c r="J27" s="136">
        <f t="shared" si="4"/>
        <v>20</v>
      </c>
    </row>
    <row r="28" spans="1:12" ht="15.75" x14ac:dyDescent="0.25">
      <c r="A28" s="135" t="s">
        <v>282</v>
      </c>
      <c r="B28" s="136"/>
      <c r="C28" s="136">
        <f>$B$9</f>
        <v>8.5</v>
      </c>
      <c r="D28" s="136">
        <f t="shared" ref="D28:J28" si="5">$B$9</f>
        <v>8.5</v>
      </c>
      <c r="E28" s="136">
        <f t="shared" si="5"/>
        <v>8.5</v>
      </c>
      <c r="F28" s="136">
        <f t="shared" si="5"/>
        <v>8.5</v>
      </c>
      <c r="G28" s="136">
        <f t="shared" si="5"/>
        <v>8.5</v>
      </c>
      <c r="H28" s="136">
        <f t="shared" si="5"/>
        <v>8.5</v>
      </c>
      <c r="I28" s="136">
        <f t="shared" si="5"/>
        <v>8.5</v>
      </c>
      <c r="J28" s="136">
        <f t="shared" si="5"/>
        <v>8.5</v>
      </c>
    </row>
    <row r="29" spans="1:12" ht="15.75" x14ac:dyDescent="0.25">
      <c r="A29" s="135" t="s">
        <v>283</v>
      </c>
      <c r="B29" s="136"/>
      <c r="C29" s="136">
        <f>$B$10*B23</f>
        <v>212.50000000000003</v>
      </c>
      <c r="D29" s="136">
        <f>$B$10*C23</f>
        <v>188.48362638151653</v>
      </c>
      <c r="E29" s="136">
        <f t="shared" ref="E29:J29" si="6">$B$10*D23</f>
        <v>163.78050016087445</v>
      </c>
      <c r="F29" s="136">
        <f t="shared" si="6"/>
        <v>138.37098352163807</v>
      </c>
      <c r="G29" s="136">
        <f t="shared" si="6"/>
        <v>112.2348771004141</v>
      </c>
      <c r="H29" s="136">
        <f t="shared" si="6"/>
        <v>85.351403929313506</v>
      </c>
      <c r="I29" s="136">
        <f t="shared" si="6"/>
        <v>57.69919291924522</v>
      </c>
      <c r="J29" s="136">
        <f t="shared" si="6"/>
        <v>29.256261870911594</v>
      </c>
    </row>
    <row r="30" spans="1:12" ht="15.75" x14ac:dyDescent="0.25">
      <c r="A30" s="135" t="s">
        <v>284</v>
      </c>
      <c r="B30" s="136"/>
      <c r="C30" s="137">
        <f>C26+C27+C28+C29</f>
        <v>3781.3352985083006</v>
      </c>
      <c r="D30" s="137">
        <f t="shared" ref="D30:J30" si="7">D26+D27+D28+D29</f>
        <v>3757.318924889817</v>
      </c>
      <c r="E30" s="137">
        <f t="shared" si="7"/>
        <v>3732.6157986691751</v>
      </c>
      <c r="F30" s="137">
        <f t="shared" si="7"/>
        <v>3707.2062820299388</v>
      </c>
      <c r="G30" s="137">
        <f t="shared" si="7"/>
        <v>3681.0701756087146</v>
      </c>
      <c r="H30" s="137">
        <f t="shared" si="7"/>
        <v>3654.1867024376143</v>
      </c>
      <c r="I30" s="137">
        <f t="shared" si="7"/>
        <v>3626.5344914275461</v>
      </c>
      <c r="J30" s="137">
        <f t="shared" si="7"/>
        <v>3598.0915603792123</v>
      </c>
    </row>
    <row r="31" spans="1:12" ht="8.25" customHeight="1" x14ac:dyDescent="0.2"/>
    <row r="32" spans="1:12" ht="15.75" x14ac:dyDescent="0.25">
      <c r="A32" s="138" t="s">
        <v>239</v>
      </c>
      <c r="B32" s="139">
        <f>-B23</f>
        <v>-25000</v>
      </c>
      <c r="C32" s="139">
        <f>C30</f>
        <v>3781.3352985083006</v>
      </c>
      <c r="D32" s="139">
        <f t="shared" ref="D32:J32" si="8">D30</f>
        <v>3757.318924889817</v>
      </c>
      <c r="E32" s="139">
        <f t="shared" si="8"/>
        <v>3732.6157986691751</v>
      </c>
      <c r="F32" s="139">
        <f t="shared" si="8"/>
        <v>3707.2062820299388</v>
      </c>
      <c r="G32" s="139">
        <f t="shared" si="8"/>
        <v>3681.0701756087146</v>
      </c>
      <c r="H32" s="139">
        <f t="shared" si="8"/>
        <v>3654.1867024376143</v>
      </c>
      <c r="I32" s="139">
        <f t="shared" si="8"/>
        <v>3626.5344914275461</v>
      </c>
      <c r="J32" s="139">
        <f t="shared" si="8"/>
        <v>3598.0915603792123</v>
      </c>
    </row>
    <row r="33" spans="1:10" ht="7.5" customHeight="1" x14ac:dyDescent="0.25">
      <c r="A33" s="135"/>
      <c r="B33" s="140"/>
      <c r="C33" s="141"/>
      <c r="D33" s="141"/>
      <c r="E33" s="141"/>
      <c r="F33" s="141"/>
      <c r="G33" s="141"/>
      <c r="H33" s="141"/>
      <c r="I33" s="141"/>
      <c r="J33" s="141"/>
    </row>
    <row r="34" spans="1:10" ht="15.75" x14ac:dyDescent="0.25">
      <c r="A34" s="129" t="s">
        <v>218</v>
      </c>
      <c r="B34" s="142">
        <f>IRR(B32:J32)</f>
        <v>3.8977488061348042E-2</v>
      </c>
      <c r="C34" s="40" t="s">
        <v>869</v>
      </c>
    </row>
    <row r="36" spans="1:10" ht="15.75" x14ac:dyDescent="0.25">
      <c r="A36" s="124" t="s">
        <v>285</v>
      </c>
    </row>
    <row r="37" spans="1:10" ht="9.75" customHeight="1" x14ac:dyDescent="0.2"/>
    <row r="38" spans="1:10" ht="15.75" x14ac:dyDescent="0.25">
      <c r="B38" s="124" t="s">
        <v>286</v>
      </c>
    </row>
    <row r="39" spans="1:10" ht="9" customHeight="1" x14ac:dyDescent="0.2"/>
    <row r="40" spans="1:10" x14ac:dyDescent="0.2">
      <c r="A40" s="40" t="s">
        <v>287</v>
      </c>
      <c r="C40" s="131">
        <f>25000/8</f>
        <v>3125</v>
      </c>
    </row>
    <row r="41" spans="1:10" ht="7.5" customHeight="1" x14ac:dyDescent="0.2">
      <c r="C41" s="131"/>
    </row>
    <row r="42" spans="1:10" x14ac:dyDescent="0.2">
      <c r="A42" s="40" t="s">
        <v>278</v>
      </c>
    </row>
    <row r="43" spans="1:10" ht="15.75" x14ac:dyDescent="0.25">
      <c r="A43" s="133" t="s">
        <v>279</v>
      </c>
      <c r="B43" s="134">
        <v>0</v>
      </c>
      <c r="C43" s="134">
        <v>1</v>
      </c>
      <c r="D43" s="134">
        <v>2</v>
      </c>
      <c r="E43" s="134">
        <v>3</v>
      </c>
      <c r="F43" s="134">
        <v>4</v>
      </c>
      <c r="G43" s="134">
        <v>5</v>
      </c>
      <c r="H43" s="134">
        <v>6</v>
      </c>
      <c r="I43" s="134">
        <v>7</v>
      </c>
      <c r="J43" s="134">
        <v>8</v>
      </c>
    </row>
    <row r="44" spans="1:10" ht="15.75" x14ac:dyDescent="0.25">
      <c r="A44" s="135" t="s">
        <v>280</v>
      </c>
      <c r="B44" s="136">
        <f>G5</f>
        <v>25000</v>
      </c>
      <c r="C44" s="136">
        <f t="shared" ref="C44:J44" si="9">+B44-C45</f>
        <v>21875</v>
      </c>
      <c r="D44" s="136">
        <f t="shared" si="9"/>
        <v>18750</v>
      </c>
      <c r="E44" s="136">
        <f t="shared" si="9"/>
        <v>15625</v>
      </c>
      <c r="F44" s="136">
        <f t="shared" si="9"/>
        <v>12500</v>
      </c>
      <c r="G44" s="136">
        <f t="shared" si="9"/>
        <v>9375</v>
      </c>
      <c r="H44" s="136">
        <f t="shared" si="9"/>
        <v>6250</v>
      </c>
      <c r="I44" s="136">
        <f t="shared" si="9"/>
        <v>3125</v>
      </c>
      <c r="J44" s="136">
        <f t="shared" si="9"/>
        <v>0</v>
      </c>
    </row>
    <row r="45" spans="1:10" ht="15.75" x14ac:dyDescent="0.25">
      <c r="A45" s="135" t="s">
        <v>237</v>
      </c>
      <c r="B45" s="136"/>
      <c r="C45" s="136">
        <f>+$C$40</f>
        <v>3125</v>
      </c>
      <c r="D45" s="136">
        <f t="shared" ref="D45:I45" si="10">+$C$40</f>
        <v>3125</v>
      </c>
      <c r="E45" s="136">
        <f t="shared" si="10"/>
        <v>3125</v>
      </c>
      <c r="F45" s="136">
        <f t="shared" si="10"/>
        <v>3125</v>
      </c>
      <c r="G45" s="136">
        <f t="shared" si="10"/>
        <v>3125</v>
      </c>
      <c r="H45" s="136">
        <f t="shared" si="10"/>
        <v>3125</v>
      </c>
      <c r="I45" s="136">
        <f t="shared" si="10"/>
        <v>3125</v>
      </c>
      <c r="J45" s="136">
        <f>+C40</f>
        <v>3125</v>
      </c>
    </row>
    <row r="46" spans="1:10" ht="15.75" x14ac:dyDescent="0.25">
      <c r="A46" s="135" t="s">
        <v>193</v>
      </c>
      <c r="B46" s="136"/>
      <c r="C46" s="136">
        <f>+B44*$H$7</f>
        <v>743.57837578721274</v>
      </c>
      <c r="D46" s="136">
        <f>+C44*$H$7</f>
        <v>650.6310788138112</v>
      </c>
      <c r="E46" s="136">
        <f t="shared" ref="E46:J46" si="11">+D44*$H$7</f>
        <v>557.68378184040955</v>
      </c>
      <c r="F46" s="136">
        <f t="shared" si="11"/>
        <v>464.73648486700796</v>
      </c>
      <c r="G46" s="136">
        <f t="shared" si="11"/>
        <v>371.78918789360637</v>
      </c>
      <c r="H46" s="136">
        <f t="shared" si="11"/>
        <v>278.84189092020478</v>
      </c>
      <c r="I46" s="136">
        <f t="shared" si="11"/>
        <v>185.89459394680318</v>
      </c>
      <c r="J46" s="136">
        <f t="shared" si="11"/>
        <v>92.947296973401592</v>
      </c>
    </row>
    <row r="47" spans="1:10" ht="15.75" x14ac:dyDescent="0.25">
      <c r="A47" s="135" t="s">
        <v>251</v>
      </c>
      <c r="B47" s="136"/>
      <c r="C47" s="136">
        <f>+C45+C46</f>
        <v>3868.5783757872127</v>
      </c>
      <c r="D47" s="136">
        <f t="shared" ref="D47:I47" si="12">+D45+D46</f>
        <v>3775.6310788138112</v>
      </c>
      <c r="E47" s="136">
        <f t="shared" si="12"/>
        <v>3682.6837818404097</v>
      </c>
      <c r="F47" s="136">
        <f t="shared" si="12"/>
        <v>3589.7364848670081</v>
      </c>
      <c r="G47" s="136">
        <f t="shared" si="12"/>
        <v>3496.7891878936061</v>
      </c>
      <c r="H47" s="136">
        <f t="shared" si="12"/>
        <v>3403.8418909202046</v>
      </c>
      <c r="I47" s="136">
        <f t="shared" si="12"/>
        <v>3310.8945939468031</v>
      </c>
      <c r="J47" s="136">
        <f>+J45+J46</f>
        <v>3217.9472969734015</v>
      </c>
    </row>
    <row r="48" spans="1:10" ht="15.75" x14ac:dyDescent="0.25">
      <c r="A48" s="135" t="s">
        <v>281</v>
      </c>
      <c r="B48" s="136"/>
      <c r="C48" s="136">
        <f>$G$8/12</f>
        <v>12</v>
      </c>
      <c r="D48" s="136">
        <f t="shared" ref="D48:J48" si="13">$G$8/12</f>
        <v>12</v>
      </c>
      <c r="E48" s="136">
        <f t="shared" si="13"/>
        <v>12</v>
      </c>
      <c r="F48" s="136">
        <f t="shared" si="13"/>
        <v>12</v>
      </c>
      <c r="G48" s="136">
        <f t="shared" si="13"/>
        <v>12</v>
      </c>
      <c r="H48" s="136">
        <f t="shared" si="13"/>
        <v>12</v>
      </c>
      <c r="I48" s="136">
        <f t="shared" si="13"/>
        <v>12</v>
      </c>
      <c r="J48" s="136">
        <f t="shared" si="13"/>
        <v>12</v>
      </c>
    </row>
    <row r="49" spans="1:10" ht="15.75" x14ac:dyDescent="0.25">
      <c r="A49" s="135" t="s">
        <v>282</v>
      </c>
      <c r="B49" s="136"/>
      <c r="C49" s="136">
        <f>$G$9</f>
        <v>5.6</v>
      </c>
      <c r="D49" s="136">
        <f t="shared" ref="D49:J49" si="14">$G$9</f>
        <v>5.6</v>
      </c>
      <c r="E49" s="136">
        <f t="shared" si="14"/>
        <v>5.6</v>
      </c>
      <c r="F49" s="136">
        <f t="shared" si="14"/>
        <v>5.6</v>
      </c>
      <c r="G49" s="136">
        <f t="shared" si="14"/>
        <v>5.6</v>
      </c>
      <c r="H49" s="136">
        <f t="shared" si="14"/>
        <v>5.6</v>
      </c>
      <c r="I49" s="136">
        <f t="shared" si="14"/>
        <v>5.6</v>
      </c>
      <c r="J49" s="136">
        <f t="shared" si="14"/>
        <v>5.6</v>
      </c>
    </row>
    <row r="50" spans="1:10" ht="15.75" x14ac:dyDescent="0.25">
      <c r="A50" s="135" t="s">
        <v>283</v>
      </c>
      <c r="B50" s="136"/>
      <c r="C50" s="136">
        <f>$G$10*B44</f>
        <v>115</v>
      </c>
      <c r="D50" s="136">
        <f t="shared" ref="D50:J50" si="15">$G$10*C44</f>
        <v>100.625</v>
      </c>
      <c r="E50" s="136">
        <f t="shared" si="15"/>
        <v>86.25</v>
      </c>
      <c r="F50" s="136">
        <f t="shared" si="15"/>
        <v>71.875</v>
      </c>
      <c r="G50" s="136">
        <f t="shared" si="15"/>
        <v>57.5</v>
      </c>
      <c r="H50" s="136">
        <f t="shared" si="15"/>
        <v>43.125</v>
      </c>
      <c r="I50" s="136">
        <f t="shared" si="15"/>
        <v>28.75</v>
      </c>
      <c r="J50" s="136">
        <f t="shared" si="15"/>
        <v>14.375</v>
      </c>
    </row>
    <row r="51" spans="1:10" ht="15.75" x14ac:dyDescent="0.25">
      <c r="A51" s="135" t="s">
        <v>284</v>
      </c>
      <c r="B51" s="136"/>
      <c r="C51" s="137">
        <f t="shared" ref="C51:J51" si="16">C47+C48+C49+C50</f>
        <v>4001.1783757872126</v>
      </c>
      <c r="D51" s="137">
        <f t="shared" si="16"/>
        <v>3893.8560788138111</v>
      </c>
      <c r="E51" s="137">
        <f t="shared" si="16"/>
        <v>3786.5337818404096</v>
      </c>
      <c r="F51" s="137">
        <f t="shared" si="16"/>
        <v>3679.211484867008</v>
      </c>
      <c r="G51" s="137">
        <f t="shared" si="16"/>
        <v>3571.889187893606</v>
      </c>
      <c r="H51" s="137">
        <f t="shared" si="16"/>
        <v>3464.5668909202045</v>
      </c>
      <c r="I51" s="137">
        <f t="shared" si="16"/>
        <v>3357.244593946803</v>
      </c>
      <c r="J51" s="137">
        <f t="shared" si="16"/>
        <v>3249.9222969734014</v>
      </c>
    </row>
    <row r="52" spans="1:10" ht="8.25" customHeight="1" x14ac:dyDescent="0.2">
      <c r="B52" s="143"/>
      <c r="C52" s="143"/>
      <c r="D52" s="143"/>
      <c r="E52" s="143"/>
      <c r="F52" s="143"/>
      <c r="G52" s="143"/>
      <c r="H52" s="143"/>
      <c r="I52" s="143"/>
      <c r="J52" s="143"/>
    </row>
    <row r="53" spans="1:10" ht="15.75" x14ac:dyDescent="0.25">
      <c r="A53" s="138" t="s">
        <v>239</v>
      </c>
      <c r="B53" s="139">
        <f>-B44</f>
        <v>-25000</v>
      </c>
      <c r="C53" s="139">
        <f>C51</f>
        <v>4001.1783757872126</v>
      </c>
      <c r="D53" s="139">
        <f t="shared" ref="D53:J53" si="17">D51</f>
        <v>3893.8560788138111</v>
      </c>
      <c r="E53" s="139">
        <f t="shared" si="17"/>
        <v>3786.5337818404096</v>
      </c>
      <c r="F53" s="139">
        <f t="shared" si="17"/>
        <v>3679.211484867008</v>
      </c>
      <c r="G53" s="139">
        <f t="shared" si="17"/>
        <v>3571.889187893606</v>
      </c>
      <c r="H53" s="139">
        <f t="shared" si="17"/>
        <v>3464.5668909202045</v>
      </c>
      <c r="I53" s="139">
        <f t="shared" si="17"/>
        <v>3357.244593946803</v>
      </c>
      <c r="J53" s="139">
        <f t="shared" si="17"/>
        <v>3249.9222969734014</v>
      </c>
    </row>
    <row r="54" spans="1:10" ht="9" customHeight="1" x14ac:dyDescent="0.25">
      <c r="A54" s="135"/>
      <c r="B54" s="144"/>
      <c r="C54" s="141"/>
      <c r="D54" s="141"/>
      <c r="E54" s="141"/>
      <c r="F54" s="141"/>
      <c r="G54" s="141"/>
      <c r="H54" s="141"/>
      <c r="I54" s="141"/>
      <c r="J54" s="141"/>
    </row>
    <row r="55" spans="1:10" ht="15.75" x14ac:dyDescent="0.25">
      <c r="A55" s="129" t="s">
        <v>218</v>
      </c>
      <c r="B55" s="145">
        <f>IRR(B53:J53)</f>
        <v>3.5545748716083958E-2</v>
      </c>
    </row>
    <row r="57" spans="1:10" x14ac:dyDescent="0.2">
      <c r="A57" s="40" t="s">
        <v>867</v>
      </c>
    </row>
    <row r="58" spans="1:10" x14ac:dyDescent="0.2">
      <c r="A58" s="40" t="s">
        <v>868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F336-4794-433B-80E2-98565287D11F}">
  <sheetPr>
    <tabColor rgb="FF00B050"/>
  </sheetPr>
  <dimension ref="A1:I39"/>
  <sheetViews>
    <sheetView topLeftCell="A30" zoomScale="140" zoomScaleNormal="140" workbookViewId="0">
      <selection activeCell="E23" sqref="E23"/>
    </sheetView>
  </sheetViews>
  <sheetFormatPr baseColWidth="10" defaultColWidth="11.42578125" defaultRowHeight="12.75" x14ac:dyDescent="0.2"/>
  <cols>
    <col min="1" max="1" width="13.28515625" style="39" customWidth="1"/>
    <col min="2" max="2" width="13.5703125" style="39" customWidth="1"/>
    <col min="3" max="3" width="10.85546875" style="39" customWidth="1"/>
    <col min="4" max="4" width="10.42578125" style="39" customWidth="1"/>
    <col min="5" max="5" width="9.140625" style="39" customWidth="1"/>
    <col min="6" max="6" width="10" style="39" customWidth="1"/>
    <col min="7" max="7" width="10.140625" style="39" customWidth="1"/>
    <col min="8" max="8" width="9.85546875" style="39" customWidth="1"/>
    <col min="9" max="16384" width="11.42578125" style="39"/>
  </cols>
  <sheetData>
    <row r="1" spans="1:7" ht="18" x14ac:dyDescent="0.25">
      <c r="A1" s="56" t="s">
        <v>288</v>
      </c>
    </row>
    <row r="3" spans="1:7" x14ac:dyDescent="0.2">
      <c r="A3" s="38" t="s">
        <v>289</v>
      </c>
      <c r="B3" s="38"/>
      <c r="C3" s="38"/>
      <c r="D3" s="38"/>
      <c r="F3" s="146">
        <v>1800</v>
      </c>
      <c r="G3" s="38" t="s">
        <v>290</v>
      </c>
    </row>
    <row r="5" spans="1:7" x14ac:dyDescent="0.2">
      <c r="A5" s="38" t="s">
        <v>291</v>
      </c>
    </row>
    <row r="6" spans="1:7" x14ac:dyDescent="0.2">
      <c r="A6" s="38" t="s">
        <v>292</v>
      </c>
    </row>
    <row r="7" spans="1:7" x14ac:dyDescent="0.2">
      <c r="A7" s="39" t="s">
        <v>293</v>
      </c>
      <c r="C7" s="146">
        <f>F3</f>
        <v>1800</v>
      </c>
    </row>
    <row r="8" spans="1:7" x14ac:dyDescent="0.2">
      <c r="A8" s="39" t="s">
        <v>294</v>
      </c>
      <c r="C8" s="147">
        <v>0.38</v>
      </c>
      <c r="D8" s="148"/>
    </row>
    <row r="9" spans="1:7" x14ac:dyDescent="0.2">
      <c r="A9" s="39" t="s">
        <v>295</v>
      </c>
      <c r="C9" s="149">
        <v>24</v>
      </c>
    </row>
    <row r="10" spans="1:7" x14ac:dyDescent="0.2">
      <c r="A10" s="39" t="s">
        <v>296</v>
      </c>
      <c r="C10" s="149">
        <v>1</v>
      </c>
    </row>
    <row r="11" spans="1:7" x14ac:dyDescent="0.2">
      <c r="A11" s="39" t="s">
        <v>297</v>
      </c>
      <c r="C11" s="39" t="s">
        <v>50</v>
      </c>
    </row>
    <row r="12" spans="1:7" x14ac:dyDescent="0.2">
      <c r="A12" s="39" t="s">
        <v>298</v>
      </c>
      <c r="C12" s="149">
        <v>6</v>
      </c>
      <c r="D12" s="39" t="s">
        <v>53</v>
      </c>
    </row>
    <row r="14" spans="1:7" x14ac:dyDescent="0.2">
      <c r="A14" s="38" t="s">
        <v>299</v>
      </c>
    </row>
    <row r="15" spans="1:7" x14ac:dyDescent="0.2">
      <c r="A15" s="39" t="s">
        <v>300</v>
      </c>
    </row>
    <row r="16" spans="1:7" x14ac:dyDescent="0.2">
      <c r="A16" s="39" t="s">
        <v>301</v>
      </c>
      <c r="C16" s="150">
        <f>(1+C8)^(1/12)-1</f>
        <v>2.7203736594575867E-2</v>
      </c>
      <c r="D16" s="151"/>
    </row>
    <row r="17" spans="1:9" x14ac:dyDescent="0.2">
      <c r="E17" s="52"/>
    </row>
    <row r="18" spans="1:9" x14ac:dyDescent="0.2">
      <c r="A18" s="38" t="s">
        <v>302</v>
      </c>
    </row>
    <row r="19" spans="1:9" x14ac:dyDescent="0.2">
      <c r="A19" s="39" t="s">
        <v>303</v>
      </c>
    </row>
    <row r="20" spans="1:9" x14ac:dyDescent="0.2">
      <c r="A20" s="152" t="s">
        <v>304</v>
      </c>
      <c r="B20" s="77">
        <v>0</v>
      </c>
      <c r="C20" s="77">
        <v>1</v>
      </c>
      <c r="D20" s="77">
        <v>2</v>
      </c>
      <c r="E20" s="77">
        <v>3</v>
      </c>
      <c r="F20" s="77">
        <v>4</v>
      </c>
      <c r="G20" s="77">
        <v>5</v>
      </c>
      <c r="H20" s="77">
        <v>6</v>
      </c>
      <c r="I20" s="77" t="s">
        <v>305</v>
      </c>
    </row>
    <row r="21" spans="1:9" x14ac:dyDescent="0.2">
      <c r="A21" s="78" t="s">
        <v>306</v>
      </c>
      <c r="B21" s="153">
        <f>C7</f>
        <v>1800</v>
      </c>
      <c r="C21" s="154"/>
      <c r="D21" s="154"/>
      <c r="E21" s="154"/>
      <c r="F21" s="154"/>
      <c r="G21" s="154"/>
      <c r="H21" s="154"/>
      <c r="I21" s="94"/>
    </row>
    <row r="22" spans="1:9" x14ac:dyDescent="0.2">
      <c r="A22" s="78" t="s">
        <v>236</v>
      </c>
      <c r="B22" s="154"/>
      <c r="C22" s="154">
        <f>B21*$C$16</f>
        <v>48.966725870236559</v>
      </c>
      <c r="D22" s="154">
        <f>C27*C16</f>
        <v>40.805604891863801</v>
      </c>
      <c r="E22" s="154">
        <f>D27*C16</f>
        <v>32.644483913491044</v>
      </c>
      <c r="F22" s="154">
        <f>E27*C16</f>
        <v>24.483362935118279</v>
      </c>
      <c r="G22" s="154">
        <f>F27*C16</f>
        <v>16.322241956745522</v>
      </c>
      <c r="H22" s="154">
        <f>G27*C16</f>
        <v>8.161120978372761</v>
      </c>
      <c r="I22" s="153">
        <f>SUM(C22:H22)</f>
        <v>171.38354054582797</v>
      </c>
    </row>
    <row r="23" spans="1:9" x14ac:dyDescent="0.2">
      <c r="A23" s="78" t="s">
        <v>29</v>
      </c>
      <c r="B23" s="154"/>
      <c r="C23" s="154">
        <f>C7/C12</f>
        <v>300</v>
      </c>
      <c r="D23" s="154">
        <f t="shared" ref="D23:H25" si="0">C23</f>
        <v>300</v>
      </c>
      <c r="E23" s="154">
        <f t="shared" si="0"/>
        <v>300</v>
      </c>
      <c r="F23" s="154">
        <f t="shared" si="0"/>
        <v>300</v>
      </c>
      <c r="G23" s="154">
        <f t="shared" si="0"/>
        <v>300</v>
      </c>
      <c r="H23" s="154">
        <f t="shared" si="0"/>
        <v>300</v>
      </c>
      <c r="I23" s="153">
        <f>SUM(C23:H23)</f>
        <v>1800</v>
      </c>
    </row>
    <row r="24" spans="1:9" x14ac:dyDescent="0.2">
      <c r="A24" s="78" t="s">
        <v>281</v>
      </c>
      <c r="B24" s="154"/>
      <c r="C24" s="154">
        <f>C9/12</f>
        <v>2</v>
      </c>
      <c r="D24" s="154">
        <f t="shared" si="0"/>
        <v>2</v>
      </c>
      <c r="E24" s="154">
        <f t="shared" si="0"/>
        <v>2</v>
      </c>
      <c r="F24" s="154">
        <f t="shared" si="0"/>
        <v>2</v>
      </c>
      <c r="G24" s="154">
        <f t="shared" si="0"/>
        <v>2</v>
      </c>
      <c r="H24" s="154">
        <f t="shared" si="0"/>
        <v>2</v>
      </c>
      <c r="I24" s="153">
        <f>SUM(C24:H24)</f>
        <v>12</v>
      </c>
    </row>
    <row r="25" spans="1:9" x14ac:dyDescent="0.2">
      <c r="A25" s="78" t="s">
        <v>270</v>
      </c>
      <c r="B25" s="154"/>
      <c r="C25" s="154">
        <f>C10</f>
        <v>1</v>
      </c>
      <c r="D25" s="154">
        <f t="shared" si="0"/>
        <v>1</v>
      </c>
      <c r="E25" s="154">
        <f t="shared" si="0"/>
        <v>1</v>
      </c>
      <c r="F25" s="154">
        <f t="shared" si="0"/>
        <v>1</v>
      </c>
      <c r="G25" s="154">
        <f t="shared" si="0"/>
        <v>1</v>
      </c>
      <c r="H25" s="154">
        <f t="shared" si="0"/>
        <v>1</v>
      </c>
      <c r="I25" s="153">
        <f>SUM(C25:H25)</f>
        <v>6</v>
      </c>
    </row>
    <row r="26" spans="1:9" x14ac:dyDescent="0.2">
      <c r="A26" s="155" t="s">
        <v>307</v>
      </c>
      <c r="B26" s="156"/>
      <c r="C26" s="156">
        <f t="shared" ref="C26:H26" si="1">SUM(C22:C25)</f>
        <v>351.96672587023659</v>
      </c>
      <c r="D26" s="156">
        <f t="shared" si="1"/>
        <v>343.80560489186382</v>
      </c>
      <c r="E26" s="156">
        <f t="shared" si="1"/>
        <v>335.64448391349106</v>
      </c>
      <c r="F26" s="156">
        <f t="shared" si="1"/>
        <v>327.48336293511829</v>
      </c>
      <c r="G26" s="156">
        <f t="shared" si="1"/>
        <v>319.32224195674553</v>
      </c>
      <c r="H26" s="156">
        <f t="shared" si="1"/>
        <v>311.16112097837276</v>
      </c>
      <c r="I26" s="156">
        <f>SUM(C26:H26)</f>
        <v>1989.3835405458281</v>
      </c>
    </row>
    <row r="27" spans="1:9" x14ac:dyDescent="0.2">
      <c r="A27" s="78" t="s">
        <v>235</v>
      </c>
      <c r="B27" s="154"/>
      <c r="C27" s="154">
        <f>B21-C23</f>
        <v>1500</v>
      </c>
      <c r="D27" s="154">
        <f>C27-D23</f>
        <v>1200</v>
      </c>
      <c r="E27" s="154">
        <f>D27-E23</f>
        <v>900</v>
      </c>
      <c r="F27" s="154">
        <f>E27-F23</f>
        <v>600</v>
      </c>
      <c r="G27" s="154">
        <f>F27-G23</f>
        <v>300</v>
      </c>
      <c r="H27" s="154">
        <f>G27-H23</f>
        <v>0</v>
      </c>
      <c r="I27" s="94"/>
    </row>
    <row r="28" spans="1:9" x14ac:dyDescent="0.2">
      <c r="B28" s="157"/>
      <c r="C28" s="157"/>
      <c r="D28" s="157"/>
      <c r="E28" s="157"/>
      <c r="F28" s="157"/>
      <c r="G28" s="157"/>
      <c r="H28" s="157"/>
    </row>
    <row r="29" spans="1:9" x14ac:dyDescent="0.2">
      <c r="A29" s="38" t="s">
        <v>308</v>
      </c>
      <c r="B29" s="157"/>
      <c r="C29" s="157"/>
      <c r="D29" s="157"/>
      <c r="E29" s="157"/>
      <c r="F29" s="157"/>
      <c r="G29" s="157"/>
      <c r="H29" s="157"/>
    </row>
    <row r="30" spans="1:9" x14ac:dyDescent="0.2">
      <c r="A30" s="78"/>
      <c r="B30" s="77">
        <v>0</v>
      </c>
      <c r="C30" s="77">
        <v>1</v>
      </c>
      <c r="D30" s="77">
        <v>2</v>
      </c>
      <c r="E30" s="77">
        <v>3</v>
      </c>
      <c r="F30" s="77">
        <v>4</v>
      </c>
      <c r="G30" s="77">
        <v>5</v>
      </c>
      <c r="H30" s="77">
        <v>6</v>
      </c>
    </row>
    <row r="31" spans="1:9" x14ac:dyDescent="0.2">
      <c r="A31" s="78" t="s">
        <v>309</v>
      </c>
      <c r="B31" s="154">
        <f>-B21</f>
        <v>-1800</v>
      </c>
      <c r="C31" s="154">
        <f t="shared" ref="C31:H31" si="2">C26</f>
        <v>351.96672587023659</v>
      </c>
      <c r="D31" s="154">
        <f t="shared" si="2"/>
        <v>343.80560489186382</v>
      </c>
      <c r="E31" s="154">
        <f t="shared" si="2"/>
        <v>335.64448391349106</v>
      </c>
      <c r="F31" s="154">
        <f t="shared" si="2"/>
        <v>327.48336293511829</v>
      </c>
      <c r="G31" s="154">
        <f t="shared" si="2"/>
        <v>319.32224195674553</v>
      </c>
      <c r="H31" s="154">
        <f t="shared" si="2"/>
        <v>311.16112097837276</v>
      </c>
    </row>
    <row r="32" spans="1:9" x14ac:dyDescent="0.2">
      <c r="B32" s="157"/>
      <c r="C32" s="157"/>
      <c r="D32" s="157"/>
      <c r="E32" s="157"/>
      <c r="F32" s="157"/>
      <c r="G32" s="157"/>
      <c r="H32" s="157"/>
    </row>
    <row r="33" spans="1:5" x14ac:dyDescent="0.2">
      <c r="A33" s="158" t="s">
        <v>310</v>
      </c>
      <c r="B33" s="159">
        <f>IRR(B31:H31)</f>
        <v>2.9992246389294319E-2</v>
      </c>
      <c r="C33" s="38" t="s">
        <v>50</v>
      </c>
      <c r="E33" s="151"/>
    </row>
    <row r="35" spans="1:5" x14ac:dyDescent="0.2">
      <c r="A35" s="38" t="s">
        <v>311</v>
      </c>
    </row>
    <row r="36" spans="1:5" x14ac:dyDescent="0.2">
      <c r="A36" s="39" t="s">
        <v>312</v>
      </c>
    </row>
    <row r="37" spans="1:5" x14ac:dyDescent="0.2">
      <c r="A37" s="39" t="s">
        <v>313</v>
      </c>
      <c r="C37" s="150">
        <f>(1+B33)^(12/1)-1</f>
        <v>0.42563209845175298</v>
      </c>
      <c r="D37" s="39" t="s">
        <v>314</v>
      </c>
    </row>
    <row r="39" spans="1:5" x14ac:dyDescent="0.2">
      <c r="A39" s="38" t="s">
        <v>315</v>
      </c>
    </row>
  </sheetData>
  <pageMargins left="0.75" right="0.75" top="1" bottom="1" header="0" footer="0"/>
  <pageSetup paperSize="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989C-FA3B-44F6-B256-3F83C4464F7B}">
  <sheetPr>
    <tabColor rgb="FF00B050"/>
  </sheetPr>
  <dimension ref="A1:M42"/>
  <sheetViews>
    <sheetView topLeftCell="A23" zoomScaleNormal="100" workbookViewId="0">
      <selection activeCell="E23" sqref="E23"/>
    </sheetView>
  </sheetViews>
  <sheetFormatPr baseColWidth="10" defaultColWidth="11.42578125" defaultRowHeight="15" x14ac:dyDescent="0.2"/>
  <cols>
    <col min="1" max="1" width="17.140625" style="40" customWidth="1"/>
    <col min="2" max="2" width="14.42578125" style="40" bestFit="1" customWidth="1"/>
    <col min="3" max="3" width="14.42578125" style="40" customWidth="1"/>
    <col min="4" max="4" width="15.85546875" style="40" customWidth="1"/>
    <col min="5" max="9" width="10.85546875" style="40" bestFit="1" customWidth="1"/>
    <col min="10" max="10" width="11.140625" style="40" bestFit="1" customWidth="1"/>
    <col min="11" max="16384" width="11.42578125" style="40"/>
  </cols>
  <sheetData>
    <row r="1" spans="1:13" ht="18" x14ac:dyDescent="0.25">
      <c r="A1" s="56" t="s">
        <v>264</v>
      </c>
      <c r="B1" s="56" t="s">
        <v>316</v>
      </c>
    </row>
    <row r="2" spans="1:13" x14ac:dyDescent="0.2">
      <c r="A2" s="40" t="s">
        <v>317</v>
      </c>
    </row>
    <row r="3" spans="1:13" x14ac:dyDescent="0.2">
      <c r="A3" s="40" t="s">
        <v>318</v>
      </c>
    </row>
    <row r="4" spans="1:13" x14ac:dyDescent="0.2">
      <c r="A4" s="40" t="s">
        <v>319</v>
      </c>
    </row>
    <row r="5" spans="1:13" x14ac:dyDescent="0.2">
      <c r="A5" s="40" t="s">
        <v>320</v>
      </c>
    </row>
    <row r="6" spans="1:13" ht="6" customHeight="1" x14ac:dyDescent="0.2"/>
    <row r="7" spans="1:13" x14ac:dyDescent="0.2">
      <c r="A7" s="40" t="s">
        <v>321</v>
      </c>
    </row>
    <row r="8" spans="1:13" x14ac:dyDescent="0.2">
      <c r="A8" s="40" t="s">
        <v>322</v>
      </c>
    </row>
    <row r="9" spans="1:13" ht="8.25" customHeight="1" x14ac:dyDescent="0.2"/>
    <row r="10" spans="1:13" ht="15.75" x14ac:dyDescent="0.25">
      <c r="A10" s="124" t="s">
        <v>276</v>
      </c>
      <c r="M10" s="128"/>
    </row>
    <row r="12" spans="1:13" x14ac:dyDescent="0.2">
      <c r="A12" s="40" t="s">
        <v>323</v>
      </c>
    </row>
    <row r="13" spans="1:13" x14ac:dyDescent="0.2">
      <c r="A13" s="40" t="s">
        <v>324</v>
      </c>
    </row>
    <row r="14" spans="1:13" ht="15.75" x14ac:dyDescent="0.25">
      <c r="A14" s="40" t="s">
        <v>325</v>
      </c>
      <c r="D14" s="131">
        <f>15000*1.4%/(1-(1+1.4%)^-8)</f>
        <v>1995.0405930307722</v>
      </c>
      <c r="I14" s="129" t="s">
        <v>246</v>
      </c>
      <c r="J14" s="130">
        <f>-PMT(1.4%,8,15000,,0)</f>
        <v>1995.0405930307829</v>
      </c>
      <c r="L14" s="132"/>
    </row>
    <row r="15" spans="1:13" ht="9" customHeight="1" x14ac:dyDescent="0.2"/>
    <row r="16" spans="1:13" x14ac:dyDescent="0.2">
      <c r="A16" s="40" t="s">
        <v>278</v>
      </c>
    </row>
    <row r="17" spans="1:10" ht="15.75" x14ac:dyDescent="0.25">
      <c r="A17" s="133" t="s">
        <v>279</v>
      </c>
      <c r="B17" s="134">
        <v>0</v>
      </c>
      <c r="C17" s="134">
        <v>1</v>
      </c>
      <c r="D17" s="134">
        <v>2</v>
      </c>
      <c r="E17" s="134">
        <v>3</v>
      </c>
      <c r="F17" s="134">
        <v>4</v>
      </c>
      <c r="G17" s="134">
        <v>5</v>
      </c>
      <c r="H17" s="134">
        <v>6</v>
      </c>
      <c r="I17" s="134">
        <v>7</v>
      </c>
      <c r="J17" s="134">
        <v>8</v>
      </c>
    </row>
    <row r="18" spans="1:10" ht="15.75" x14ac:dyDescent="0.25">
      <c r="A18" s="135" t="s">
        <v>280</v>
      </c>
      <c r="B18" s="136">
        <v>15000</v>
      </c>
      <c r="C18" s="136">
        <f t="shared" ref="C18:J18" si="0">+B18-C19</f>
        <v>13214.959406969228</v>
      </c>
      <c r="D18" s="136">
        <f t="shared" si="0"/>
        <v>11404.928245636025</v>
      </c>
      <c r="E18" s="136">
        <f t="shared" si="0"/>
        <v>9569.5566480441576</v>
      </c>
      <c r="F18" s="136">
        <f t="shared" si="0"/>
        <v>7708.4898480860038</v>
      </c>
      <c r="G18" s="136">
        <f t="shared" si="0"/>
        <v>5821.3681129284359</v>
      </c>
      <c r="H18" s="136">
        <f t="shared" si="0"/>
        <v>3907.8266734786621</v>
      </c>
      <c r="I18" s="136">
        <f t="shared" si="0"/>
        <v>1967.4956538765912</v>
      </c>
      <c r="J18" s="136">
        <f t="shared" si="0"/>
        <v>9.1176843852736056E-11</v>
      </c>
    </row>
    <row r="19" spans="1:10" ht="15.75" x14ac:dyDescent="0.25">
      <c r="A19" s="135" t="s">
        <v>237</v>
      </c>
      <c r="B19" s="136"/>
      <c r="C19" s="136">
        <f t="shared" ref="C19:J19" si="1">+C21-C20</f>
        <v>1785.0405930307722</v>
      </c>
      <c r="D19" s="136">
        <f t="shared" si="1"/>
        <v>1810.031161333203</v>
      </c>
      <c r="E19" s="136">
        <f t="shared" si="1"/>
        <v>1835.3715975918678</v>
      </c>
      <c r="F19" s="136">
        <f t="shared" si="1"/>
        <v>1861.066799958154</v>
      </c>
      <c r="G19" s="136">
        <f t="shared" si="1"/>
        <v>1887.1217351575683</v>
      </c>
      <c r="H19" s="136">
        <f t="shared" si="1"/>
        <v>1913.5414394497741</v>
      </c>
      <c r="I19" s="136">
        <f t="shared" si="1"/>
        <v>1940.3310196020709</v>
      </c>
      <c r="J19" s="136">
        <f t="shared" si="1"/>
        <v>1967.4956538765</v>
      </c>
    </row>
    <row r="20" spans="1:10" ht="15.75" x14ac:dyDescent="0.25">
      <c r="A20" s="135" t="s">
        <v>193</v>
      </c>
      <c r="B20" s="136"/>
      <c r="C20" s="136">
        <f t="shared" ref="C20:J20" si="2">+B18*1.4%</f>
        <v>209.99999999999997</v>
      </c>
      <c r="D20" s="136">
        <f t="shared" si="2"/>
        <v>185.00943169756917</v>
      </c>
      <c r="E20" s="136">
        <f t="shared" si="2"/>
        <v>159.66899543890435</v>
      </c>
      <c r="F20" s="136">
        <f t="shared" si="2"/>
        <v>133.97379307261818</v>
      </c>
      <c r="G20" s="136">
        <f t="shared" si="2"/>
        <v>107.91885787320405</v>
      </c>
      <c r="H20" s="136">
        <f t="shared" si="2"/>
        <v>81.499153580998097</v>
      </c>
      <c r="I20" s="136">
        <f t="shared" si="2"/>
        <v>54.709573428701262</v>
      </c>
      <c r="J20" s="136">
        <f t="shared" si="2"/>
        <v>27.544939154272274</v>
      </c>
    </row>
    <row r="21" spans="1:10" ht="15.75" x14ac:dyDescent="0.25">
      <c r="A21" s="135" t="s">
        <v>251</v>
      </c>
      <c r="B21" s="136"/>
      <c r="C21" s="136">
        <f>+$D$14</f>
        <v>1995.0405930307722</v>
      </c>
      <c r="D21" s="136">
        <f t="shared" ref="D21:J21" si="3">+$D$14</f>
        <v>1995.0405930307722</v>
      </c>
      <c r="E21" s="136">
        <f t="shared" si="3"/>
        <v>1995.0405930307722</v>
      </c>
      <c r="F21" s="136">
        <f t="shared" si="3"/>
        <v>1995.0405930307722</v>
      </c>
      <c r="G21" s="136">
        <f t="shared" si="3"/>
        <v>1995.0405930307722</v>
      </c>
      <c r="H21" s="136">
        <f t="shared" si="3"/>
        <v>1995.0405930307722</v>
      </c>
      <c r="I21" s="136">
        <f t="shared" si="3"/>
        <v>1995.0405930307722</v>
      </c>
      <c r="J21" s="136">
        <f t="shared" si="3"/>
        <v>1995.0405930307722</v>
      </c>
    </row>
    <row r="22" spans="1:10" ht="8.25" customHeight="1" x14ac:dyDescent="0.2"/>
    <row r="23" spans="1:10" ht="15.75" x14ac:dyDescent="0.25">
      <c r="A23" s="138" t="s">
        <v>239</v>
      </c>
      <c r="B23" s="139">
        <f>-B18</f>
        <v>-15000</v>
      </c>
      <c r="C23" s="139">
        <f>C21</f>
        <v>1995.0405930307722</v>
      </c>
      <c r="D23" s="139">
        <f t="shared" ref="D23:J23" si="4">D21</f>
        <v>1995.0405930307722</v>
      </c>
      <c r="E23" s="139">
        <f t="shared" si="4"/>
        <v>1995.0405930307722</v>
      </c>
      <c r="F23" s="139">
        <f t="shared" si="4"/>
        <v>1995.0405930307722</v>
      </c>
      <c r="G23" s="139">
        <f t="shared" si="4"/>
        <v>1995.0405930307722</v>
      </c>
      <c r="H23" s="139">
        <f t="shared" si="4"/>
        <v>1995.0405930307722</v>
      </c>
      <c r="I23" s="139">
        <f t="shared" si="4"/>
        <v>1995.0405930307722</v>
      </c>
      <c r="J23" s="139">
        <f t="shared" si="4"/>
        <v>1995.0405930307722</v>
      </c>
    </row>
    <row r="24" spans="1:10" ht="7.5" customHeight="1" x14ac:dyDescent="0.25">
      <c r="A24" s="135"/>
      <c r="B24" s="140"/>
      <c r="C24" s="141"/>
      <c r="D24" s="141"/>
      <c r="E24" s="141"/>
      <c r="F24" s="141"/>
      <c r="G24" s="141"/>
      <c r="H24" s="141"/>
      <c r="I24" s="141"/>
      <c r="J24" s="141"/>
    </row>
    <row r="25" spans="1:10" ht="15.75" x14ac:dyDescent="0.25">
      <c r="A25" s="129" t="s">
        <v>218</v>
      </c>
      <c r="B25" s="142">
        <f>IRR(B23:J23)</f>
        <v>1.3999999999999124E-2</v>
      </c>
    </row>
    <row r="27" spans="1:10" x14ac:dyDescent="0.2">
      <c r="A27" s="40" t="s">
        <v>326</v>
      </c>
    </row>
    <row r="28" spans="1:10" ht="9.75" customHeight="1" x14ac:dyDescent="0.2"/>
    <row r="29" spans="1:10" ht="15.75" x14ac:dyDescent="0.25">
      <c r="B29" s="124" t="s">
        <v>286</v>
      </c>
    </row>
    <row r="30" spans="1:10" ht="9" customHeight="1" x14ac:dyDescent="0.2"/>
    <row r="31" spans="1:10" x14ac:dyDescent="0.2">
      <c r="A31" s="40" t="s">
        <v>327</v>
      </c>
      <c r="C31" s="131">
        <f>15000/8</f>
        <v>1875</v>
      </c>
    </row>
    <row r="32" spans="1:10" ht="7.5" customHeight="1" x14ac:dyDescent="0.2">
      <c r="C32" s="131"/>
    </row>
    <row r="33" spans="1:10" x14ac:dyDescent="0.2">
      <c r="A33" s="40" t="s">
        <v>278</v>
      </c>
    </row>
    <row r="34" spans="1:10" ht="15.75" x14ac:dyDescent="0.25">
      <c r="A34" s="133" t="s">
        <v>279</v>
      </c>
      <c r="B34" s="134">
        <v>0</v>
      </c>
      <c r="C34" s="134">
        <v>1</v>
      </c>
      <c r="D34" s="134">
        <v>2</v>
      </c>
      <c r="E34" s="134">
        <v>3</v>
      </c>
      <c r="F34" s="134">
        <v>4</v>
      </c>
      <c r="G34" s="134">
        <v>5</v>
      </c>
      <c r="H34" s="134">
        <v>6</v>
      </c>
      <c r="I34" s="134">
        <v>7</v>
      </c>
      <c r="J34" s="134">
        <v>8</v>
      </c>
    </row>
    <row r="35" spans="1:10" ht="15.75" x14ac:dyDescent="0.25">
      <c r="A35" s="135" t="s">
        <v>280</v>
      </c>
      <c r="B35" s="136">
        <v>15000</v>
      </c>
      <c r="C35" s="136">
        <f t="shared" ref="C35:J35" si="5">+B35-C36</f>
        <v>13125</v>
      </c>
      <c r="D35" s="136">
        <f t="shared" si="5"/>
        <v>11250</v>
      </c>
      <c r="E35" s="136">
        <f t="shared" si="5"/>
        <v>9375</v>
      </c>
      <c r="F35" s="136">
        <f t="shared" si="5"/>
        <v>7500</v>
      </c>
      <c r="G35" s="136">
        <f t="shared" si="5"/>
        <v>5625</v>
      </c>
      <c r="H35" s="136">
        <f t="shared" si="5"/>
        <v>3750</v>
      </c>
      <c r="I35" s="136">
        <f t="shared" si="5"/>
        <v>1875</v>
      </c>
      <c r="J35" s="136">
        <f t="shared" si="5"/>
        <v>0</v>
      </c>
    </row>
    <row r="36" spans="1:10" ht="15.75" x14ac:dyDescent="0.25">
      <c r="A36" s="135" t="s">
        <v>237</v>
      </c>
      <c r="B36" s="136"/>
      <c r="C36" s="136">
        <f>+$C$31</f>
        <v>1875</v>
      </c>
      <c r="D36" s="136">
        <f t="shared" ref="D36:I36" si="6">+$C$31</f>
        <v>1875</v>
      </c>
      <c r="E36" s="136">
        <f t="shared" si="6"/>
        <v>1875</v>
      </c>
      <c r="F36" s="136">
        <f t="shared" si="6"/>
        <v>1875</v>
      </c>
      <c r="G36" s="136">
        <f t="shared" si="6"/>
        <v>1875</v>
      </c>
      <c r="H36" s="136">
        <f t="shared" si="6"/>
        <v>1875</v>
      </c>
      <c r="I36" s="136">
        <f t="shared" si="6"/>
        <v>1875</v>
      </c>
      <c r="J36" s="136">
        <f>+C31</f>
        <v>1875</v>
      </c>
    </row>
    <row r="37" spans="1:10" ht="15.75" x14ac:dyDescent="0.25">
      <c r="A37" s="135" t="s">
        <v>193</v>
      </c>
      <c r="B37" s="136"/>
      <c r="C37" s="136">
        <f t="shared" ref="C37:J37" si="7">+B35*1.4%</f>
        <v>209.99999999999997</v>
      </c>
      <c r="D37" s="136">
        <f t="shared" si="7"/>
        <v>183.74999999999997</v>
      </c>
      <c r="E37" s="136">
        <f t="shared" si="7"/>
        <v>157.49999999999997</v>
      </c>
      <c r="F37" s="136">
        <f t="shared" si="7"/>
        <v>131.25</v>
      </c>
      <c r="G37" s="136">
        <f t="shared" si="7"/>
        <v>104.99999999999999</v>
      </c>
      <c r="H37" s="136">
        <f t="shared" si="7"/>
        <v>78.749999999999986</v>
      </c>
      <c r="I37" s="136">
        <f t="shared" si="7"/>
        <v>52.499999999999993</v>
      </c>
      <c r="J37" s="136">
        <f t="shared" si="7"/>
        <v>26.249999999999996</v>
      </c>
    </row>
    <row r="38" spans="1:10" ht="15.75" x14ac:dyDescent="0.25">
      <c r="A38" s="135" t="s">
        <v>251</v>
      </c>
      <c r="B38" s="136"/>
      <c r="C38" s="136">
        <f>+C36+C37</f>
        <v>2085</v>
      </c>
      <c r="D38" s="136">
        <f t="shared" ref="D38:I38" si="8">+D36+D37</f>
        <v>2058.75</v>
      </c>
      <c r="E38" s="136">
        <f t="shared" si="8"/>
        <v>2032.5</v>
      </c>
      <c r="F38" s="136">
        <f t="shared" si="8"/>
        <v>2006.25</v>
      </c>
      <c r="G38" s="136">
        <f t="shared" si="8"/>
        <v>1980</v>
      </c>
      <c r="H38" s="136">
        <f t="shared" si="8"/>
        <v>1953.75</v>
      </c>
      <c r="I38" s="136">
        <f t="shared" si="8"/>
        <v>1927.5</v>
      </c>
      <c r="J38" s="136">
        <f>+J36+J37</f>
        <v>1901.25</v>
      </c>
    </row>
    <row r="39" spans="1:10" ht="8.25" customHeight="1" x14ac:dyDescent="0.2">
      <c r="B39" s="143"/>
      <c r="C39" s="143"/>
      <c r="D39" s="143"/>
      <c r="E39" s="143"/>
      <c r="F39" s="143"/>
      <c r="G39" s="143"/>
      <c r="H39" s="143"/>
      <c r="I39" s="143"/>
      <c r="J39" s="143"/>
    </row>
    <row r="40" spans="1:10" ht="15.75" x14ac:dyDescent="0.25">
      <c r="A40" s="138" t="s">
        <v>239</v>
      </c>
      <c r="B40" s="139">
        <f>-B35</f>
        <v>-15000</v>
      </c>
      <c r="C40" s="139">
        <f>C38</f>
        <v>2085</v>
      </c>
      <c r="D40" s="139">
        <f t="shared" ref="D40:J40" si="9">D38</f>
        <v>2058.75</v>
      </c>
      <c r="E40" s="139">
        <f t="shared" si="9"/>
        <v>2032.5</v>
      </c>
      <c r="F40" s="139">
        <f t="shared" si="9"/>
        <v>2006.25</v>
      </c>
      <c r="G40" s="139">
        <f t="shared" si="9"/>
        <v>1980</v>
      </c>
      <c r="H40" s="139">
        <f t="shared" si="9"/>
        <v>1953.75</v>
      </c>
      <c r="I40" s="139">
        <f t="shared" si="9"/>
        <v>1927.5</v>
      </c>
      <c r="J40" s="139">
        <f t="shared" si="9"/>
        <v>1901.25</v>
      </c>
    </row>
    <row r="41" spans="1:10" ht="9" customHeight="1" x14ac:dyDescent="0.25">
      <c r="A41" s="135"/>
      <c r="B41" s="144"/>
      <c r="C41" s="141"/>
      <c r="D41" s="141"/>
      <c r="E41" s="141"/>
      <c r="F41" s="141"/>
      <c r="G41" s="141"/>
      <c r="H41" s="141"/>
      <c r="I41" s="141"/>
      <c r="J41" s="141"/>
    </row>
    <row r="42" spans="1:10" ht="15.75" x14ac:dyDescent="0.25">
      <c r="A42" s="129" t="s">
        <v>218</v>
      </c>
      <c r="B42" s="145">
        <f>IRR(B40:J40)</f>
        <v>1.4000000000000234E-2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1AA6-54E2-43E7-9DC7-B0088C18448E}">
  <dimension ref="A1:H42"/>
  <sheetViews>
    <sheetView topLeftCell="A30" zoomScale="140" zoomScaleNormal="140" workbookViewId="0">
      <selection activeCell="A22" sqref="A22:G24"/>
    </sheetView>
  </sheetViews>
  <sheetFormatPr baseColWidth="10" defaultColWidth="11.42578125" defaultRowHeight="12.75" x14ac:dyDescent="0.2"/>
  <cols>
    <col min="1" max="1" width="11.42578125" style="39"/>
    <col min="2" max="2" width="12" style="39" customWidth="1"/>
    <col min="3" max="3" width="13" style="39" customWidth="1"/>
    <col min="4" max="4" width="11.42578125" style="39"/>
    <col min="5" max="5" width="13.42578125" style="39" customWidth="1"/>
    <col min="6" max="6" width="16.7109375" style="39" customWidth="1"/>
    <col min="7" max="16384" width="11.42578125" style="39"/>
  </cols>
  <sheetData>
    <row r="1" spans="1:8" ht="18" x14ac:dyDescent="0.25">
      <c r="A1" s="160" t="s">
        <v>328</v>
      </c>
    </row>
    <row r="2" spans="1:8" ht="18" x14ac:dyDescent="0.25">
      <c r="A2" s="98" t="s">
        <v>329</v>
      </c>
      <c r="D2" s="56"/>
      <c r="E2" s="56"/>
    </row>
    <row r="4" spans="1:8" x14ac:dyDescent="0.2">
      <c r="A4" s="87" t="s">
        <v>40</v>
      </c>
      <c r="B4" s="88">
        <v>12000</v>
      </c>
    </row>
    <row r="5" spans="1:8" ht="13.5" thickBot="1" x14ac:dyDescent="0.25">
      <c r="A5" s="87" t="s">
        <v>227</v>
      </c>
      <c r="B5" s="87">
        <v>6</v>
      </c>
      <c r="H5" s="39" t="s">
        <v>330</v>
      </c>
    </row>
    <row r="6" spans="1:8" ht="13.5" thickBot="1" x14ac:dyDescent="0.25">
      <c r="A6" s="87" t="s">
        <v>331</v>
      </c>
      <c r="B6" s="89">
        <v>0.15</v>
      </c>
      <c r="C6" s="161" t="s">
        <v>230</v>
      </c>
      <c r="D6" s="162">
        <f>(1+B6)^(30/360)-1</f>
        <v>1.171491691985338E-2</v>
      </c>
      <c r="E6" s="163" t="s">
        <v>307</v>
      </c>
      <c r="F6" s="164">
        <f>PMT(D6,B5,-B4)</f>
        <v>2082.8002613692106</v>
      </c>
      <c r="H6" s="39" t="s">
        <v>332</v>
      </c>
    </row>
    <row r="7" spans="1:8" x14ac:dyDescent="0.2">
      <c r="A7" s="87" t="s">
        <v>231</v>
      </c>
      <c r="B7" s="91" t="s">
        <v>245</v>
      </c>
      <c r="H7" s="39" t="s">
        <v>333</v>
      </c>
    </row>
    <row r="9" spans="1:8" x14ac:dyDescent="0.2">
      <c r="B9" s="93" t="s">
        <v>234</v>
      </c>
      <c r="C9" s="93" t="s">
        <v>235</v>
      </c>
      <c r="D9" s="93" t="s">
        <v>236</v>
      </c>
      <c r="E9" s="93" t="s">
        <v>237</v>
      </c>
      <c r="F9" s="93" t="s">
        <v>251</v>
      </c>
    </row>
    <row r="10" spans="1:8" x14ac:dyDescent="0.2">
      <c r="B10" s="94">
        <v>0</v>
      </c>
      <c r="C10" s="119">
        <f>B4</f>
        <v>12000</v>
      </c>
      <c r="D10" s="78"/>
      <c r="E10" s="78"/>
      <c r="F10" s="165">
        <f>-C10</f>
        <v>-12000</v>
      </c>
    </row>
    <row r="11" spans="1:8" x14ac:dyDescent="0.2">
      <c r="B11" s="94">
        <v>1</v>
      </c>
      <c r="C11" s="119">
        <f>C10</f>
        <v>12000</v>
      </c>
      <c r="D11" s="166">
        <f t="shared" ref="D11:D16" si="0">$D$6*C11</f>
        <v>140.57900303824056</v>
      </c>
      <c r="E11" s="95">
        <f t="shared" ref="E11:E16" si="1">F11-D11</f>
        <v>1942.2212583309702</v>
      </c>
      <c r="F11" s="95">
        <f>F6</f>
        <v>2082.8002613692106</v>
      </c>
    </row>
    <row r="12" spans="1:8" x14ac:dyDescent="0.2">
      <c r="B12" s="94">
        <v>2</v>
      </c>
      <c r="C12" s="119">
        <f>C11-E11</f>
        <v>10057.77874166903</v>
      </c>
      <c r="D12" s="166">
        <f t="shared" si="0"/>
        <v>117.82604235692015</v>
      </c>
      <c r="E12" s="95">
        <f t="shared" si="1"/>
        <v>1964.9742190122904</v>
      </c>
      <c r="F12" s="95">
        <f>F11</f>
        <v>2082.8002613692106</v>
      </c>
    </row>
    <row r="13" spans="1:8" x14ac:dyDescent="0.2">
      <c r="B13" s="94">
        <v>3</v>
      </c>
      <c r="C13" s="119">
        <f>C12-E12</f>
        <v>8092.8045226567392</v>
      </c>
      <c r="D13" s="166">
        <f t="shared" si="0"/>
        <v>94.806532631537394</v>
      </c>
      <c r="E13" s="95">
        <f t="shared" si="1"/>
        <v>1987.9937287376731</v>
      </c>
      <c r="F13" s="95">
        <f>F12</f>
        <v>2082.8002613692106</v>
      </c>
    </row>
    <row r="14" spans="1:8" x14ac:dyDescent="0.2">
      <c r="B14" s="94">
        <v>4</v>
      </c>
      <c r="C14" s="119">
        <f>C13-E13</f>
        <v>6104.8107939190659</v>
      </c>
      <c r="D14" s="166">
        <f t="shared" si="0"/>
        <v>71.517351262186011</v>
      </c>
      <c r="E14" s="95">
        <f t="shared" si="1"/>
        <v>2011.2829101070247</v>
      </c>
      <c r="F14" s="95">
        <f>F13</f>
        <v>2082.8002613692106</v>
      </c>
    </row>
    <row r="15" spans="1:8" x14ac:dyDescent="0.2">
      <c r="B15" s="94">
        <v>5</v>
      </c>
      <c r="C15" s="119">
        <f>C14-E14</f>
        <v>4093.5278838120412</v>
      </c>
      <c r="D15" s="166">
        <f t="shared" si="0"/>
        <v>47.955339067961283</v>
      </c>
      <c r="E15" s="95">
        <f t="shared" si="1"/>
        <v>2034.8449223012494</v>
      </c>
      <c r="F15" s="95">
        <f>F14</f>
        <v>2082.8002613692106</v>
      </c>
    </row>
    <row r="16" spans="1:8" x14ac:dyDescent="0.2">
      <c r="B16" s="94">
        <v>6</v>
      </c>
      <c r="C16" s="167">
        <f>C15-E15</f>
        <v>2058.6829615107918</v>
      </c>
      <c r="D16" s="166">
        <f t="shared" si="0"/>
        <v>24.11729985841664</v>
      </c>
      <c r="E16" s="168">
        <f t="shared" si="1"/>
        <v>2058.682961510794</v>
      </c>
      <c r="F16" s="95">
        <f>F15</f>
        <v>2082.8002613692106</v>
      </c>
    </row>
    <row r="17" spans="1:8" x14ac:dyDescent="0.2">
      <c r="C17" s="169"/>
      <c r="D17" s="97">
        <f>SUM(D11:D16)</f>
        <v>496.80156821526202</v>
      </c>
      <c r="E17" s="97">
        <f>SUM(E11:E16)</f>
        <v>12000.000000000002</v>
      </c>
      <c r="F17" s="170">
        <f>IRR(F10:F16)</f>
        <v>1.171491691985338E-2</v>
      </c>
    </row>
    <row r="19" spans="1:8" x14ac:dyDescent="0.2">
      <c r="A19" s="171" t="s">
        <v>334</v>
      </c>
      <c r="B19" s="172"/>
      <c r="C19" s="172"/>
      <c r="D19" s="172"/>
      <c r="E19" s="172"/>
      <c r="F19" s="172"/>
      <c r="G19" s="173"/>
      <c r="H19" s="174"/>
    </row>
    <row r="21" spans="1:8" x14ac:dyDescent="0.2">
      <c r="A21" s="39" t="s">
        <v>276</v>
      </c>
    </row>
    <row r="22" spans="1:8" x14ac:dyDescent="0.2">
      <c r="A22" s="358" t="s">
        <v>335</v>
      </c>
      <c r="B22" s="358"/>
      <c r="C22" s="358"/>
      <c r="D22" s="358"/>
      <c r="E22" s="358"/>
      <c r="F22" s="358"/>
      <c r="G22" s="358"/>
    </row>
    <row r="23" spans="1:8" x14ac:dyDescent="0.2">
      <c r="A23" s="358"/>
      <c r="B23" s="358"/>
      <c r="C23" s="358"/>
      <c r="D23" s="358"/>
      <c r="E23" s="358"/>
      <c r="F23" s="358"/>
      <c r="G23" s="358"/>
    </row>
    <row r="24" spans="1:8" x14ac:dyDescent="0.2">
      <c r="A24" s="358"/>
      <c r="B24" s="358"/>
      <c r="C24" s="358"/>
      <c r="D24" s="358"/>
      <c r="E24" s="358"/>
      <c r="F24" s="358"/>
      <c r="G24" s="358"/>
    </row>
    <row r="25" spans="1:8" x14ac:dyDescent="0.2">
      <c r="A25" s="175"/>
      <c r="B25" s="175"/>
      <c r="C25" s="175"/>
      <c r="D25" s="175"/>
      <c r="E25" s="175"/>
      <c r="F25" s="175"/>
      <c r="G25" s="175"/>
    </row>
    <row r="26" spans="1:8" x14ac:dyDescent="0.2">
      <c r="A26" s="87" t="s">
        <v>256</v>
      </c>
      <c r="B26" s="88">
        <v>12000</v>
      </c>
    </row>
    <row r="27" spans="1:8" ht="13.5" thickBot="1" x14ac:dyDescent="0.25">
      <c r="A27" s="87" t="s">
        <v>227</v>
      </c>
      <c r="B27" s="87">
        <v>6</v>
      </c>
    </row>
    <row r="28" spans="1:8" ht="13.5" thickBot="1" x14ac:dyDescent="0.25">
      <c r="A28" s="87" t="s">
        <v>331</v>
      </c>
      <c r="B28" s="89">
        <v>0.2</v>
      </c>
      <c r="C28" s="161" t="s">
        <v>230</v>
      </c>
      <c r="D28" s="162">
        <f>(1+B28)^(30/360)-1</f>
        <v>1.5309470499731193E-2</v>
      </c>
      <c r="E28" s="176"/>
      <c r="F28" s="97"/>
    </row>
    <row r="29" spans="1:8" x14ac:dyDescent="0.2">
      <c r="A29" s="87" t="s">
        <v>231</v>
      </c>
      <c r="B29" s="91" t="s">
        <v>245</v>
      </c>
    </row>
    <row r="31" spans="1:8" ht="13.5" thickBot="1" x14ac:dyDescent="0.25"/>
    <row r="32" spans="1:8" ht="13.5" thickBot="1" x14ac:dyDescent="0.25">
      <c r="B32" s="93" t="s">
        <v>234</v>
      </c>
      <c r="C32" s="93" t="s">
        <v>235</v>
      </c>
      <c r="D32" s="93" t="s">
        <v>236</v>
      </c>
      <c r="E32" s="93" t="s">
        <v>237</v>
      </c>
      <c r="F32" s="93" t="s">
        <v>251</v>
      </c>
      <c r="G32" s="177" t="s">
        <v>336</v>
      </c>
    </row>
    <row r="33" spans="1:8" x14ac:dyDescent="0.2">
      <c r="B33" s="94">
        <v>0</v>
      </c>
      <c r="C33" s="95">
        <v>12000</v>
      </c>
      <c r="D33" s="78"/>
      <c r="E33" s="78"/>
      <c r="F33" s="78"/>
      <c r="G33" s="178">
        <f>C33</f>
        <v>12000</v>
      </c>
    </row>
    <row r="34" spans="1:8" x14ac:dyDescent="0.2">
      <c r="B34" s="94">
        <v>1</v>
      </c>
      <c r="C34" s="95">
        <v>12000</v>
      </c>
      <c r="D34" s="166">
        <v>140.57900303824056</v>
      </c>
      <c r="E34" s="95">
        <v>1942.2212583309674</v>
      </c>
      <c r="F34" s="95">
        <v>2082.8002613692079</v>
      </c>
      <c r="G34" s="179">
        <f t="shared" ref="G34:G39" si="2">-F34</f>
        <v>-2082.8002613692079</v>
      </c>
    </row>
    <row r="35" spans="1:8" x14ac:dyDescent="0.2">
      <c r="B35" s="94">
        <v>2</v>
      </c>
      <c r="C35" s="95">
        <v>10057.778741669033</v>
      </c>
      <c r="D35" s="166">
        <v>117.8260423569202</v>
      </c>
      <c r="E35" s="95">
        <v>1964.9742190122877</v>
      </c>
      <c r="F35" s="95">
        <v>2082.8002613692079</v>
      </c>
      <c r="G35" s="179">
        <f t="shared" si="2"/>
        <v>-2082.8002613692079</v>
      </c>
    </row>
    <row r="36" spans="1:8" x14ac:dyDescent="0.2">
      <c r="B36" s="180">
        <v>3</v>
      </c>
      <c r="C36" s="181">
        <v>8092.8045226567456</v>
      </c>
      <c r="D36" s="182">
        <f>$D$28*C36</f>
        <v>123.89655209970462</v>
      </c>
      <c r="E36" s="183">
        <f>F36-D36</f>
        <v>1977.3281406829258</v>
      </c>
      <c r="F36" s="183">
        <f>PMT($D$28,$B$37,-$C$36)</f>
        <v>2101.2246927826304</v>
      </c>
      <c r="G36" s="179">
        <f t="shared" si="2"/>
        <v>-2101.2246927826304</v>
      </c>
      <c r="H36" s="39" t="s">
        <v>221</v>
      </c>
    </row>
    <row r="37" spans="1:8" x14ac:dyDescent="0.2">
      <c r="B37" s="180">
        <v>4</v>
      </c>
      <c r="C37" s="183">
        <f>C36-E36</f>
        <v>6115.47638197382</v>
      </c>
      <c r="D37" s="182">
        <f>$D$28*C37</f>
        <v>93.62470526163105</v>
      </c>
      <c r="E37" s="183">
        <f>F37-D37</f>
        <v>2007.5999875209993</v>
      </c>
      <c r="F37" s="183">
        <f>PMT($D$28,$B$37,-$C$36)</f>
        <v>2101.2246927826304</v>
      </c>
      <c r="G37" s="179">
        <f t="shared" si="2"/>
        <v>-2101.2246927826304</v>
      </c>
      <c r="H37" s="39" t="s">
        <v>337</v>
      </c>
    </row>
    <row r="38" spans="1:8" x14ac:dyDescent="0.2">
      <c r="B38" s="180">
        <v>5</v>
      </c>
      <c r="C38" s="183">
        <f>C37-E37</f>
        <v>4107.8763944528209</v>
      </c>
      <c r="D38" s="182">
        <f>$D$28*C38</f>
        <v>62.889412477417601</v>
      </c>
      <c r="E38" s="183">
        <f>F38-D38</f>
        <v>2038.3352803052128</v>
      </c>
      <c r="F38" s="183">
        <f>PMT($D$28,$B$37,-$C$36)</f>
        <v>2101.2246927826304</v>
      </c>
      <c r="G38" s="179">
        <f t="shared" si="2"/>
        <v>-2101.2246927826304</v>
      </c>
    </row>
    <row r="39" spans="1:8" x14ac:dyDescent="0.2">
      <c r="B39" s="180">
        <v>6</v>
      </c>
      <c r="C39" s="183">
        <f>C38-E38</f>
        <v>2069.5411141476079</v>
      </c>
      <c r="D39" s="182">
        <f>$D$28*C39</f>
        <v>31.683578635023629</v>
      </c>
      <c r="E39" s="183">
        <f>F39-D39</f>
        <v>2069.541114147607</v>
      </c>
      <c r="F39" s="184">
        <f>PMT($D$28,$B$37,-$C$36)</f>
        <v>2101.2246927826304</v>
      </c>
      <c r="G39" s="185">
        <f t="shared" si="2"/>
        <v>-2101.2246927826304</v>
      </c>
    </row>
    <row r="40" spans="1:8" x14ac:dyDescent="0.2">
      <c r="D40" s="97">
        <f>SUM(D34:D39)</f>
        <v>570.49929386893768</v>
      </c>
      <c r="E40" s="97">
        <f>SUM(E34:E39)</f>
        <v>12000</v>
      </c>
      <c r="F40" s="186" t="s">
        <v>338</v>
      </c>
      <c r="G40" s="187">
        <f>IRR(G33:G39)</f>
        <v>1.3410973456887687E-2</v>
      </c>
    </row>
    <row r="41" spans="1:8" x14ac:dyDescent="0.2">
      <c r="A41" s="175"/>
      <c r="B41" s="175"/>
      <c r="C41" s="175"/>
      <c r="D41" s="175"/>
      <c r="E41" s="175"/>
      <c r="F41" s="186" t="s">
        <v>339</v>
      </c>
      <c r="G41" s="187">
        <f>(1+G40)^(360/30)-1</f>
        <v>0.17334906473358735</v>
      </c>
    </row>
    <row r="42" spans="1:8" x14ac:dyDescent="0.2">
      <c r="A42" s="175"/>
      <c r="B42" s="175"/>
      <c r="C42" s="175"/>
      <c r="D42" s="175"/>
      <c r="E42" s="175"/>
      <c r="F42" s="175"/>
      <c r="G42" s="175"/>
    </row>
  </sheetData>
  <mergeCells count="1">
    <mergeCell ref="A22:G24"/>
  </mergeCells>
  <pageMargins left="0.75" right="0.75" top="1" bottom="1" header="0" footer="0"/>
  <pageSetup paperSize="9" orientation="portrait" horizontalDpi="200" verticalDpi="200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77FC-B497-4608-8DDF-62762384F1B6}">
  <sheetPr>
    <tabColor rgb="FF00B050"/>
  </sheetPr>
  <dimension ref="A1:H16"/>
  <sheetViews>
    <sheetView zoomScale="140" zoomScaleNormal="140" workbookViewId="0">
      <selection activeCell="E23" sqref="E23"/>
    </sheetView>
  </sheetViews>
  <sheetFormatPr baseColWidth="10" defaultColWidth="11.42578125" defaultRowHeight="15" x14ac:dyDescent="0.2"/>
  <cols>
    <col min="1" max="1" width="11.42578125" style="40"/>
    <col min="2" max="2" width="14.7109375" style="40" customWidth="1"/>
    <col min="3" max="6" width="11.42578125" style="40"/>
    <col min="7" max="7" width="0" style="40" hidden="1" customWidth="1"/>
    <col min="8" max="16384" width="11.42578125" style="40"/>
  </cols>
  <sheetData>
    <row r="1" spans="1:8" ht="18" x14ac:dyDescent="0.25">
      <c r="A1" s="56" t="s">
        <v>264</v>
      </c>
      <c r="B1" s="56" t="s">
        <v>340</v>
      </c>
    </row>
    <row r="2" spans="1:8" x14ac:dyDescent="0.2">
      <c r="A2" s="40" t="s">
        <v>341</v>
      </c>
    </row>
    <row r="3" spans="1:8" x14ac:dyDescent="0.2">
      <c r="A3" s="40" t="s">
        <v>342</v>
      </c>
    </row>
    <row r="4" spans="1:8" x14ac:dyDescent="0.2">
      <c r="A4" s="40" t="s">
        <v>343</v>
      </c>
    </row>
    <row r="5" spans="1:8" x14ac:dyDescent="0.2">
      <c r="A5" s="40" t="s">
        <v>344</v>
      </c>
    </row>
    <row r="6" spans="1:8" x14ac:dyDescent="0.2">
      <c r="A6" s="40" t="s">
        <v>345</v>
      </c>
    </row>
    <row r="7" spans="1:8" ht="15.75" x14ac:dyDescent="0.25">
      <c r="A7" s="124" t="s">
        <v>346</v>
      </c>
    </row>
    <row r="8" spans="1:8" x14ac:dyDescent="0.2">
      <c r="A8" s="40" t="s">
        <v>347</v>
      </c>
      <c r="B8" s="125">
        <v>2500</v>
      </c>
      <c r="F8" s="40">
        <v>5000</v>
      </c>
    </row>
    <row r="9" spans="1:8" x14ac:dyDescent="0.2">
      <c r="A9" s="40" t="s">
        <v>348</v>
      </c>
      <c r="B9" s="127">
        <v>1.4999999999999999E-2</v>
      </c>
      <c r="C9" s="40" t="s">
        <v>50</v>
      </c>
      <c r="F9" s="188">
        <v>0.05</v>
      </c>
    </row>
    <row r="10" spans="1:8" x14ac:dyDescent="0.2">
      <c r="F10" s="40" t="s">
        <v>349</v>
      </c>
      <c r="G10" s="40" t="s">
        <v>350</v>
      </c>
      <c r="H10" s="40">
        <f>F8/F9</f>
        <v>100000</v>
      </c>
    </row>
    <row r="11" spans="1:8" ht="15.75" x14ac:dyDescent="0.25">
      <c r="A11" s="189" t="s">
        <v>351</v>
      </c>
      <c r="B11" s="190"/>
      <c r="C11" s="190"/>
      <c r="D11" s="190"/>
    </row>
    <row r="13" spans="1:8" ht="15.75" x14ac:dyDescent="0.25">
      <c r="A13" s="124" t="s">
        <v>349</v>
      </c>
      <c r="B13" s="191">
        <f>B8/B9</f>
        <v>166666.66666666669</v>
      </c>
    </row>
    <row r="15" spans="1:8" x14ac:dyDescent="0.2">
      <c r="A15" s="40" t="s">
        <v>352</v>
      </c>
    </row>
    <row r="16" spans="1:8" x14ac:dyDescent="0.2">
      <c r="A16" s="40" t="s">
        <v>353</v>
      </c>
    </row>
  </sheetData>
  <pageMargins left="0.75" right="0.75" top="1" bottom="1" header="0" footer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A85C-7E3C-4B0C-A7F7-422201FABCBA}">
  <dimension ref="A1:H57"/>
  <sheetViews>
    <sheetView topLeftCell="A16" workbookViewId="0">
      <selection activeCell="A41" sqref="A41"/>
    </sheetView>
  </sheetViews>
  <sheetFormatPr baseColWidth="10" defaultColWidth="11.42578125" defaultRowHeight="15" x14ac:dyDescent="0.2"/>
  <cols>
    <col min="1" max="1" width="14.5703125" style="40" customWidth="1"/>
    <col min="2" max="2" width="13.28515625" style="40" bestFit="1" customWidth="1"/>
    <col min="3" max="3" width="12.28515625" style="40" bestFit="1" customWidth="1"/>
    <col min="4" max="4" width="13.28515625" style="40" bestFit="1" customWidth="1"/>
    <col min="5" max="16384" width="11.42578125" style="40"/>
  </cols>
  <sheetData>
    <row r="1" spans="1:8" ht="15.75" x14ac:dyDescent="0.25">
      <c r="A1" s="124" t="s">
        <v>354</v>
      </c>
    </row>
    <row r="2" spans="1:8" x14ac:dyDescent="0.2">
      <c r="A2" s="40" t="s">
        <v>355</v>
      </c>
    </row>
    <row r="3" spans="1:8" x14ac:dyDescent="0.2">
      <c r="A3" s="40" t="s">
        <v>356</v>
      </c>
    </row>
    <row r="4" spans="1:8" x14ac:dyDescent="0.2">
      <c r="A4" s="40" t="s">
        <v>813</v>
      </c>
    </row>
    <row r="5" spans="1:8" x14ac:dyDescent="0.2">
      <c r="A5" s="40" t="s">
        <v>814</v>
      </c>
      <c r="H5" s="40">
        <f>200+3*150</f>
        <v>650</v>
      </c>
    </row>
    <row r="6" spans="1:8" x14ac:dyDescent="0.2">
      <c r="A6" s="40" t="s">
        <v>815</v>
      </c>
      <c r="H6" s="40">
        <f>300+500</f>
        <v>800</v>
      </c>
    </row>
    <row r="7" spans="1:8" x14ac:dyDescent="0.2">
      <c r="A7" s="40" t="s">
        <v>357</v>
      </c>
    </row>
    <row r="8" spans="1:8" x14ac:dyDescent="0.2">
      <c r="A8" s="40" t="s">
        <v>358</v>
      </c>
    </row>
    <row r="10" spans="1:8" ht="15.75" x14ac:dyDescent="0.25">
      <c r="A10" s="124" t="s">
        <v>346</v>
      </c>
    </row>
    <row r="11" spans="1:8" x14ac:dyDescent="0.2">
      <c r="A11" s="40" t="s">
        <v>359</v>
      </c>
    </row>
    <row r="12" spans="1:8" x14ac:dyDescent="0.2">
      <c r="A12" s="40" t="s">
        <v>360</v>
      </c>
    </row>
    <row r="13" spans="1:8" x14ac:dyDescent="0.2">
      <c r="A13" s="40" t="s">
        <v>361</v>
      </c>
    </row>
    <row r="15" spans="1:8" ht="15.75" x14ac:dyDescent="0.25">
      <c r="A15" s="124" t="s">
        <v>362</v>
      </c>
    </row>
    <row r="17" spans="1:5" x14ac:dyDescent="0.2">
      <c r="A17" s="40" t="s">
        <v>363</v>
      </c>
    </row>
    <row r="24" spans="1:5" x14ac:dyDescent="0.2">
      <c r="A24" s="40" t="s">
        <v>364</v>
      </c>
    </row>
    <row r="25" spans="1:5" x14ac:dyDescent="0.2">
      <c r="A25" s="40" t="s">
        <v>365</v>
      </c>
      <c r="D25" s="192">
        <f>150000/(1+24%)^1</f>
        <v>120967.74193548388</v>
      </c>
    </row>
    <row r="26" spans="1:5" x14ac:dyDescent="0.2">
      <c r="A26" s="40" t="s">
        <v>366</v>
      </c>
      <c r="D26" s="192">
        <f>150000/(1+24%)^2</f>
        <v>97554.630593132155</v>
      </c>
    </row>
    <row r="27" spans="1:5" x14ac:dyDescent="0.2">
      <c r="A27" s="40" t="s">
        <v>367</v>
      </c>
      <c r="D27" s="192">
        <f>150000/(1+24%)^3</f>
        <v>78673.089188009792</v>
      </c>
    </row>
    <row r="29" spans="1:5" ht="15.75" x14ac:dyDescent="0.25">
      <c r="A29" s="124" t="s">
        <v>368</v>
      </c>
      <c r="B29" s="124"/>
      <c r="C29" s="124"/>
      <c r="D29" s="193">
        <f>200000+SUM(D25:D27)</f>
        <v>497195.46171662584</v>
      </c>
    </row>
    <row r="31" spans="1:5" x14ac:dyDescent="0.2">
      <c r="B31" s="40">
        <v>0</v>
      </c>
      <c r="C31" s="40">
        <v>1</v>
      </c>
      <c r="D31" s="40">
        <v>2</v>
      </c>
      <c r="E31" s="40">
        <v>3</v>
      </c>
    </row>
    <row r="32" spans="1:5" x14ac:dyDescent="0.2">
      <c r="A32" s="40" t="s">
        <v>304</v>
      </c>
      <c r="B32" s="194">
        <v>200000</v>
      </c>
      <c r="C32" s="194">
        <v>150000</v>
      </c>
      <c r="D32" s="194">
        <v>150000</v>
      </c>
      <c r="E32" s="194">
        <v>150000</v>
      </c>
    </row>
    <row r="33" spans="1:5" x14ac:dyDescent="0.2">
      <c r="A33" s="40" t="s">
        <v>63</v>
      </c>
      <c r="B33" s="195">
        <v>0.24</v>
      </c>
      <c r="C33" s="194"/>
      <c r="D33" s="194"/>
      <c r="E33" s="194"/>
    </row>
    <row r="34" spans="1:5" x14ac:dyDescent="0.2">
      <c r="B34" s="194"/>
      <c r="C34" s="194"/>
      <c r="D34" s="194"/>
      <c r="E34" s="194"/>
    </row>
    <row r="35" spans="1:5" ht="15.75" x14ac:dyDescent="0.25">
      <c r="A35" s="124" t="s">
        <v>369</v>
      </c>
      <c r="B35" s="196">
        <f>B32+NPV(B33,C32:E32)</f>
        <v>497195.46171662584</v>
      </c>
      <c r="C35" s="194"/>
      <c r="D35" s="196"/>
      <c r="E35" s="194"/>
    </row>
    <row r="37" spans="1:5" ht="15.75" x14ac:dyDescent="0.25">
      <c r="A37" s="124" t="s">
        <v>370</v>
      </c>
    </row>
    <row r="39" spans="1:5" x14ac:dyDescent="0.2">
      <c r="A39" s="40" t="s">
        <v>363</v>
      </c>
    </row>
    <row r="46" spans="1:5" x14ac:dyDescent="0.2">
      <c r="A46" s="40" t="s">
        <v>371</v>
      </c>
    </row>
    <row r="47" spans="1:5" x14ac:dyDescent="0.2">
      <c r="A47" s="40" t="s">
        <v>372</v>
      </c>
      <c r="D47" s="192">
        <f>500000/(1+24%)^6</f>
        <v>137543.44360854544</v>
      </c>
    </row>
    <row r="49" spans="1:4" ht="15.75" x14ac:dyDescent="0.25">
      <c r="A49" s="124" t="s">
        <v>373</v>
      </c>
      <c r="B49" s="124"/>
      <c r="C49" s="124"/>
      <c r="D49" s="193">
        <f>300000+D47</f>
        <v>437543.44360854547</v>
      </c>
    </row>
    <row r="51" spans="1:4" x14ac:dyDescent="0.2">
      <c r="A51" s="40" t="s">
        <v>374</v>
      </c>
    </row>
    <row r="52" spans="1:4" x14ac:dyDescent="0.2">
      <c r="A52" s="40" t="s">
        <v>375</v>
      </c>
      <c r="B52" s="40" t="s">
        <v>376</v>
      </c>
    </row>
    <row r="53" spans="1:4" x14ac:dyDescent="0.2">
      <c r="A53" s="40" t="s">
        <v>377</v>
      </c>
      <c r="B53" s="192">
        <v>550000</v>
      </c>
    </row>
    <row r="54" spans="1:4" x14ac:dyDescent="0.2">
      <c r="A54" s="40" t="s">
        <v>378</v>
      </c>
      <c r="B54" s="192">
        <f>D29</f>
        <v>497195.46171662584</v>
      </c>
    </row>
    <row r="55" spans="1:4" x14ac:dyDescent="0.2">
      <c r="A55" s="40" t="s">
        <v>379</v>
      </c>
      <c r="B55" s="192">
        <f>D49</f>
        <v>437543.44360854547</v>
      </c>
    </row>
    <row r="57" spans="1:4" ht="15.75" x14ac:dyDescent="0.25">
      <c r="A57" s="124" t="s">
        <v>380</v>
      </c>
    </row>
  </sheetData>
  <pageMargins left="0.75" right="0.75" top="1" bottom="1" header="0" footer="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67E4-4959-417D-88B6-944990ED6573}">
  <sheetPr>
    <tabColor rgb="FF00B050"/>
  </sheetPr>
  <dimension ref="A1:H50"/>
  <sheetViews>
    <sheetView zoomScale="110" zoomScaleNormal="110" workbookViewId="0">
      <selection activeCell="A3" sqref="A3"/>
    </sheetView>
  </sheetViews>
  <sheetFormatPr baseColWidth="10" defaultColWidth="11.42578125" defaultRowHeight="12.75" x14ac:dyDescent="0.2"/>
  <cols>
    <col min="1" max="1" width="14.140625" style="39" customWidth="1"/>
    <col min="2" max="2" width="15.140625" style="39" customWidth="1"/>
    <col min="3" max="3" width="16.5703125" style="39" bestFit="1" customWidth="1"/>
    <col min="4" max="4" width="16.7109375" style="39" customWidth="1"/>
    <col min="5" max="16384" width="11.42578125" style="39"/>
  </cols>
  <sheetData>
    <row r="1" spans="1:8" ht="18" x14ac:dyDescent="0.25">
      <c r="A1" s="56" t="s">
        <v>381</v>
      </c>
    </row>
    <row r="2" spans="1:8" ht="15" x14ac:dyDescent="0.2">
      <c r="A2" s="40" t="s">
        <v>816</v>
      </c>
      <c r="B2" s="40"/>
      <c r="C2" s="40"/>
      <c r="D2" s="40"/>
      <c r="E2" s="40"/>
      <c r="F2" s="40"/>
      <c r="G2" s="40"/>
      <c r="H2" s="40"/>
    </row>
    <row r="3" spans="1:8" ht="15" x14ac:dyDescent="0.2">
      <c r="A3" s="40" t="s">
        <v>382</v>
      </c>
      <c r="B3" s="40"/>
      <c r="C3" s="40"/>
      <c r="D3" s="40"/>
      <c r="E3" s="40"/>
      <c r="F3" s="40"/>
      <c r="G3" s="40"/>
      <c r="H3" s="40"/>
    </row>
    <row r="4" spans="1:8" ht="15" x14ac:dyDescent="0.2">
      <c r="A4" s="40" t="s">
        <v>383</v>
      </c>
      <c r="B4" s="40"/>
      <c r="C4" s="40"/>
      <c r="D4" s="40"/>
      <c r="E4" s="40"/>
      <c r="F4" s="40"/>
      <c r="G4" s="40"/>
      <c r="H4" s="40"/>
    </row>
    <row r="5" spans="1:8" ht="15" x14ac:dyDescent="0.2">
      <c r="A5" s="40"/>
      <c r="B5" s="40"/>
      <c r="C5" s="40"/>
      <c r="D5" s="40"/>
      <c r="E5" s="40"/>
      <c r="F5" s="40"/>
      <c r="G5" s="40"/>
      <c r="H5" s="40"/>
    </row>
    <row r="6" spans="1:8" ht="15.75" x14ac:dyDescent="0.25">
      <c r="A6" s="124" t="s">
        <v>346</v>
      </c>
      <c r="B6" s="40"/>
      <c r="C6" s="40"/>
      <c r="D6" s="40"/>
      <c r="E6" s="40"/>
      <c r="F6" s="40"/>
      <c r="G6" s="40"/>
      <c r="H6" s="40"/>
    </row>
    <row r="7" spans="1:8" ht="15" x14ac:dyDescent="0.2">
      <c r="A7" s="40" t="s">
        <v>384</v>
      </c>
      <c r="B7" s="40"/>
      <c r="C7" s="40"/>
      <c r="D7" s="40"/>
      <c r="E7" s="40"/>
      <c r="F7" s="40"/>
      <c r="G7" s="40"/>
      <c r="H7" s="40"/>
    </row>
    <row r="8" spans="1:8" ht="15" x14ac:dyDescent="0.2">
      <c r="A8" s="40" t="s">
        <v>385</v>
      </c>
      <c r="B8" s="197"/>
      <c r="C8" s="40"/>
      <c r="D8" s="40"/>
      <c r="E8" s="40"/>
      <c r="F8" s="40"/>
      <c r="G8" s="40"/>
      <c r="H8" s="40"/>
    </row>
    <row r="9" spans="1:8" ht="15" x14ac:dyDescent="0.2">
      <c r="A9" s="40"/>
      <c r="B9" s="197"/>
      <c r="C9" s="40"/>
      <c r="D9" s="40"/>
      <c r="E9" s="40"/>
      <c r="F9" s="40"/>
      <c r="G9" s="40"/>
      <c r="H9" s="40"/>
    </row>
    <row r="10" spans="1:8" ht="15" x14ac:dyDescent="0.2">
      <c r="A10" s="40" t="s">
        <v>363</v>
      </c>
      <c r="B10" s="40"/>
      <c r="C10" s="40"/>
      <c r="D10" s="40"/>
      <c r="E10" s="40"/>
      <c r="F10" s="40"/>
      <c r="G10" s="40"/>
      <c r="H10" s="40"/>
    </row>
    <row r="11" spans="1:8" ht="15" x14ac:dyDescent="0.2">
      <c r="A11" s="40"/>
      <c r="B11" s="40"/>
      <c r="C11" s="40"/>
      <c r="D11" s="40" t="s">
        <v>386</v>
      </c>
      <c r="E11" s="40"/>
      <c r="F11" s="40"/>
      <c r="G11" s="40"/>
      <c r="H11" s="40"/>
    </row>
    <row r="12" spans="1:8" ht="15" x14ac:dyDescent="0.2">
      <c r="A12" s="40"/>
      <c r="B12" s="40"/>
      <c r="C12" s="40"/>
      <c r="D12" s="40" t="s">
        <v>387</v>
      </c>
      <c r="E12" s="40"/>
      <c r="F12" s="40"/>
      <c r="G12" s="40"/>
      <c r="H12" s="40"/>
    </row>
    <row r="13" spans="1:8" ht="15" x14ac:dyDescent="0.2">
      <c r="A13" s="40"/>
      <c r="B13" s="40"/>
      <c r="C13" s="40"/>
      <c r="D13" s="40"/>
      <c r="E13" s="40"/>
      <c r="F13" s="40"/>
      <c r="G13" s="40"/>
      <c r="H13" s="40"/>
    </row>
    <row r="14" spans="1:8" ht="15" x14ac:dyDescent="0.2">
      <c r="A14" s="40"/>
      <c r="B14" s="40"/>
      <c r="C14" s="40"/>
      <c r="D14" s="40"/>
      <c r="E14" s="40"/>
      <c r="F14" s="40"/>
      <c r="G14" s="40"/>
      <c r="H14" s="40"/>
    </row>
    <row r="15" spans="1:8" ht="15" x14ac:dyDescent="0.2">
      <c r="A15" s="40"/>
      <c r="B15" s="40"/>
      <c r="C15" s="40"/>
      <c r="D15" s="40"/>
      <c r="E15" s="40"/>
      <c r="F15" s="40"/>
      <c r="G15" s="40"/>
      <c r="H15" s="40"/>
    </row>
    <row r="16" spans="1:8" ht="15" x14ac:dyDescent="0.2">
      <c r="A16" s="40"/>
      <c r="B16" s="40"/>
      <c r="C16" s="40"/>
      <c r="D16" s="40"/>
      <c r="E16" s="40"/>
      <c r="F16" s="40"/>
      <c r="G16" s="40"/>
      <c r="H16" s="40"/>
    </row>
    <row r="17" spans="1:8" ht="15" x14ac:dyDescent="0.2">
      <c r="A17" s="40"/>
      <c r="B17" s="40"/>
      <c r="C17" s="40"/>
      <c r="D17" s="40"/>
      <c r="E17" s="40" t="s">
        <v>388</v>
      </c>
      <c r="F17" s="40"/>
      <c r="G17" s="40"/>
      <c r="H17" s="40"/>
    </row>
    <row r="18" spans="1:8" ht="15" x14ac:dyDescent="0.2">
      <c r="A18" s="40"/>
      <c r="B18" s="40"/>
      <c r="C18" s="40"/>
      <c r="D18" s="40"/>
      <c r="E18" s="40" t="s">
        <v>389</v>
      </c>
      <c r="F18" s="40"/>
      <c r="G18" s="40"/>
      <c r="H18" s="40"/>
    </row>
    <row r="19" spans="1:8" ht="15" x14ac:dyDescent="0.2">
      <c r="A19" s="40"/>
      <c r="B19" s="40"/>
      <c r="C19" s="40"/>
      <c r="D19" s="40"/>
      <c r="E19" s="40"/>
      <c r="F19" s="40"/>
      <c r="G19" s="40"/>
      <c r="H19" s="40"/>
    </row>
    <row r="20" spans="1:8" ht="15.75" x14ac:dyDescent="0.25">
      <c r="A20" s="124" t="s">
        <v>390</v>
      </c>
      <c r="B20" s="40"/>
      <c r="C20" s="40"/>
      <c r="D20" s="40"/>
      <c r="E20" s="40"/>
      <c r="F20" s="40"/>
      <c r="G20" s="40"/>
      <c r="H20" s="40"/>
    </row>
    <row r="21" spans="1:8" ht="15.75" x14ac:dyDescent="0.25">
      <c r="A21" s="40" t="s">
        <v>391</v>
      </c>
      <c r="B21" s="40"/>
      <c r="C21" s="40"/>
      <c r="D21" s="40"/>
      <c r="F21" s="124" t="s">
        <v>392</v>
      </c>
      <c r="G21" s="40"/>
      <c r="H21" s="40"/>
    </row>
    <row r="22" spans="1:8" ht="15" x14ac:dyDescent="0.2">
      <c r="A22" s="40" t="s">
        <v>393</v>
      </c>
      <c r="B22" s="198">
        <f>24%/4</f>
        <v>0.06</v>
      </c>
      <c r="C22" s="199"/>
      <c r="D22" s="40"/>
      <c r="F22" s="40"/>
      <c r="G22" s="40"/>
      <c r="H22" s="40"/>
    </row>
    <row r="23" spans="1:8" ht="15.75" x14ac:dyDescent="0.25">
      <c r="A23" s="40" t="s">
        <v>394</v>
      </c>
      <c r="B23" s="40"/>
      <c r="C23" s="40"/>
      <c r="D23" s="192">
        <f>3000000*((1+B22)^(3*4))</f>
        <v>6036589.4155066554</v>
      </c>
      <c r="F23" s="124" t="s">
        <v>395</v>
      </c>
      <c r="G23" s="40"/>
      <c r="H23" s="40"/>
    </row>
    <row r="24" spans="1:8" ht="15" x14ac:dyDescent="0.2">
      <c r="A24" s="40"/>
      <c r="B24" s="40"/>
      <c r="C24" s="40"/>
      <c r="D24" s="40"/>
      <c r="E24" s="40"/>
      <c r="F24" s="40"/>
      <c r="G24" s="40"/>
      <c r="H24" s="40"/>
    </row>
    <row r="25" spans="1:8" ht="15.75" x14ac:dyDescent="0.25">
      <c r="A25" s="124" t="s">
        <v>70</v>
      </c>
      <c r="B25" s="193">
        <f>D23</f>
        <v>6036589.4155066554</v>
      </c>
      <c r="C25" s="40"/>
      <c r="D25" s="40"/>
      <c r="E25" s="40"/>
      <c r="F25" s="40"/>
      <c r="G25" s="40"/>
      <c r="H25" s="40"/>
    </row>
    <row r="26" spans="1:8" ht="15" x14ac:dyDescent="0.2">
      <c r="A26" s="40"/>
      <c r="B26" s="40"/>
      <c r="C26" s="40"/>
      <c r="D26" s="40"/>
      <c r="E26" s="40"/>
      <c r="F26" s="40"/>
      <c r="G26" s="40"/>
      <c r="H26" s="40"/>
    </row>
    <row r="27" spans="1:8" ht="15.75" x14ac:dyDescent="0.25">
      <c r="A27" s="124" t="s">
        <v>396</v>
      </c>
      <c r="B27" s="40"/>
      <c r="C27" s="40"/>
      <c r="D27" s="40"/>
      <c r="E27" s="40"/>
      <c r="F27" s="40"/>
      <c r="G27" s="40"/>
      <c r="H27" s="40"/>
    </row>
    <row r="28" spans="1:8" ht="15" x14ac:dyDescent="0.2">
      <c r="A28" s="40"/>
      <c r="B28" s="40"/>
      <c r="C28" s="40"/>
      <c r="D28" s="40"/>
      <c r="E28" s="40"/>
      <c r="F28" s="40"/>
      <c r="G28" s="40"/>
      <c r="H28" s="40"/>
    </row>
    <row r="29" spans="1:8" ht="15" x14ac:dyDescent="0.2">
      <c r="A29" s="40" t="s">
        <v>397</v>
      </c>
      <c r="B29" s="40"/>
      <c r="C29" s="40"/>
      <c r="D29" s="40"/>
      <c r="E29" s="40"/>
      <c r="F29" s="40"/>
      <c r="G29" s="40"/>
      <c r="H29" s="40"/>
    </row>
    <row r="30" spans="1:8" ht="15.75" x14ac:dyDescent="0.25">
      <c r="A30" s="124" t="s">
        <v>398</v>
      </c>
      <c r="B30" s="193">
        <f>B25/(1+3%)^9</f>
        <v>4626543.134332736</v>
      </c>
      <c r="C30" s="40"/>
      <c r="D30" s="40"/>
      <c r="E30" s="40"/>
      <c r="F30" s="40"/>
      <c r="G30" s="40"/>
      <c r="H30" s="40"/>
    </row>
    <row r="31" spans="1:8" ht="15" x14ac:dyDescent="0.2">
      <c r="A31" s="40" t="s">
        <v>399</v>
      </c>
      <c r="B31" s="40"/>
      <c r="C31" s="40"/>
      <c r="D31" s="40"/>
      <c r="E31" s="40"/>
      <c r="F31" s="40"/>
      <c r="G31" s="40"/>
      <c r="H31" s="40"/>
    </row>
    <row r="32" spans="1:8" ht="15" x14ac:dyDescent="0.2">
      <c r="A32" s="40"/>
      <c r="B32" s="40"/>
      <c r="C32" s="40"/>
      <c r="D32" s="40"/>
      <c r="E32" s="40"/>
      <c r="F32" s="40"/>
      <c r="G32" s="40"/>
      <c r="H32" s="40"/>
    </row>
    <row r="33" spans="1:8" ht="15" x14ac:dyDescent="0.2">
      <c r="A33" s="40"/>
      <c r="B33" s="40"/>
      <c r="C33" s="40"/>
      <c r="D33" s="40"/>
      <c r="E33" s="40"/>
      <c r="F33" s="40"/>
      <c r="G33" s="40"/>
      <c r="H33" s="40"/>
    </row>
    <row r="34" spans="1:8" ht="15" x14ac:dyDescent="0.2">
      <c r="A34" s="40"/>
      <c r="B34" s="40"/>
      <c r="C34" s="40"/>
      <c r="D34" s="40"/>
      <c r="E34" s="40"/>
      <c r="F34" s="40"/>
      <c r="G34" s="40"/>
      <c r="H34" s="40"/>
    </row>
    <row r="35" spans="1:8" ht="15" x14ac:dyDescent="0.2">
      <c r="A35" s="40"/>
      <c r="B35" s="40"/>
      <c r="C35" s="40"/>
      <c r="D35" s="40"/>
      <c r="E35" s="40"/>
      <c r="F35" s="40"/>
      <c r="G35" s="40"/>
      <c r="H35" s="40"/>
    </row>
    <row r="36" spans="1:8" ht="15" x14ac:dyDescent="0.2">
      <c r="A36" s="40"/>
      <c r="B36" s="40"/>
      <c r="C36" s="40"/>
      <c r="D36" s="40"/>
      <c r="E36" s="40"/>
      <c r="F36" s="40"/>
      <c r="G36" s="40"/>
      <c r="H36" s="40"/>
    </row>
    <row r="37" spans="1:8" ht="15" x14ac:dyDescent="0.2">
      <c r="A37" s="40"/>
      <c r="B37" s="40"/>
      <c r="C37" s="40"/>
      <c r="D37" s="40"/>
      <c r="E37" s="40"/>
      <c r="F37" s="40"/>
      <c r="G37" s="40"/>
      <c r="H37" s="40"/>
    </row>
    <row r="38" spans="1:8" ht="15" x14ac:dyDescent="0.2">
      <c r="A38" s="40"/>
      <c r="B38" s="40"/>
      <c r="C38" s="40"/>
      <c r="D38" s="40"/>
      <c r="E38" s="40"/>
      <c r="F38" s="40"/>
      <c r="G38" s="40"/>
      <c r="H38" s="40"/>
    </row>
    <row r="39" spans="1:8" ht="15" x14ac:dyDescent="0.2">
      <c r="A39" s="40"/>
      <c r="B39" s="40"/>
      <c r="C39" s="40"/>
      <c r="D39" s="40"/>
      <c r="E39" s="40"/>
      <c r="F39" s="40"/>
      <c r="G39" s="40"/>
      <c r="H39" s="40"/>
    </row>
    <row r="40" spans="1:8" ht="15" x14ac:dyDescent="0.2">
      <c r="A40" s="40"/>
      <c r="B40" s="40"/>
      <c r="C40" s="40"/>
      <c r="D40" s="40"/>
      <c r="E40" s="40"/>
      <c r="F40" s="40"/>
      <c r="G40" s="40"/>
      <c r="H40" s="40"/>
    </row>
    <row r="41" spans="1:8" ht="15" x14ac:dyDescent="0.2">
      <c r="A41" s="40"/>
      <c r="B41" s="40"/>
      <c r="C41" s="40"/>
      <c r="D41" s="40"/>
      <c r="E41" s="40"/>
      <c r="F41" s="40"/>
      <c r="G41" s="40"/>
      <c r="H41" s="40"/>
    </row>
    <row r="42" spans="1:8" ht="15" x14ac:dyDescent="0.2">
      <c r="A42" s="40"/>
      <c r="B42" s="40"/>
      <c r="C42" s="40"/>
      <c r="D42" s="40"/>
      <c r="E42" s="40"/>
      <c r="F42" s="40"/>
      <c r="G42" s="40"/>
      <c r="H42" s="40"/>
    </row>
    <row r="43" spans="1:8" ht="15" x14ac:dyDescent="0.2">
      <c r="A43" s="40"/>
      <c r="B43" s="40"/>
      <c r="C43" s="40"/>
      <c r="D43" s="40"/>
      <c r="E43" s="40"/>
      <c r="F43" s="40"/>
      <c r="G43" s="40"/>
      <c r="H43" s="40"/>
    </row>
    <row r="44" spans="1:8" ht="15" x14ac:dyDescent="0.2">
      <c r="A44" s="40"/>
      <c r="B44" s="40"/>
      <c r="C44" s="40"/>
      <c r="D44" s="40"/>
      <c r="E44" s="40"/>
      <c r="F44" s="40"/>
      <c r="G44" s="40"/>
      <c r="H44" s="40"/>
    </row>
    <row r="45" spans="1:8" ht="15" x14ac:dyDescent="0.2">
      <c r="A45" s="40"/>
      <c r="B45" s="40"/>
      <c r="C45" s="40"/>
      <c r="D45" s="40"/>
      <c r="E45" s="40"/>
      <c r="F45" s="40"/>
      <c r="G45" s="40"/>
      <c r="H45" s="40"/>
    </row>
    <row r="46" spans="1:8" ht="15" x14ac:dyDescent="0.2">
      <c r="A46" s="40"/>
      <c r="B46" s="40"/>
      <c r="C46" s="40"/>
      <c r="D46" s="40"/>
      <c r="E46" s="40"/>
      <c r="F46" s="40"/>
      <c r="G46" s="40"/>
      <c r="H46" s="40"/>
    </row>
    <row r="47" spans="1:8" ht="15" x14ac:dyDescent="0.2">
      <c r="A47" s="40"/>
      <c r="B47" s="40"/>
      <c r="C47" s="40"/>
      <c r="D47" s="40"/>
      <c r="E47" s="40"/>
      <c r="F47" s="40"/>
      <c r="G47" s="40"/>
      <c r="H47" s="40"/>
    </row>
    <row r="48" spans="1:8" ht="15" x14ac:dyDescent="0.2">
      <c r="A48" s="40"/>
      <c r="B48" s="40"/>
      <c r="C48" s="40"/>
      <c r="D48" s="40"/>
      <c r="E48" s="40"/>
      <c r="F48" s="40"/>
      <c r="G48" s="40"/>
      <c r="H48" s="40"/>
    </row>
    <row r="49" spans="1:8" ht="15" x14ac:dyDescent="0.2">
      <c r="A49" s="40"/>
      <c r="B49" s="40"/>
      <c r="C49" s="40"/>
      <c r="D49" s="40"/>
      <c r="E49" s="40"/>
      <c r="F49" s="40"/>
      <c r="G49" s="40"/>
      <c r="H49" s="40"/>
    </row>
    <row r="50" spans="1:8" ht="15" x14ac:dyDescent="0.2">
      <c r="A50" s="40"/>
      <c r="B50" s="40"/>
      <c r="C50" s="40"/>
      <c r="D50" s="40"/>
      <c r="E50" s="40"/>
      <c r="F50" s="40"/>
      <c r="G50" s="40"/>
      <c r="H50" s="40"/>
    </row>
  </sheetData>
  <pageMargins left="0.75" right="0.75" top="1" bottom="1" header="0" footer="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2E2F-6CE3-47E7-A4D7-A8BDEE7DEA23}">
  <dimension ref="A1:F33"/>
  <sheetViews>
    <sheetView zoomScale="130" zoomScaleNormal="130" workbookViewId="0">
      <selection activeCell="F34" sqref="F34"/>
    </sheetView>
  </sheetViews>
  <sheetFormatPr baseColWidth="10" defaultColWidth="11.42578125" defaultRowHeight="12.75" x14ac:dyDescent="0.2"/>
  <cols>
    <col min="1" max="1" width="11.5703125" style="39" bestFit="1" customWidth="1"/>
    <col min="2" max="2" width="13.28515625" style="39" bestFit="1" customWidth="1"/>
    <col min="3" max="3" width="12.140625" style="39" customWidth="1"/>
    <col min="4" max="4" width="12.42578125" style="39" bestFit="1" customWidth="1"/>
    <col min="5" max="6" width="12.140625" style="39" bestFit="1" customWidth="1"/>
    <col min="7" max="16384" width="11.42578125" style="39"/>
  </cols>
  <sheetData>
    <row r="1" spans="1:6" ht="18" x14ac:dyDescent="0.25">
      <c r="A1" s="56" t="s">
        <v>400</v>
      </c>
    </row>
    <row r="2" spans="1:6" x14ac:dyDescent="0.2">
      <c r="A2" s="39" t="s">
        <v>817</v>
      </c>
    </row>
    <row r="3" spans="1:6" x14ac:dyDescent="0.2">
      <c r="A3" s="39" t="s">
        <v>401</v>
      </c>
    </row>
    <row r="4" spans="1:6" x14ac:dyDescent="0.2">
      <c r="A4" s="39" t="s">
        <v>818</v>
      </c>
    </row>
    <row r="5" spans="1:6" x14ac:dyDescent="0.2">
      <c r="A5" s="39" t="s">
        <v>402</v>
      </c>
    </row>
    <row r="6" spans="1:6" x14ac:dyDescent="0.2">
      <c r="A6" s="39" t="s">
        <v>403</v>
      </c>
    </row>
    <row r="8" spans="1:6" x14ac:dyDescent="0.2">
      <c r="A8" s="38" t="s">
        <v>346</v>
      </c>
    </row>
    <row r="9" spans="1:6" x14ac:dyDescent="0.2">
      <c r="A9" s="39" t="s">
        <v>404</v>
      </c>
    </row>
    <row r="11" spans="1:6" x14ac:dyDescent="0.2">
      <c r="A11" s="39" t="s">
        <v>11</v>
      </c>
      <c r="B11" s="200">
        <v>0.15</v>
      </c>
    </row>
    <row r="12" spans="1:6" x14ac:dyDescent="0.2">
      <c r="A12" s="4" t="s">
        <v>405</v>
      </c>
      <c r="B12" s="4" t="s">
        <v>406</v>
      </c>
      <c r="C12" s="4" t="s">
        <v>236</v>
      </c>
      <c r="D12" s="4" t="s">
        <v>237</v>
      </c>
      <c r="E12" s="4" t="s">
        <v>407</v>
      </c>
      <c r="F12" s="4" t="s">
        <v>235</v>
      </c>
    </row>
    <row r="13" spans="1:6" x14ac:dyDescent="0.2">
      <c r="A13" s="94">
        <v>1</v>
      </c>
      <c r="B13" s="119">
        <v>12000</v>
      </c>
      <c r="C13" s="119">
        <f>+B13*B11</f>
        <v>1800</v>
      </c>
      <c r="D13" s="119">
        <f>+B13/3</f>
        <v>4000</v>
      </c>
      <c r="E13" s="119">
        <f>+C13+D13</f>
        <v>5800</v>
      </c>
      <c r="F13" s="119">
        <f>+B13-D13</f>
        <v>8000</v>
      </c>
    </row>
    <row r="14" spans="1:6" x14ac:dyDescent="0.2">
      <c r="A14" s="94">
        <v>2</v>
      </c>
      <c r="B14" s="119">
        <f>+F13</f>
        <v>8000</v>
      </c>
      <c r="C14" s="119">
        <f>+B14*B11</f>
        <v>1200</v>
      </c>
      <c r="D14" s="119">
        <f>+D13</f>
        <v>4000</v>
      </c>
      <c r="E14" s="119">
        <f>+C14+D14</f>
        <v>5200</v>
      </c>
      <c r="F14" s="119">
        <f>+B14-D14</f>
        <v>4000</v>
      </c>
    </row>
    <row r="15" spans="1:6" x14ac:dyDescent="0.2">
      <c r="A15" s="94">
        <v>3</v>
      </c>
      <c r="B15" s="119">
        <f>+F14</f>
        <v>4000</v>
      </c>
      <c r="C15" s="119">
        <f>+B15*B11</f>
        <v>600</v>
      </c>
      <c r="D15" s="119">
        <f>+D13</f>
        <v>4000</v>
      </c>
      <c r="E15" s="119">
        <f>+C15+D15</f>
        <v>4600</v>
      </c>
      <c r="F15" s="119">
        <f>+B15-D15</f>
        <v>0</v>
      </c>
    </row>
    <row r="17" spans="1:6" x14ac:dyDescent="0.2">
      <c r="A17" s="39" t="s">
        <v>408</v>
      </c>
    </row>
    <row r="18" spans="1:6" x14ac:dyDescent="0.2">
      <c r="A18" s="39" t="s">
        <v>409</v>
      </c>
      <c r="B18" s="200">
        <v>0.3</v>
      </c>
    </row>
    <row r="19" spans="1:6" x14ac:dyDescent="0.2">
      <c r="A19" s="4" t="s">
        <v>405</v>
      </c>
      <c r="B19" s="4" t="s">
        <v>306</v>
      </c>
      <c r="C19" s="4" t="s">
        <v>410</v>
      </c>
      <c r="D19" s="4" t="s">
        <v>411</v>
      </c>
      <c r="E19" s="4" t="s">
        <v>412</v>
      </c>
      <c r="F19" s="4" t="s">
        <v>413</v>
      </c>
    </row>
    <row r="20" spans="1:6" x14ac:dyDescent="0.2">
      <c r="A20" s="94">
        <v>0</v>
      </c>
      <c r="B20" s="119">
        <f>+B13</f>
        <v>12000</v>
      </c>
      <c r="C20" s="119">
        <v>0</v>
      </c>
      <c r="D20" s="119">
        <v>0</v>
      </c>
      <c r="E20" s="119">
        <v>0</v>
      </c>
      <c r="F20" s="119">
        <f>+C20+D20-E20</f>
        <v>0</v>
      </c>
    </row>
    <row r="21" spans="1:6" x14ac:dyDescent="0.2">
      <c r="A21" s="94">
        <v>1</v>
      </c>
      <c r="B21" s="119"/>
      <c r="C21" s="119">
        <f>+E13</f>
        <v>5800</v>
      </c>
      <c r="D21" s="119">
        <v>1000</v>
      </c>
      <c r="E21" s="119">
        <f>+(C13+D21)*$B$18</f>
        <v>840</v>
      </c>
      <c r="F21" s="119">
        <f>+C21+D21-E21</f>
        <v>5960</v>
      </c>
    </row>
    <row r="22" spans="1:6" x14ac:dyDescent="0.2">
      <c r="A22" s="94">
        <v>2</v>
      </c>
      <c r="B22" s="119"/>
      <c r="C22" s="119">
        <f>+E14</f>
        <v>5200</v>
      </c>
      <c r="D22" s="119"/>
      <c r="E22" s="119">
        <f>+C14*$B$18</f>
        <v>360</v>
      </c>
      <c r="F22" s="119">
        <f>+C22+D22-E22</f>
        <v>4840</v>
      </c>
    </row>
    <row r="23" spans="1:6" x14ac:dyDescent="0.2">
      <c r="A23" s="94">
        <v>3</v>
      </c>
      <c r="B23" s="119"/>
      <c r="C23" s="119">
        <f>+E15</f>
        <v>4600</v>
      </c>
      <c r="D23" s="119"/>
      <c r="E23" s="119">
        <f>+C15*$B$18</f>
        <v>180</v>
      </c>
      <c r="F23" s="119">
        <f>+C23+D23-E23</f>
        <v>4420</v>
      </c>
    </row>
    <row r="25" spans="1:6" x14ac:dyDescent="0.2">
      <c r="A25" s="39" t="s">
        <v>414</v>
      </c>
    </row>
    <row r="27" spans="1:6" x14ac:dyDescent="0.2">
      <c r="A27" s="39" t="s">
        <v>415</v>
      </c>
    </row>
    <row r="29" spans="1:6" x14ac:dyDescent="0.2">
      <c r="A29" s="39" t="s">
        <v>416</v>
      </c>
      <c r="B29" s="176" t="s">
        <v>348</v>
      </c>
      <c r="C29" s="52">
        <v>0.1366</v>
      </c>
      <c r="D29" s="39" t="s">
        <v>32</v>
      </c>
    </row>
    <row r="33" spans="2:2" x14ac:dyDescent="0.2">
      <c r="B33" s="148"/>
    </row>
  </sheetData>
  <pageMargins left="0.75" right="0.75" top="1" bottom="1" header="0" footer="0"/>
  <pageSetup orientation="portrait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DCC8-65A4-4E92-B619-9D405E6CDA3F}">
  <dimension ref="A1:G36"/>
  <sheetViews>
    <sheetView workbookViewId="0">
      <selection activeCell="A14" sqref="A14"/>
    </sheetView>
  </sheetViews>
  <sheetFormatPr baseColWidth="10" defaultColWidth="11.5703125" defaultRowHeight="12.75" x14ac:dyDescent="0.2"/>
  <cols>
    <col min="1" max="1" width="11.5703125" style="39"/>
    <col min="2" max="2" width="12.28515625" style="39" bestFit="1" customWidth="1"/>
    <col min="3" max="16384" width="11.5703125" style="39"/>
  </cols>
  <sheetData>
    <row r="1" spans="1:3" ht="18" x14ac:dyDescent="0.25">
      <c r="A1" s="56" t="s">
        <v>73</v>
      </c>
    </row>
    <row r="3" spans="1:3" ht="15" x14ac:dyDescent="0.2">
      <c r="A3" s="40" t="s">
        <v>819</v>
      </c>
    </row>
    <row r="4" spans="1:3" ht="15" x14ac:dyDescent="0.2">
      <c r="A4" s="40" t="s">
        <v>820</v>
      </c>
    </row>
    <row r="5" spans="1:3" ht="15" x14ac:dyDescent="0.2">
      <c r="A5" s="40" t="s">
        <v>417</v>
      </c>
    </row>
    <row r="6" spans="1:3" ht="15" x14ac:dyDescent="0.2">
      <c r="A6" s="40" t="s">
        <v>821</v>
      </c>
    </row>
    <row r="7" spans="1:3" ht="15" x14ac:dyDescent="0.2">
      <c r="A7" s="40" t="s">
        <v>418</v>
      </c>
    </row>
    <row r="8" spans="1:3" ht="15" x14ac:dyDescent="0.2">
      <c r="A8" s="40" t="s">
        <v>419</v>
      </c>
    </row>
    <row r="10" spans="1:3" ht="15.75" x14ac:dyDescent="0.25">
      <c r="A10" s="124" t="s">
        <v>420</v>
      </c>
    </row>
    <row r="12" spans="1:3" x14ac:dyDescent="0.2">
      <c r="A12" s="39" t="s">
        <v>822</v>
      </c>
    </row>
    <row r="13" spans="1:3" x14ac:dyDescent="0.2">
      <c r="A13" s="39" t="s">
        <v>421</v>
      </c>
    </row>
    <row r="15" spans="1:3" x14ac:dyDescent="0.2">
      <c r="A15" s="39" t="s">
        <v>422</v>
      </c>
      <c r="C15" s="201">
        <f>2500*(1+1.5*0.1)</f>
        <v>2875</v>
      </c>
    </row>
    <row r="17" spans="1:7" x14ac:dyDescent="0.2">
      <c r="A17" s="39" t="s">
        <v>423</v>
      </c>
      <c r="B17" s="39" t="s">
        <v>424</v>
      </c>
    </row>
    <row r="25" spans="1:7" x14ac:dyDescent="0.2">
      <c r="F25" s="39" t="s">
        <v>425</v>
      </c>
      <c r="G25" s="39" t="s">
        <v>426</v>
      </c>
    </row>
    <row r="26" spans="1:7" x14ac:dyDescent="0.2">
      <c r="F26" s="39" t="s">
        <v>427</v>
      </c>
      <c r="G26" s="39" t="s">
        <v>428</v>
      </c>
    </row>
    <row r="28" spans="1:7" x14ac:dyDescent="0.2">
      <c r="A28" s="39" t="s">
        <v>429</v>
      </c>
    </row>
    <row r="29" spans="1:7" x14ac:dyDescent="0.2">
      <c r="A29" s="39" t="s">
        <v>430</v>
      </c>
    </row>
    <row r="30" spans="1:7" x14ac:dyDescent="0.2">
      <c r="A30" s="39" t="s">
        <v>431</v>
      </c>
    </row>
    <row r="32" spans="1:7" x14ac:dyDescent="0.2">
      <c r="A32" s="39" t="s">
        <v>432</v>
      </c>
    </row>
    <row r="34" spans="1:4" x14ac:dyDescent="0.2">
      <c r="A34" s="201">
        <f>4000*(1+6/12*0.12)</f>
        <v>4240</v>
      </c>
      <c r="B34" s="39" t="s">
        <v>433</v>
      </c>
      <c r="C34" s="39" t="s">
        <v>434</v>
      </c>
      <c r="D34" s="201">
        <f>5000/(1+4/12*0.12)</f>
        <v>4807.6923076923076</v>
      </c>
    </row>
    <row r="36" spans="1:4" x14ac:dyDescent="0.2">
      <c r="A36" s="39" t="s">
        <v>435</v>
      </c>
      <c r="B36" s="202" t="s">
        <v>436</v>
      </c>
      <c r="C36" s="203">
        <f>2875+D34-A34</f>
        <v>3442.6923076923076</v>
      </c>
    </row>
  </sheetData>
  <pageMargins left="0.75" right="0.75" top="1" bottom="1" header="0" footer="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3D36-6BE5-4178-AB86-95EF01CDE58E}">
  <dimension ref="A1:G57"/>
  <sheetViews>
    <sheetView workbookViewId="0">
      <selection activeCell="A23" sqref="A23"/>
    </sheetView>
  </sheetViews>
  <sheetFormatPr baseColWidth="10" defaultColWidth="11.5703125" defaultRowHeight="12.75" x14ac:dyDescent="0.2"/>
  <cols>
    <col min="1" max="1" width="11.5703125" style="39"/>
    <col min="2" max="2" width="12.85546875" style="39" bestFit="1" customWidth="1"/>
    <col min="3" max="16384" width="11.5703125" style="39"/>
  </cols>
  <sheetData>
    <row r="1" spans="1:7" ht="18" x14ac:dyDescent="0.25">
      <c r="A1" s="56" t="s">
        <v>74</v>
      </c>
    </row>
    <row r="3" spans="1:7" ht="15" x14ac:dyDescent="0.2">
      <c r="A3" s="40" t="s">
        <v>823</v>
      </c>
    </row>
    <row r="4" spans="1:7" ht="15" x14ac:dyDescent="0.2">
      <c r="A4" s="40" t="s">
        <v>824</v>
      </c>
    </row>
    <row r="5" spans="1:7" ht="15" x14ac:dyDescent="0.2">
      <c r="A5" s="40" t="s">
        <v>437</v>
      </c>
    </row>
    <row r="6" spans="1:7" ht="15" x14ac:dyDescent="0.2">
      <c r="A6" s="40" t="s">
        <v>438</v>
      </c>
    </row>
    <row r="8" spans="1:7" ht="15.75" x14ac:dyDescent="0.25">
      <c r="A8" s="124" t="s">
        <v>420</v>
      </c>
    </row>
    <row r="10" spans="1:7" x14ac:dyDescent="0.2">
      <c r="A10" s="39" t="s">
        <v>439</v>
      </c>
    </row>
    <row r="12" spans="1:7" x14ac:dyDescent="0.2">
      <c r="A12" s="176" t="s">
        <v>440</v>
      </c>
      <c r="B12" s="54">
        <v>50000</v>
      </c>
    </row>
    <row r="13" spans="1:7" x14ac:dyDescent="0.2">
      <c r="A13" s="176" t="s">
        <v>441</v>
      </c>
      <c r="B13" s="54">
        <v>25000</v>
      </c>
    </row>
    <row r="14" spans="1:7" x14ac:dyDescent="0.2">
      <c r="A14" s="176" t="s">
        <v>442</v>
      </c>
      <c r="B14" s="54">
        <v>30000</v>
      </c>
    </row>
    <row r="15" spans="1:7" x14ac:dyDescent="0.2">
      <c r="C15" s="204">
        <v>38472</v>
      </c>
      <c r="D15" s="204">
        <v>38503</v>
      </c>
      <c r="E15" s="204">
        <v>38533</v>
      </c>
      <c r="G15" s="204">
        <v>38717</v>
      </c>
    </row>
    <row r="17" spans="1:4" x14ac:dyDescent="0.2">
      <c r="D17" s="204">
        <v>38492</v>
      </c>
    </row>
    <row r="18" spans="1:4" x14ac:dyDescent="0.2">
      <c r="D18" s="205" t="s">
        <v>443</v>
      </c>
    </row>
    <row r="19" spans="1:4" x14ac:dyDescent="0.2">
      <c r="D19" s="204"/>
    </row>
    <row r="20" spans="1:4" x14ac:dyDescent="0.2">
      <c r="A20" s="39" t="s">
        <v>444</v>
      </c>
      <c r="D20" s="204"/>
    </row>
    <row r="21" spans="1:4" x14ac:dyDescent="0.2">
      <c r="D21" s="204"/>
    </row>
    <row r="22" spans="1:4" x14ac:dyDescent="0.2">
      <c r="A22" s="39" t="s">
        <v>825</v>
      </c>
      <c r="D22" s="204"/>
    </row>
    <row r="23" spans="1:4" x14ac:dyDescent="0.2">
      <c r="A23" s="39" t="s">
        <v>445</v>
      </c>
      <c r="D23" s="204"/>
    </row>
    <row r="24" spans="1:4" x14ac:dyDescent="0.2">
      <c r="A24" s="39" t="s">
        <v>446</v>
      </c>
      <c r="D24" s="204"/>
    </row>
    <row r="25" spans="1:4" x14ac:dyDescent="0.2">
      <c r="A25" s="39" t="s">
        <v>447</v>
      </c>
      <c r="B25" s="201">
        <f>30000*(1+20/360*10%)</f>
        <v>30166.666666666668</v>
      </c>
      <c r="D25" s="204"/>
    </row>
    <row r="26" spans="1:4" x14ac:dyDescent="0.2">
      <c r="D26" s="204"/>
    </row>
    <row r="27" spans="1:4" x14ac:dyDescent="0.2">
      <c r="A27" s="39" t="s">
        <v>448</v>
      </c>
      <c r="D27" s="204"/>
    </row>
    <row r="28" spans="1:4" x14ac:dyDescent="0.2">
      <c r="A28" s="39" t="s">
        <v>449</v>
      </c>
      <c r="D28" s="204"/>
    </row>
    <row r="29" spans="1:4" x14ac:dyDescent="0.2">
      <c r="A29" s="39" t="s">
        <v>450</v>
      </c>
      <c r="C29" s="39" t="s">
        <v>451</v>
      </c>
      <c r="D29" s="204"/>
    </row>
    <row r="30" spans="1:4" x14ac:dyDescent="0.2">
      <c r="A30" s="39" t="s">
        <v>452</v>
      </c>
      <c r="C30" s="39" t="s">
        <v>453</v>
      </c>
      <c r="D30" s="204" t="s">
        <v>52</v>
      </c>
    </row>
    <row r="31" spans="1:4" x14ac:dyDescent="0.2">
      <c r="D31" s="204"/>
    </row>
    <row r="32" spans="1:4" x14ac:dyDescent="0.2">
      <c r="A32" s="39" t="s">
        <v>454</v>
      </c>
      <c r="B32" s="201">
        <f>25000*(1-12/360*9%)</f>
        <v>24925</v>
      </c>
      <c r="D32" s="204"/>
    </row>
    <row r="33" spans="1:4" x14ac:dyDescent="0.2">
      <c r="D33" s="204"/>
    </row>
    <row r="34" spans="1:4" x14ac:dyDescent="0.2">
      <c r="A34" s="39" t="s">
        <v>455</v>
      </c>
      <c r="D34" s="204"/>
    </row>
    <row r="35" spans="1:4" x14ac:dyDescent="0.2">
      <c r="A35" s="39" t="s">
        <v>449</v>
      </c>
      <c r="D35" s="204"/>
    </row>
    <row r="36" spans="1:4" x14ac:dyDescent="0.2">
      <c r="A36" s="39" t="s">
        <v>450</v>
      </c>
      <c r="C36" s="39" t="s">
        <v>451</v>
      </c>
      <c r="D36" s="204"/>
    </row>
    <row r="37" spans="1:4" x14ac:dyDescent="0.2">
      <c r="A37" s="39" t="s">
        <v>452</v>
      </c>
      <c r="C37" s="39" t="s">
        <v>456</v>
      </c>
      <c r="D37" s="204" t="s">
        <v>52</v>
      </c>
    </row>
    <row r="38" spans="1:4" x14ac:dyDescent="0.2">
      <c r="D38" s="204"/>
    </row>
    <row r="39" spans="1:4" x14ac:dyDescent="0.2">
      <c r="A39" s="39" t="s">
        <v>457</v>
      </c>
      <c r="B39" s="201">
        <f>50000*(1-42/360*9%)</f>
        <v>49475</v>
      </c>
      <c r="D39" s="204"/>
    </row>
    <row r="40" spans="1:4" x14ac:dyDescent="0.2">
      <c r="D40" s="204"/>
    </row>
    <row r="41" spans="1:4" x14ac:dyDescent="0.2">
      <c r="A41" s="39" t="s">
        <v>458</v>
      </c>
      <c r="D41" s="204"/>
    </row>
    <row r="42" spans="1:4" x14ac:dyDescent="0.2">
      <c r="D42" s="204"/>
    </row>
    <row r="43" spans="1:4" x14ac:dyDescent="0.2">
      <c r="A43" s="39" t="s">
        <v>459</v>
      </c>
      <c r="D43" s="204"/>
    </row>
    <row r="44" spans="1:4" x14ac:dyDescent="0.2">
      <c r="A44" s="39" t="s">
        <v>436</v>
      </c>
      <c r="B44" s="206">
        <f>+B25+B32+B39</f>
        <v>104566.66666666667</v>
      </c>
      <c r="D44" s="204"/>
    </row>
    <row r="45" spans="1:4" x14ac:dyDescent="0.2">
      <c r="D45" s="204"/>
    </row>
    <row r="46" spans="1:4" x14ac:dyDescent="0.2">
      <c r="A46" s="39" t="s">
        <v>460</v>
      </c>
      <c r="D46" s="204"/>
    </row>
    <row r="47" spans="1:4" x14ac:dyDescent="0.2">
      <c r="A47" s="39" t="s">
        <v>449</v>
      </c>
      <c r="D47" s="204"/>
    </row>
    <row r="48" spans="1:4" x14ac:dyDescent="0.2">
      <c r="A48" s="39" t="s">
        <v>450</v>
      </c>
      <c r="C48" s="39" t="s">
        <v>451</v>
      </c>
      <c r="D48" s="204"/>
    </row>
    <row r="49" spans="1:4" x14ac:dyDescent="0.2">
      <c r="A49" s="39" t="s">
        <v>452</v>
      </c>
      <c r="C49" s="39" t="s">
        <v>461</v>
      </c>
      <c r="D49" s="204" t="s">
        <v>52</v>
      </c>
    </row>
    <row r="50" spans="1:4" x14ac:dyDescent="0.2">
      <c r="D50" s="204"/>
    </row>
    <row r="51" spans="1:4" x14ac:dyDescent="0.2">
      <c r="A51" s="39" t="s">
        <v>462</v>
      </c>
      <c r="D51" s="204"/>
    </row>
    <row r="52" spans="1:4" x14ac:dyDescent="0.2">
      <c r="D52" s="204"/>
    </row>
    <row r="53" spans="1:4" x14ac:dyDescent="0.2">
      <c r="A53" s="202" t="s">
        <v>463</v>
      </c>
      <c r="B53" s="207">
        <f>+B44/(1-226/369*9%)</f>
        <v>110666.83875408709</v>
      </c>
      <c r="D53" s="204"/>
    </row>
    <row r="54" spans="1:4" x14ac:dyDescent="0.2">
      <c r="D54" s="204"/>
    </row>
    <row r="55" spans="1:4" x14ac:dyDescent="0.2">
      <c r="A55" s="39" t="s">
        <v>464</v>
      </c>
      <c r="D55" s="204"/>
    </row>
    <row r="56" spans="1:4" x14ac:dyDescent="0.2">
      <c r="D56" s="204"/>
    </row>
    <row r="57" spans="1:4" x14ac:dyDescent="0.2">
      <c r="D57" s="204"/>
    </row>
  </sheetData>
  <pageMargins left="0.75" right="0.75" top="1" bottom="1" header="0" footer="0"/>
  <pageSetup orientation="portrait" verticalDpi="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3FF9-1374-4979-9084-60BB032BAE6C}">
  <sheetPr>
    <tabColor rgb="FFFFC000"/>
  </sheetPr>
  <dimension ref="A1"/>
  <sheetViews>
    <sheetView workbookViewId="0">
      <selection activeCell="E23" sqref="E23"/>
    </sheetView>
  </sheetViews>
  <sheetFormatPr baseColWidth="10" defaultColWidth="11.42578125" defaultRowHeight="12.75" x14ac:dyDescent="0.2"/>
  <cols>
    <col min="1" max="16384" width="11.42578125" style="2"/>
  </cols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D391-F203-48A5-A75D-7FBDF4E29DA5}">
  <dimension ref="A1:G54"/>
  <sheetViews>
    <sheetView zoomScale="120" zoomScaleNormal="120" workbookViewId="0">
      <pane ySplit="7" topLeftCell="A10" activePane="bottomLeft" state="frozen"/>
      <selection activeCell="E23" sqref="E23"/>
      <selection pane="bottomLeft" activeCell="E23" sqref="E23"/>
    </sheetView>
  </sheetViews>
  <sheetFormatPr baseColWidth="10" defaultRowHeight="12.75" x14ac:dyDescent="0.2"/>
  <cols>
    <col min="1" max="1" width="2.28515625" style="210" customWidth="1"/>
    <col min="2" max="2" width="33.85546875" style="210" customWidth="1"/>
    <col min="3" max="3" width="7.7109375" style="210" customWidth="1"/>
    <col min="4" max="4" width="15.42578125" style="210" customWidth="1"/>
    <col min="5" max="256" width="11.5703125" style="210"/>
    <col min="257" max="257" width="2.28515625" style="210" customWidth="1"/>
    <col min="258" max="258" width="33.85546875" style="210" customWidth="1"/>
    <col min="259" max="259" width="7.7109375" style="210" customWidth="1"/>
    <col min="260" max="260" width="15.42578125" style="210" customWidth="1"/>
    <col min="261" max="512" width="11.5703125" style="210"/>
    <col min="513" max="513" width="2.28515625" style="210" customWidth="1"/>
    <col min="514" max="514" width="33.85546875" style="210" customWidth="1"/>
    <col min="515" max="515" width="7.7109375" style="210" customWidth="1"/>
    <col min="516" max="516" width="15.42578125" style="210" customWidth="1"/>
    <col min="517" max="768" width="11.5703125" style="210"/>
    <col min="769" max="769" width="2.28515625" style="210" customWidth="1"/>
    <col min="770" max="770" width="33.85546875" style="210" customWidth="1"/>
    <col min="771" max="771" width="7.7109375" style="210" customWidth="1"/>
    <col min="772" max="772" width="15.42578125" style="210" customWidth="1"/>
    <col min="773" max="1024" width="11.5703125" style="210"/>
    <col min="1025" max="1025" width="2.28515625" style="210" customWidth="1"/>
    <col min="1026" max="1026" width="33.85546875" style="210" customWidth="1"/>
    <col min="1027" max="1027" width="7.7109375" style="210" customWidth="1"/>
    <col min="1028" max="1028" width="15.42578125" style="210" customWidth="1"/>
    <col min="1029" max="1280" width="11.5703125" style="210"/>
    <col min="1281" max="1281" width="2.28515625" style="210" customWidth="1"/>
    <col min="1282" max="1282" width="33.85546875" style="210" customWidth="1"/>
    <col min="1283" max="1283" width="7.7109375" style="210" customWidth="1"/>
    <col min="1284" max="1284" width="15.42578125" style="210" customWidth="1"/>
    <col min="1285" max="1536" width="11.5703125" style="210"/>
    <col min="1537" max="1537" width="2.28515625" style="210" customWidth="1"/>
    <col min="1538" max="1538" width="33.85546875" style="210" customWidth="1"/>
    <col min="1539" max="1539" width="7.7109375" style="210" customWidth="1"/>
    <col min="1540" max="1540" width="15.42578125" style="210" customWidth="1"/>
    <col min="1541" max="1792" width="11.5703125" style="210"/>
    <col min="1793" max="1793" width="2.28515625" style="210" customWidth="1"/>
    <col min="1794" max="1794" width="33.85546875" style="210" customWidth="1"/>
    <col min="1795" max="1795" width="7.7109375" style="210" customWidth="1"/>
    <col min="1796" max="1796" width="15.42578125" style="210" customWidth="1"/>
    <col min="1797" max="2048" width="11.5703125" style="210"/>
    <col min="2049" max="2049" width="2.28515625" style="210" customWidth="1"/>
    <col min="2050" max="2050" width="33.85546875" style="210" customWidth="1"/>
    <col min="2051" max="2051" width="7.7109375" style="210" customWidth="1"/>
    <col min="2052" max="2052" width="15.42578125" style="210" customWidth="1"/>
    <col min="2053" max="2304" width="11.5703125" style="210"/>
    <col min="2305" max="2305" width="2.28515625" style="210" customWidth="1"/>
    <col min="2306" max="2306" width="33.85546875" style="210" customWidth="1"/>
    <col min="2307" max="2307" width="7.7109375" style="210" customWidth="1"/>
    <col min="2308" max="2308" width="15.42578125" style="210" customWidth="1"/>
    <col min="2309" max="2560" width="11.5703125" style="210"/>
    <col min="2561" max="2561" width="2.28515625" style="210" customWidth="1"/>
    <col min="2562" max="2562" width="33.85546875" style="210" customWidth="1"/>
    <col min="2563" max="2563" width="7.7109375" style="210" customWidth="1"/>
    <col min="2564" max="2564" width="15.42578125" style="210" customWidth="1"/>
    <col min="2565" max="2816" width="11.5703125" style="210"/>
    <col min="2817" max="2817" width="2.28515625" style="210" customWidth="1"/>
    <col min="2818" max="2818" width="33.85546875" style="210" customWidth="1"/>
    <col min="2819" max="2819" width="7.7109375" style="210" customWidth="1"/>
    <col min="2820" max="2820" width="15.42578125" style="210" customWidth="1"/>
    <col min="2821" max="3072" width="11.5703125" style="210"/>
    <col min="3073" max="3073" width="2.28515625" style="210" customWidth="1"/>
    <col min="3074" max="3074" width="33.85546875" style="210" customWidth="1"/>
    <col min="3075" max="3075" width="7.7109375" style="210" customWidth="1"/>
    <col min="3076" max="3076" width="15.42578125" style="210" customWidth="1"/>
    <col min="3077" max="3328" width="11.5703125" style="210"/>
    <col min="3329" max="3329" width="2.28515625" style="210" customWidth="1"/>
    <col min="3330" max="3330" width="33.85546875" style="210" customWidth="1"/>
    <col min="3331" max="3331" width="7.7109375" style="210" customWidth="1"/>
    <col min="3332" max="3332" width="15.42578125" style="210" customWidth="1"/>
    <col min="3333" max="3584" width="11.5703125" style="210"/>
    <col min="3585" max="3585" width="2.28515625" style="210" customWidth="1"/>
    <col min="3586" max="3586" width="33.85546875" style="210" customWidth="1"/>
    <col min="3587" max="3587" width="7.7109375" style="210" customWidth="1"/>
    <col min="3588" max="3588" width="15.42578125" style="210" customWidth="1"/>
    <col min="3589" max="3840" width="11.5703125" style="210"/>
    <col min="3841" max="3841" width="2.28515625" style="210" customWidth="1"/>
    <col min="3842" max="3842" width="33.85546875" style="210" customWidth="1"/>
    <col min="3843" max="3843" width="7.7109375" style="210" customWidth="1"/>
    <col min="3844" max="3844" width="15.42578125" style="210" customWidth="1"/>
    <col min="3845" max="4096" width="11.5703125" style="210"/>
    <col min="4097" max="4097" width="2.28515625" style="210" customWidth="1"/>
    <col min="4098" max="4098" width="33.85546875" style="210" customWidth="1"/>
    <col min="4099" max="4099" width="7.7109375" style="210" customWidth="1"/>
    <col min="4100" max="4100" width="15.42578125" style="210" customWidth="1"/>
    <col min="4101" max="4352" width="11.5703125" style="210"/>
    <col min="4353" max="4353" width="2.28515625" style="210" customWidth="1"/>
    <col min="4354" max="4354" width="33.85546875" style="210" customWidth="1"/>
    <col min="4355" max="4355" width="7.7109375" style="210" customWidth="1"/>
    <col min="4356" max="4356" width="15.42578125" style="210" customWidth="1"/>
    <col min="4357" max="4608" width="11.5703125" style="210"/>
    <col min="4609" max="4609" width="2.28515625" style="210" customWidth="1"/>
    <col min="4610" max="4610" width="33.85546875" style="210" customWidth="1"/>
    <col min="4611" max="4611" width="7.7109375" style="210" customWidth="1"/>
    <col min="4612" max="4612" width="15.42578125" style="210" customWidth="1"/>
    <col min="4613" max="4864" width="11.5703125" style="210"/>
    <col min="4865" max="4865" width="2.28515625" style="210" customWidth="1"/>
    <col min="4866" max="4866" width="33.85546875" style="210" customWidth="1"/>
    <col min="4867" max="4867" width="7.7109375" style="210" customWidth="1"/>
    <col min="4868" max="4868" width="15.42578125" style="210" customWidth="1"/>
    <col min="4869" max="5120" width="11.5703125" style="210"/>
    <col min="5121" max="5121" width="2.28515625" style="210" customWidth="1"/>
    <col min="5122" max="5122" width="33.85546875" style="210" customWidth="1"/>
    <col min="5123" max="5123" width="7.7109375" style="210" customWidth="1"/>
    <col min="5124" max="5124" width="15.42578125" style="210" customWidth="1"/>
    <col min="5125" max="5376" width="11.5703125" style="210"/>
    <col min="5377" max="5377" width="2.28515625" style="210" customWidth="1"/>
    <col min="5378" max="5378" width="33.85546875" style="210" customWidth="1"/>
    <col min="5379" max="5379" width="7.7109375" style="210" customWidth="1"/>
    <col min="5380" max="5380" width="15.42578125" style="210" customWidth="1"/>
    <col min="5381" max="5632" width="11.5703125" style="210"/>
    <col min="5633" max="5633" width="2.28515625" style="210" customWidth="1"/>
    <col min="5634" max="5634" width="33.85546875" style="210" customWidth="1"/>
    <col min="5635" max="5635" width="7.7109375" style="210" customWidth="1"/>
    <col min="5636" max="5636" width="15.42578125" style="210" customWidth="1"/>
    <col min="5637" max="5888" width="11.5703125" style="210"/>
    <col min="5889" max="5889" width="2.28515625" style="210" customWidth="1"/>
    <col min="5890" max="5890" width="33.85546875" style="210" customWidth="1"/>
    <col min="5891" max="5891" width="7.7109375" style="210" customWidth="1"/>
    <col min="5892" max="5892" width="15.42578125" style="210" customWidth="1"/>
    <col min="5893" max="6144" width="11.5703125" style="210"/>
    <col min="6145" max="6145" width="2.28515625" style="210" customWidth="1"/>
    <col min="6146" max="6146" width="33.85546875" style="210" customWidth="1"/>
    <col min="6147" max="6147" width="7.7109375" style="210" customWidth="1"/>
    <col min="6148" max="6148" width="15.42578125" style="210" customWidth="1"/>
    <col min="6149" max="6400" width="11.5703125" style="210"/>
    <col min="6401" max="6401" width="2.28515625" style="210" customWidth="1"/>
    <col min="6402" max="6402" width="33.85546875" style="210" customWidth="1"/>
    <col min="6403" max="6403" width="7.7109375" style="210" customWidth="1"/>
    <col min="6404" max="6404" width="15.42578125" style="210" customWidth="1"/>
    <col min="6405" max="6656" width="11.5703125" style="210"/>
    <col min="6657" max="6657" width="2.28515625" style="210" customWidth="1"/>
    <col min="6658" max="6658" width="33.85546875" style="210" customWidth="1"/>
    <col min="6659" max="6659" width="7.7109375" style="210" customWidth="1"/>
    <col min="6660" max="6660" width="15.42578125" style="210" customWidth="1"/>
    <col min="6661" max="6912" width="11.5703125" style="210"/>
    <col min="6913" max="6913" width="2.28515625" style="210" customWidth="1"/>
    <col min="6914" max="6914" width="33.85546875" style="210" customWidth="1"/>
    <col min="6915" max="6915" width="7.7109375" style="210" customWidth="1"/>
    <col min="6916" max="6916" width="15.42578125" style="210" customWidth="1"/>
    <col min="6917" max="7168" width="11.5703125" style="210"/>
    <col min="7169" max="7169" width="2.28515625" style="210" customWidth="1"/>
    <col min="7170" max="7170" width="33.85546875" style="210" customWidth="1"/>
    <col min="7171" max="7171" width="7.7109375" style="210" customWidth="1"/>
    <col min="7172" max="7172" width="15.42578125" style="210" customWidth="1"/>
    <col min="7173" max="7424" width="11.5703125" style="210"/>
    <col min="7425" max="7425" width="2.28515625" style="210" customWidth="1"/>
    <col min="7426" max="7426" width="33.85546875" style="210" customWidth="1"/>
    <col min="7427" max="7427" width="7.7109375" style="210" customWidth="1"/>
    <col min="7428" max="7428" width="15.42578125" style="210" customWidth="1"/>
    <col min="7429" max="7680" width="11.5703125" style="210"/>
    <col min="7681" max="7681" width="2.28515625" style="210" customWidth="1"/>
    <col min="7682" max="7682" width="33.85546875" style="210" customWidth="1"/>
    <col min="7683" max="7683" width="7.7109375" style="210" customWidth="1"/>
    <col min="7684" max="7684" width="15.42578125" style="210" customWidth="1"/>
    <col min="7685" max="7936" width="11.5703125" style="210"/>
    <col min="7937" max="7937" width="2.28515625" style="210" customWidth="1"/>
    <col min="7938" max="7938" width="33.85546875" style="210" customWidth="1"/>
    <col min="7939" max="7939" width="7.7109375" style="210" customWidth="1"/>
    <col min="7940" max="7940" width="15.42578125" style="210" customWidth="1"/>
    <col min="7941" max="8192" width="11.5703125" style="210"/>
    <col min="8193" max="8193" width="2.28515625" style="210" customWidth="1"/>
    <col min="8194" max="8194" width="33.85546875" style="210" customWidth="1"/>
    <col min="8195" max="8195" width="7.7109375" style="210" customWidth="1"/>
    <col min="8196" max="8196" width="15.42578125" style="210" customWidth="1"/>
    <col min="8197" max="8448" width="11.5703125" style="210"/>
    <col min="8449" max="8449" width="2.28515625" style="210" customWidth="1"/>
    <col min="8450" max="8450" width="33.85546875" style="210" customWidth="1"/>
    <col min="8451" max="8451" width="7.7109375" style="210" customWidth="1"/>
    <col min="8452" max="8452" width="15.42578125" style="210" customWidth="1"/>
    <col min="8453" max="8704" width="11.5703125" style="210"/>
    <col min="8705" max="8705" width="2.28515625" style="210" customWidth="1"/>
    <col min="8706" max="8706" width="33.85546875" style="210" customWidth="1"/>
    <col min="8707" max="8707" width="7.7109375" style="210" customWidth="1"/>
    <col min="8708" max="8708" width="15.42578125" style="210" customWidth="1"/>
    <col min="8709" max="8960" width="11.5703125" style="210"/>
    <col min="8961" max="8961" width="2.28515625" style="210" customWidth="1"/>
    <col min="8962" max="8962" width="33.85546875" style="210" customWidth="1"/>
    <col min="8963" max="8963" width="7.7109375" style="210" customWidth="1"/>
    <col min="8964" max="8964" width="15.42578125" style="210" customWidth="1"/>
    <col min="8965" max="9216" width="11.5703125" style="210"/>
    <col min="9217" max="9217" width="2.28515625" style="210" customWidth="1"/>
    <col min="9218" max="9218" width="33.85546875" style="210" customWidth="1"/>
    <col min="9219" max="9219" width="7.7109375" style="210" customWidth="1"/>
    <col min="9220" max="9220" width="15.42578125" style="210" customWidth="1"/>
    <col min="9221" max="9472" width="11.5703125" style="210"/>
    <col min="9473" max="9473" width="2.28515625" style="210" customWidth="1"/>
    <col min="9474" max="9474" width="33.85546875" style="210" customWidth="1"/>
    <col min="9475" max="9475" width="7.7109375" style="210" customWidth="1"/>
    <col min="9476" max="9476" width="15.42578125" style="210" customWidth="1"/>
    <col min="9477" max="9728" width="11.5703125" style="210"/>
    <col min="9729" max="9729" width="2.28515625" style="210" customWidth="1"/>
    <col min="9730" max="9730" width="33.85546875" style="210" customWidth="1"/>
    <col min="9731" max="9731" width="7.7109375" style="210" customWidth="1"/>
    <col min="9732" max="9732" width="15.42578125" style="210" customWidth="1"/>
    <col min="9733" max="9984" width="11.5703125" style="210"/>
    <col min="9985" max="9985" width="2.28515625" style="210" customWidth="1"/>
    <col min="9986" max="9986" width="33.85546875" style="210" customWidth="1"/>
    <col min="9987" max="9987" width="7.7109375" style="210" customWidth="1"/>
    <col min="9988" max="9988" width="15.42578125" style="210" customWidth="1"/>
    <col min="9989" max="10240" width="11.5703125" style="210"/>
    <col min="10241" max="10241" width="2.28515625" style="210" customWidth="1"/>
    <col min="10242" max="10242" width="33.85546875" style="210" customWidth="1"/>
    <col min="10243" max="10243" width="7.7109375" style="210" customWidth="1"/>
    <col min="10244" max="10244" width="15.42578125" style="210" customWidth="1"/>
    <col min="10245" max="10496" width="11.5703125" style="210"/>
    <col min="10497" max="10497" width="2.28515625" style="210" customWidth="1"/>
    <col min="10498" max="10498" width="33.85546875" style="210" customWidth="1"/>
    <col min="10499" max="10499" width="7.7109375" style="210" customWidth="1"/>
    <col min="10500" max="10500" width="15.42578125" style="210" customWidth="1"/>
    <col min="10501" max="10752" width="11.5703125" style="210"/>
    <col min="10753" max="10753" width="2.28515625" style="210" customWidth="1"/>
    <col min="10754" max="10754" width="33.85546875" style="210" customWidth="1"/>
    <col min="10755" max="10755" width="7.7109375" style="210" customWidth="1"/>
    <col min="10756" max="10756" width="15.42578125" style="210" customWidth="1"/>
    <col min="10757" max="11008" width="11.5703125" style="210"/>
    <col min="11009" max="11009" width="2.28515625" style="210" customWidth="1"/>
    <col min="11010" max="11010" width="33.85546875" style="210" customWidth="1"/>
    <col min="11011" max="11011" width="7.7109375" style="210" customWidth="1"/>
    <col min="11012" max="11012" width="15.42578125" style="210" customWidth="1"/>
    <col min="11013" max="11264" width="11.5703125" style="210"/>
    <col min="11265" max="11265" width="2.28515625" style="210" customWidth="1"/>
    <col min="11266" max="11266" width="33.85546875" style="210" customWidth="1"/>
    <col min="11267" max="11267" width="7.7109375" style="210" customWidth="1"/>
    <col min="11268" max="11268" width="15.42578125" style="210" customWidth="1"/>
    <col min="11269" max="11520" width="11.5703125" style="210"/>
    <col min="11521" max="11521" width="2.28515625" style="210" customWidth="1"/>
    <col min="11522" max="11522" width="33.85546875" style="210" customWidth="1"/>
    <col min="11523" max="11523" width="7.7109375" style="210" customWidth="1"/>
    <col min="11524" max="11524" width="15.42578125" style="210" customWidth="1"/>
    <col min="11525" max="11776" width="11.5703125" style="210"/>
    <col min="11777" max="11777" width="2.28515625" style="210" customWidth="1"/>
    <col min="11778" max="11778" width="33.85546875" style="210" customWidth="1"/>
    <col min="11779" max="11779" width="7.7109375" style="210" customWidth="1"/>
    <col min="11780" max="11780" width="15.42578125" style="210" customWidth="1"/>
    <col min="11781" max="12032" width="11.5703125" style="210"/>
    <col min="12033" max="12033" width="2.28515625" style="210" customWidth="1"/>
    <col min="12034" max="12034" width="33.85546875" style="210" customWidth="1"/>
    <col min="12035" max="12035" width="7.7109375" style="210" customWidth="1"/>
    <col min="12036" max="12036" width="15.42578125" style="210" customWidth="1"/>
    <col min="12037" max="12288" width="11.5703125" style="210"/>
    <col min="12289" max="12289" width="2.28515625" style="210" customWidth="1"/>
    <col min="12290" max="12290" width="33.85546875" style="210" customWidth="1"/>
    <col min="12291" max="12291" width="7.7109375" style="210" customWidth="1"/>
    <col min="12292" max="12292" width="15.42578125" style="210" customWidth="1"/>
    <col min="12293" max="12544" width="11.5703125" style="210"/>
    <col min="12545" max="12545" width="2.28515625" style="210" customWidth="1"/>
    <col min="12546" max="12546" width="33.85546875" style="210" customWidth="1"/>
    <col min="12547" max="12547" width="7.7109375" style="210" customWidth="1"/>
    <col min="12548" max="12548" width="15.42578125" style="210" customWidth="1"/>
    <col min="12549" max="12800" width="11.5703125" style="210"/>
    <col min="12801" max="12801" width="2.28515625" style="210" customWidth="1"/>
    <col min="12802" max="12802" width="33.85546875" style="210" customWidth="1"/>
    <col min="12803" max="12803" width="7.7109375" style="210" customWidth="1"/>
    <col min="12804" max="12804" width="15.42578125" style="210" customWidth="1"/>
    <col min="12805" max="13056" width="11.5703125" style="210"/>
    <col min="13057" max="13057" width="2.28515625" style="210" customWidth="1"/>
    <col min="13058" max="13058" width="33.85546875" style="210" customWidth="1"/>
    <col min="13059" max="13059" width="7.7109375" style="210" customWidth="1"/>
    <col min="13060" max="13060" width="15.42578125" style="210" customWidth="1"/>
    <col min="13061" max="13312" width="11.5703125" style="210"/>
    <col min="13313" max="13313" width="2.28515625" style="210" customWidth="1"/>
    <col min="13314" max="13314" width="33.85546875" style="210" customWidth="1"/>
    <col min="13315" max="13315" width="7.7109375" style="210" customWidth="1"/>
    <col min="13316" max="13316" width="15.42578125" style="210" customWidth="1"/>
    <col min="13317" max="13568" width="11.5703125" style="210"/>
    <col min="13569" max="13569" width="2.28515625" style="210" customWidth="1"/>
    <col min="13570" max="13570" width="33.85546875" style="210" customWidth="1"/>
    <col min="13571" max="13571" width="7.7109375" style="210" customWidth="1"/>
    <col min="13572" max="13572" width="15.42578125" style="210" customWidth="1"/>
    <col min="13573" max="13824" width="11.5703125" style="210"/>
    <col min="13825" max="13825" width="2.28515625" style="210" customWidth="1"/>
    <col min="13826" max="13826" width="33.85546875" style="210" customWidth="1"/>
    <col min="13827" max="13827" width="7.7109375" style="210" customWidth="1"/>
    <col min="13828" max="13828" width="15.42578125" style="210" customWidth="1"/>
    <col min="13829" max="14080" width="11.5703125" style="210"/>
    <col min="14081" max="14081" width="2.28515625" style="210" customWidth="1"/>
    <col min="14082" max="14082" width="33.85546875" style="210" customWidth="1"/>
    <col min="14083" max="14083" width="7.7109375" style="210" customWidth="1"/>
    <col min="14084" max="14084" width="15.42578125" style="210" customWidth="1"/>
    <col min="14085" max="14336" width="11.5703125" style="210"/>
    <col min="14337" max="14337" width="2.28515625" style="210" customWidth="1"/>
    <col min="14338" max="14338" width="33.85546875" style="210" customWidth="1"/>
    <col min="14339" max="14339" width="7.7109375" style="210" customWidth="1"/>
    <col min="14340" max="14340" width="15.42578125" style="210" customWidth="1"/>
    <col min="14341" max="14592" width="11.5703125" style="210"/>
    <col min="14593" max="14593" width="2.28515625" style="210" customWidth="1"/>
    <col min="14594" max="14594" width="33.85546875" style="210" customWidth="1"/>
    <col min="14595" max="14595" width="7.7109375" style="210" customWidth="1"/>
    <col min="14596" max="14596" width="15.42578125" style="210" customWidth="1"/>
    <col min="14597" max="14848" width="11.5703125" style="210"/>
    <col min="14849" max="14849" width="2.28515625" style="210" customWidth="1"/>
    <col min="14850" max="14850" width="33.85546875" style="210" customWidth="1"/>
    <col min="14851" max="14851" width="7.7109375" style="210" customWidth="1"/>
    <col min="14852" max="14852" width="15.42578125" style="210" customWidth="1"/>
    <col min="14853" max="15104" width="11.5703125" style="210"/>
    <col min="15105" max="15105" width="2.28515625" style="210" customWidth="1"/>
    <col min="15106" max="15106" width="33.85546875" style="210" customWidth="1"/>
    <col min="15107" max="15107" width="7.7109375" style="210" customWidth="1"/>
    <col min="15108" max="15108" width="15.42578125" style="210" customWidth="1"/>
    <col min="15109" max="15360" width="11.5703125" style="210"/>
    <col min="15361" max="15361" width="2.28515625" style="210" customWidth="1"/>
    <col min="15362" max="15362" width="33.85546875" style="210" customWidth="1"/>
    <col min="15363" max="15363" width="7.7109375" style="210" customWidth="1"/>
    <col min="15364" max="15364" width="15.42578125" style="210" customWidth="1"/>
    <col min="15365" max="15616" width="11.5703125" style="210"/>
    <col min="15617" max="15617" width="2.28515625" style="210" customWidth="1"/>
    <col min="15618" max="15618" width="33.85546875" style="210" customWidth="1"/>
    <col min="15619" max="15619" width="7.7109375" style="210" customWidth="1"/>
    <col min="15620" max="15620" width="15.42578125" style="210" customWidth="1"/>
    <col min="15621" max="15872" width="11.5703125" style="210"/>
    <col min="15873" max="15873" width="2.28515625" style="210" customWidth="1"/>
    <col min="15874" max="15874" width="33.85546875" style="210" customWidth="1"/>
    <col min="15875" max="15875" width="7.7109375" style="210" customWidth="1"/>
    <col min="15876" max="15876" width="15.42578125" style="210" customWidth="1"/>
    <col min="15877" max="16128" width="11.5703125" style="210"/>
    <col min="16129" max="16129" width="2.28515625" style="210" customWidth="1"/>
    <col min="16130" max="16130" width="33.85546875" style="210" customWidth="1"/>
    <col min="16131" max="16131" width="7.7109375" style="210" customWidth="1"/>
    <col min="16132" max="16132" width="15.42578125" style="210" customWidth="1"/>
    <col min="16133" max="16384" width="11.5703125" style="210"/>
  </cols>
  <sheetData>
    <row r="1" spans="1:5" ht="18" x14ac:dyDescent="0.25">
      <c r="A1" s="208" t="s">
        <v>465</v>
      </c>
      <c r="B1" s="209"/>
    </row>
    <row r="2" spans="1:5" x14ac:dyDescent="0.2">
      <c r="A2" s="211"/>
    </row>
    <row r="3" spans="1:5" ht="15.75" x14ac:dyDescent="0.25">
      <c r="B3" s="212" t="s">
        <v>466</v>
      </c>
      <c r="C3" s="212"/>
      <c r="D3" s="213">
        <v>287000</v>
      </c>
    </row>
    <row r="4" spans="1:5" ht="15.75" x14ac:dyDescent="0.25">
      <c r="B4" s="212" t="s">
        <v>467</v>
      </c>
      <c r="C4" s="212"/>
      <c r="D4" s="214">
        <v>0.03</v>
      </c>
      <c r="E4" s="210" t="s">
        <v>32</v>
      </c>
    </row>
    <row r="5" spans="1:5" ht="15.75" x14ac:dyDescent="0.25">
      <c r="B5" s="212" t="s">
        <v>468</v>
      </c>
      <c r="C5" s="212"/>
      <c r="D5" s="215"/>
    </row>
    <row r="6" spans="1:5" ht="15.75" x14ac:dyDescent="0.25">
      <c r="B6" s="212" t="s">
        <v>469</v>
      </c>
      <c r="C6" s="212"/>
      <c r="D6" s="214">
        <v>0.25</v>
      </c>
    </row>
    <row r="7" spans="1:5" ht="15.75" x14ac:dyDescent="0.25">
      <c r="B7" s="212" t="s">
        <v>470</v>
      </c>
      <c r="C7" s="212"/>
      <c r="D7" s="214">
        <v>0.4</v>
      </c>
    </row>
    <row r="8" spans="1:5" ht="15.75" x14ac:dyDescent="0.25">
      <c r="B8" s="212"/>
      <c r="C8" s="212"/>
      <c r="D8" s="214"/>
    </row>
    <row r="9" spans="1:5" ht="18" x14ac:dyDescent="0.25">
      <c r="B9" s="216" t="s">
        <v>471</v>
      </c>
      <c r="C9" s="212"/>
      <c r="D9" s="214"/>
    </row>
    <row r="10" spans="1:5" ht="15.75" x14ac:dyDescent="0.25">
      <c r="B10" s="212" t="s">
        <v>472</v>
      </c>
      <c r="C10" s="212"/>
      <c r="D10" s="214">
        <v>7.0000000000000007E-2</v>
      </c>
    </row>
    <row r="11" spans="1:5" ht="15.75" x14ac:dyDescent="0.25">
      <c r="B11" s="212"/>
      <c r="C11" s="212"/>
      <c r="D11" s="214"/>
    </row>
    <row r="12" spans="1:5" x14ac:dyDescent="0.2">
      <c r="B12" s="211" t="s">
        <v>473</v>
      </c>
      <c r="C12" s="211"/>
      <c r="D12" s="217">
        <f>+D3*D10</f>
        <v>20090.000000000004</v>
      </c>
      <c r="E12" s="211" t="s">
        <v>474</v>
      </c>
    </row>
    <row r="14" spans="1:5" ht="18" x14ac:dyDescent="0.25">
      <c r="B14" s="216" t="s">
        <v>475</v>
      </c>
      <c r="C14" s="211"/>
      <c r="E14" s="218" t="s">
        <v>476</v>
      </c>
    </row>
    <row r="15" spans="1:5" ht="15.75" x14ac:dyDescent="0.25">
      <c r="B15" s="211" t="s">
        <v>477</v>
      </c>
      <c r="C15" s="211"/>
      <c r="D15" s="214">
        <v>0.1</v>
      </c>
      <c r="E15" s="215">
        <v>30</v>
      </c>
    </row>
    <row r="16" spans="1:5" ht="15.75" x14ac:dyDescent="0.25">
      <c r="D16" s="214">
        <v>0.3</v>
      </c>
      <c r="E16" s="215">
        <v>60</v>
      </c>
    </row>
    <row r="17" spans="2:5" ht="15.75" x14ac:dyDescent="0.25">
      <c r="D17" s="214">
        <v>0.25</v>
      </c>
      <c r="E17" s="215">
        <v>90</v>
      </c>
    </row>
    <row r="18" spans="2:5" ht="15.75" x14ac:dyDescent="0.25">
      <c r="D18" s="214">
        <v>0.35</v>
      </c>
      <c r="E18" s="215">
        <v>180</v>
      </c>
    </row>
    <row r="20" spans="2:5" x14ac:dyDescent="0.2">
      <c r="B20" s="218" t="s">
        <v>478</v>
      </c>
      <c r="C20" s="219"/>
      <c r="D20" s="211">
        <f>+D15*E15+D16*E16+D17*E17+D18*E18</f>
        <v>106.5</v>
      </c>
      <c r="E20" s="211" t="s">
        <v>476</v>
      </c>
    </row>
    <row r="22" spans="2:5" ht="15" x14ac:dyDescent="0.25">
      <c r="B22" s="211" t="s">
        <v>479</v>
      </c>
      <c r="C22" s="211"/>
      <c r="D22" s="220">
        <f>+(D20*D3)/360</f>
        <v>84904.166666666672</v>
      </c>
      <c r="E22" s="210" t="s">
        <v>474</v>
      </c>
    </row>
    <row r="24" spans="2:5" ht="18" x14ac:dyDescent="0.25">
      <c r="B24" s="216" t="s">
        <v>480</v>
      </c>
      <c r="C24" s="211"/>
    </row>
    <row r="25" spans="2:5" x14ac:dyDescent="0.2">
      <c r="B25" s="210" t="s">
        <v>481</v>
      </c>
      <c r="D25" s="210">
        <v>15</v>
      </c>
    </row>
    <row r="26" spans="2:5" x14ac:dyDescent="0.2">
      <c r="B26" s="210" t="s">
        <v>482</v>
      </c>
      <c r="D26" s="210">
        <v>30</v>
      </c>
    </row>
    <row r="28" spans="2:5" x14ac:dyDescent="0.2">
      <c r="B28" s="211" t="s">
        <v>483</v>
      </c>
      <c r="D28" s="221">
        <f>+(D25+D26/2)/360*(D7*D3)</f>
        <v>9566.6666666666661</v>
      </c>
      <c r="E28" s="210" t="s">
        <v>474</v>
      </c>
    </row>
    <row r="30" spans="2:5" ht="18" x14ac:dyDescent="0.25">
      <c r="B30" s="222" t="s">
        <v>484</v>
      </c>
      <c r="C30" s="223"/>
      <c r="D30" s="224"/>
    </row>
    <row r="31" spans="2:5" x14ac:dyDescent="0.2">
      <c r="B31" s="210" t="s">
        <v>485</v>
      </c>
      <c r="D31" s="210">
        <v>50</v>
      </c>
    </row>
    <row r="33" spans="1:5" x14ac:dyDescent="0.2">
      <c r="A33" s="211" t="s">
        <v>486</v>
      </c>
      <c r="D33" s="221">
        <f>+D31*((D7+D6)/2*D3)/360</f>
        <v>12954.861111111111</v>
      </c>
      <c r="E33" s="210" t="s">
        <v>474</v>
      </c>
    </row>
    <row r="35" spans="1:5" ht="18" x14ac:dyDescent="0.25">
      <c r="B35" s="222" t="s">
        <v>487</v>
      </c>
      <c r="C35" s="223"/>
      <c r="D35" s="224"/>
    </row>
    <row r="36" spans="1:5" x14ac:dyDescent="0.2">
      <c r="B36" s="210" t="s">
        <v>488</v>
      </c>
      <c r="D36" s="210">
        <v>40</v>
      </c>
    </row>
    <row r="38" spans="1:5" x14ac:dyDescent="0.2">
      <c r="A38" s="211" t="s">
        <v>489</v>
      </c>
      <c r="D38" s="221">
        <f>+D36*((D6+D7)*D3)/360</f>
        <v>20727.777777777777</v>
      </c>
      <c r="E38" s="210" t="s">
        <v>474</v>
      </c>
    </row>
    <row r="40" spans="1:5" ht="18" x14ac:dyDescent="0.25">
      <c r="B40" s="216" t="s">
        <v>490</v>
      </c>
      <c r="C40" s="211"/>
      <c r="E40" s="210" t="s">
        <v>476</v>
      </c>
    </row>
    <row r="41" spans="1:5" x14ac:dyDescent="0.2">
      <c r="B41" s="211"/>
      <c r="C41" s="211"/>
      <c r="D41" s="225">
        <v>0.6</v>
      </c>
      <c r="E41" s="211">
        <v>0</v>
      </c>
    </row>
    <row r="42" spans="1:5" x14ac:dyDescent="0.2">
      <c r="B42" s="211"/>
      <c r="C42" s="211"/>
      <c r="D42" s="225">
        <v>0.1</v>
      </c>
      <c r="E42" s="211">
        <v>30</v>
      </c>
    </row>
    <row r="43" spans="1:5" x14ac:dyDescent="0.2">
      <c r="B43" s="211"/>
      <c r="C43" s="211"/>
      <c r="D43" s="225">
        <v>0.2</v>
      </c>
      <c r="E43" s="211">
        <v>90</v>
      </c>
    </row>
    <row r="44" spans="1:5" x14ac:dyDescent="0.2">
      <c r="B44" s="211"/>
      <c r="C44" s="211"/>
      <c r="D44" s="225">
        <v>0.1</v>
      </c>
      <c r="E44" s="211">
        <v>120</v>
      </c>
    </row>
    <row r="45" spans="1:5" x14ac:dyDescent="0.2">
      <c r="B45" s="211"/>
      <c r="C45" s="211"/>
      <c r="D45" s="211"/>
      <c r="E45" s="211"/>
    </row>
    <row r="46" spans="1:5" x14ac:dyDescent="0.2">
      <c r="B46" s="211" t="s">
        <v>491</v>
      </c>
      <c r="C46" s="211"/>
      <c r="D46" s="211">
        <f>+D41*E41+D42*E42+D43*E43+D44*E44</f>
        <v>33</v>
      </c>
      <c r="E46" s="211"/>
    </row>
    <row r="48" spans="1:5" x14ac:dyDescent="0.2">
      <c r="B48" s="211" t="s">
        <v>492</v>
      </c>
      <c r="C48" s="211"/>
      <c r="D48" s="221">
        <f>+D46*(D7*D3)/360</f>
        <v>10523.333333333334</v>
      </c>
      <c r="E48" s="210" t="s">
        <v>493</v>
      </c>
    </row>
    <row r="50" spans="2:7" ht="15.75" x14ac:dyDescent="0.25">
      <c r="B50" s="226" t="s">
        <v>494</v>
      </c>
      <c r="C50" s="226"/>
      <c r="D50" s="227">
        <f>+D12+D22+D28+D33+D38-D48</f>
        <v>137720.13888888888</v>
      </c>
    </row>
    <row r="52" spans="2:7" x14ac:dyDescent="0.2">
      <c r="D52" s="211">
        <v>0</v>
      </c>
      <c r="E52" s="211">
        <v>1</v>
      </c>
      <c r="F52" s="211">
        <v>2</v>
      </c>
      <c r="G52" s="211">
        <v>3</v>
      </c>
    </row>
    <row r="53" spans="2:7" x14ac:dyDescent="0.2">
      <c r="B53" s="211" t="s">
        <v>495</v>
      </c>
      <c r="D53" s="228">
        <f>+D50</f>
        <v>137720.13888888888</v>
      </c>
      <c r="E53" s="228">
        <f>+D53*(1+$D$4)</f>
        <v>141851.74305555553</v>
      </c>
      <c r="F53" s="228">
        <f>+E53*(1+$D$4)</f>
        <v>146107.29534722221</v>
      </c>
      <c r="G53" s="228">
        <f>+F53*(1+$D$4)</f>
        <v>150490.51420763889</v>
      </c>
    </row>
    <row r="54" spans="2:7" x14ac:dyDescent="0.2">
      <c r="B54" s="210" t="s">
        <v>496</v>
      </c>
      <c r="E54" s="229">
        <f>E53-D53</f>
        <v>4131.604166666657</v>
      </c>
      <c r="F54" s="229">
        <f>F53-E53</f>
        <v>4255.5522916666814</v>
      </c>
      <c r="G54" s="229">
        <f>G53-F53</f>
        <v>4383.2188604166731</v>
      </c>
    </row>
  </sheetData>
  <pageMargins left="0.75" right="0.75" top="1" bottom="1" header="0" footer="0"/>
  <pageSetup paperSize="9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7730-7A61-4FFC-B001-15F91D25D786}">
  <dimension ref="A1:G72"/>
  <sheetViews>
    <sheetView topLeftCell="A10" zoomScale="150" zoomScaleNormal="150" workbookViewId="0">
      <selection activeCell="A7" sqref="A7"/>
    </sheetView>
  </sheetViews>
  <sheetFormatPr baseColWidth="10" defaultColWidth="11.42578125" defaultRowHeight="12.75" x14ac:dyDescent="0.2"/>
  <cols>
    <col min="1" max="16384" width="11.42578125" style="210"/>
  </cols>
  <sheetData>
    <row r="1" spans="1:7" x14ac:dyDescent="0.2">
      <c r="A1" s="211" t="s">
        <v>497</v>
      </c>
    </row>
    <row r="2" spans="1:7" x14ac:dyDescent="0.2">
      <c r="A2" s="211" t="s">
        <v>498</v>
      </c>
    </row>
    <row r="4" spans="1:7" x14ac:dyDescent="0.2">
      <c r="A4" s="211" t="s">
        <v>499</v>
      </c>
    </row>
    <row r="5" spans="1:7" x14ac:dyDescent="0.2">
      <c r="A5" s="210" t="s">
        <v>500</v>
      </c>
      <c r="C5" s="230">
        <v>120000</v>
      </c>
      <c r="D5" s="210" t="s">
        <v>501</v>
      </c>
    </row>
    <row r="6" spans="1:7" x14ac:dyDescent="0.2">
      <c r="A6" s="210" t="s">
        <v>826</v>
      </c>
      <c r="C6" s="210">
        <v>35</v>
      </c>
    </row>
    <row r="7" spans="1:7" x14ac:dyDescent="0.2">
      <c r="A7" s="210" t="s">
        <v>502</v>
      </c>
      <c r="E7" s="210">
        <v>15</v>
      </c>
      <c r="F7" s="210" t="s">
        <v>476</v>
      </c>
      <c r="G7" s="210" t="s">
        <v>503</v>
      </c>
    </row>
    <row r="8" spans="1:7" x14ac:dyDescent="0.2">
      <c r="A8" s="210" t="s">
        <v>504</v>
      </c>
      <c r="C8" s="210">
        <v>10</v>
      </c>
      <c r="D8" s="210" t="s">
        <v>476</v>
      </c>
    </row>
    <row r="9" spans="1:7" x14ac:dyDescent="0.2">
      <c r="A9" s="210" t="s">
        <v>505</v>
      </c>
      <c r="C9" s="210">
        <v>15</v>
      </c>
      <c r="D9" s="210" t="s">
        <v>476</v>
      </c>
      <c r="E9" s="210" t="s">
        <v>506</v>
      </c>
      <c r="F9" s="210">
        <v>60</v>
      </c>
      <c r="G9" s="210" t="s">
        <v>476</v>
      </c>
    </row>
    <row r="10" spans="1:7" x14ac:dyDescent="0.2">
      <c r="A10" s="210" t="s">
        <v>507</v>
      </c>
      <c r="B10" s="210">
        <v>30</v>
      </c>
      <c r="C10" s="210" t="s">
        <v>508</v>
      </c>
    </row>
    <row r="11" spans="1:7" x14ac:dyDescent="0.2">
      <c r="B11" s="231">
        <v>0.3</v>
      </c>
      <c r="C11" s="210" t="s">
        <v>509</v>
      </c>
      <c r="D11" s="210">
        <v>60</v>
      </c>
      <c r="E11" s="210" t="s">
        <v>476</v>
      </c>
    </row>
    <row r="12" spans="1:7" x14ac:dyDescent="0.2">
      <c r="B12" s="231">
        <v>0.4</v>
      </c>
      <c r="C12" s="210" t="s">
        <v>509</v>
      </c>
      <c r="D12" s="210">
        <v>90</v>
      </c>
      <c r="E12" s="210" t="s">
        <v>476</v>
      </c>
    </row>
    <row r="13" spans="1:7" x14ac:dyDescent="0.2">
      <c r="A13" s="210" t="s">
        <v>510</v>
      </c>
    </row>
    <row r="14" spans="1:7" x14ac:dyDescent="0.2">
      <c r="A14" s="210" t="s">
        <v>304</v>
      </c>
      <c r="C14" s="210" t="s">
        <v>511</v>
      </c>
      <c r="D14" s="210" t="s">
        <v>512</v>
      </c>
      <c r="E14" s="210" t="s">
        <v>513</v>
      </c>
      <c r="F14" s="210" t="s">
        <v>514</v>
      </c>
    </row>
    <row r="15" spans="1:7" x14ac:dyDescent="0.2">
      <c r="A15" s="210" t="s">
        <v>515</v>
      </c>
      <c r="C15" s="210" t="s">
        <v>516</v>
      </c>
      <c r="D15" s="210">
        <v>10</v>
      </c>
      <c r="E15" s="232">
        <v>1.2</v>
      </c>
      <c r="F15" s="210">
        <f>D15*E15</f>
        <v>12</v>
      </c>
    </row>
    <row r="16" spans="1:7" x14ac:dyDescent="0.2">
      <c r="A16" s="210" t="s">
        <v>517</v>
      </c>
      <c r="C16" s="210" t="s">
        <v>518</v>
      </c>
      <c r="D16" s="210">
        <v>20</v>
      </c>
      <c r="E16" s="232">
        <v>0.55000000000000004</v>
      </c>
      <c r="F16" s="210">
        <f>D16*E16</f>
        <v>11</v>
      </c>
    </row>
    <row r="17" spans="1:6" x14ac:dyDescent="0.2">
      <c r="C17" s="210" t="s">
        <v>305</v>
      </c>
      <c r="E17" s="232"/>
      <c r="F17" s="210">
        <f>SUM(F15:F16)</f>
        <v>23</v>
      </c>
    </row>
    <row r="19" spans="1:6" x14ac:dyDescent="0.2">
      <c r="A19" s="211" t="s">
        <v>519</v>
      </c>
    </row>
    <row r="20" spans="1:6" x14ac:dyDescent="0.2">
      <c r="A20" s="210" t="s">
        <v>520</v>
      </c>
    </row>
    <row r="21" spans="1:6" x14ac:dyDescent="0.2">
      <c r="B21" s="210" t="s">
        <v>521</v>
      </c>
      <c r="C21" s="233">
        <f>C5</f>
        <v>120000</v>
      </c>
    </row>
    <row r="22" spans="1:6" x14ac:dyDescent="0.2">
      <c r="B22" s="210" t="s">
        <v>522</v>
      </c>
      <c r="C22" s="233">
        <f>C21/365*E7</f>
        <v>4931.5068493150684</v>
      </c>
    </row>
    <row r="23" spans="1:6" x14ac:dyDescent="0.2">
      <c r="B23" s="210" t="s">
        <v>305</v>
      </c>
      <c r="C23" s="233">
        <f>SUM(C21:C22)</f>
        <v>124931.50684931508</v>
      </c>
    </row>
    <row r="25" spans="1:6" x14ac:dyDescent="0.2">
      <c r="A25" s="210" t="s">
        <v>523</v>
      </c>
      <c r="C25" s="233">
        <f>D15*E15*C23</f>
        <v>1499178.0821917809</v>
      </c>
      <c r="D25" s="210" t="s">
        <v>524</v>
      </c>
    </row>
    <row r="26" spans="1:6" x14ac:dyDescent="0.2">
      <c r="A26" s="210" t="s">
        <v>525</v>
      </c>
      <c r="C26" s="233">
        <f>C25/365</f>
        <v>4107.3372114843314</v>
      </c>
      <c r="D26" s="210" t="s">
        <v>526</v>
      </c>
    </row>
    <row r="27" spans="1:6" x14ac:dyDescent="0.2">
      <c r="A27" s="223" t="s">
        <v>527</v>
      </c>
      <c r="B27" s="223"/>
      <c r="C27" s="234">
        <f>C26*C9</f>
        <v>61610.058172264973</v>
      </c>
      <c r="D27" s="210" t="s">
        <v>528</v>
      </c>
    </row>
    <row r="29" spans="1:6" x14ac:dyDescent="0.2">
      <c r="A29" s="211" t="s">
        <v>529</v>
      </c>
    </row>
    <row r="30" spans="1:6" x14ac:dyDescent="0.2">
      <c r="A30" s="210" t="s">
        <v>530</v>
      </c>
      <c r="E30" s="233">
        <f>F17*C23</f>
        <v>2873424.6575342468</v>
      </c>
    </row>
    <row r="31" spans="1:6" x14ac:dyDescent="0.2">
      <c r="A31" s="210" t="s">
        <v>531</v>
      </c>
      <c r="E31" s="233">
        <f>E30/365</f>
        <v>7872.3963220116348</v>
      </c>
    </row>
    <row r="32" spans="1:6" x14ac:dyDescent="0.2">
      <c r="A32" s="223" t="s">
        <v>532</v>
      </c>
      <c r="B32" s="224"/>
      <c r="C32" s="224"/>
      <c r="D32" s="224"/>
      <c r="E32" s="234">
        <f>E31*C8</f>
        <v>78723.963220116348</v>
      </c>
    </row>
    <row r="34" spans="1:5" x14ac:dyDescent="0.2">
      <c r="A34" s="211" t="s">
        <v>533</v>
      </c>
    </row>
    <row r="35" spans="1:5" x14ac:dyDescent="0.2">
      <c r="A35" s="210" t="s">
        <v>534</v>
      </c>
      <c r="E35" s="233">
        <f>F17*C5</f>
        <v>2760000</v>
      </c>
    </row>
    <row r="36" spans="1:5" x14ac:dyDescent="0.2">
      <c r="A36" s="210" t="s">
        <v>535</v>
      </c>
      <c r="E36" s="233">
        <f>E35/365</f>
        <v>7561.6438356164381</v>
      </c>
    </row>
    <row r="37" spans="1:5" x14ac:dyDescent="0.2">
      <c r="A37" s="223" t="s">
        <v>536</v>
      </c>
      <c r="B37" s="223"/>
      <c r="C37" s="223"/>
      <c r="D37" s="223"/>
      <c r="E37" s="234">
        <f>E36*E7</f>
        <v>113424.65753424657</v>
      </c>
    </row>
    <row r="39" spans="1:5" x14ac:dyDescent="0.2">
      <c r="A39" s="211" t="s">
        <v>537</v>
      </c>
    </row>
    <row r="40" spans="1:5" x14ac:dyDescent="0.2">
      <c r="A40" s="210" t="s">
        <v>538</v>
      </c>
      <c r="E40" s="233">
        <f>C5*C6</f>
        <v>4200000</v>
      </c>
    </row>
    <row r="41" spans="1:5" x14ac:dyDescent="0.2">
      <c r="A41" s="210" t="s">
        <v>539</v>
      </c>
      <c r="E41" s="233">
        <f>E40/365</f>
        <v>11506.849315068494</v>
      </c>
    </row>
    <row r="42" spans="1:5" x14ac:dyDescent="0.2">
      <c r="A42" s="210" t="s">
        <v>540</v>
      </c>
      <c r="E42" s="233"/>
    </row>
    <row r="43" spans="1:5" x14ac:dyDescent="0.2">
      <c r="C43" s="210" t="s">
        <v>541</v>
      </c>
      <c r="D43" s="210" t="s">
        <v>542</v>
      </c>
      <c r="E43" s="233" t="s">
        <v>543</v>
      </c>
    </row>
    <row r="44" spans="1:5" x14ac:dyDescent="0.2">
      <c r="C44" s="231">
        <v>0.3</v>
      </c>
      <c r="D44" s="210">
        <v>0</v>
      </c>
      <c r="E44" s="233">
        <f>C44*D44</f>
        <v>0</v>
      </c>
    </row>
    <row r="45" spans="1:5" x14ac:dyDescent="0.2">
      <c r="C45" s="231">
        <v>0.3</v>
      </c>
      <c r="D45" s="210">
        <v>60</v>
      </c>
      <c r="E45" s="233">
        <f>C45*D45</f>
        <v>18</v>
      </c>
    </row>
    <row r="46" spans="1:5" x14ac:dyDescent="0.2">
      <c r="C46" s="231">
        <v>0.4</v>
      </c>
      <c r="D46" s="210">
        <v>90</v>
      </c>
      <c r="E46" s="233">
        <f>C46*D46</f>
        <v>36</v>
      </c>
    </row>
    <row r="47" spans="1:5" x14ac:dyDescent="0.2">
      <c r="D47" s="210" t="s">
        <v>478</v>
      </c>
      <c r="E47" s="235">
        <f>SUM(E44:E46)</f>
        <v>54</v>
      </c>
    </row>
    <row r="48" spans="1:5" x14ac:dyDescent="0.2">
      <c r="A48" s="223" t="s">
        <v>544</v>
      </c>
      <c r="B48" s="223"/>
      <c r="C48" s="234">
        <f>E41*E47</f>
        <v>621369.8630136986</v>
      </c>
    </row>
    <row r="50" spans="1:4" x14ac:dyDescent="0.2">
      <c r="A50" s="211" t="s">
        <v>545</v>
      </c>
    </row>
    <row r="51" spans="1:4" x14ac:dyDescent="0.2">
      <c r="A51" s="210" t="s">
        <v>546</v>
      </c>
    </row>
    <row r="52" spans="1:4" x14ac:dyDescent="0.2">
      <c r="B52" s="210" t="s">
        <v>547</v>
      </c>
      <c r="D52" s="233">
        <f>C23*F15</f>
        <v>1499178.0821917809</v>
      </c>
    </row>
    <row r="53" spans="1:4" x14ac:dyDescent="0.2">
      <c r="B53" s="210" t="s">
        <v>522</v>
      </c>
      <c r="D53" s="233">
        <f>C27</f>
        <v>61610.058172264973</v>
      </c>
    </row>
    <row r="54" spans="1:4" x14ac:dyDescent="0.2">
      <c r="C54" s="210" t="s">
        <v>305</v>
      </c>
      <c r="D54" s="233">
        <f>SUM(D52:D53)</f>
        <v>1560788.140364046</v>
      </c>
    </row>
    <row r="55" spans="1:4" x14ac:dyDescent="0.2">
      <c r="B55" s="210" t="s">
        <v>548</v>
      </c>
      <c r="D55" s="233">
        <f>D54/365</f>
        <v>4276.1318914083449</v>
      </c>
    </row>
    <row r="57" spans="1:4" x14ac:dyDescent="0.2">
      <c r="B57" s="223" t="s">
        <v>549</v>
      </c>
      <c r="C57" s="223"/>
      <c r="D57" s="234">
        <f>D55*F9</f>
        <v>256567.91348450069</v>
      </c>
    </row>
    <row r="58" spans="1:4" x14ac:dyDescent="0.2">
      <c r="D58" s="233"/>
    </row>
    <row r="59" spans="1:4" x14ac:dyDescent="0.2">
      <c r="A59" s="211" t="s">
        <v>550</v>
      </c>
    </row>
    <row r="61" spans="1:4" x14ac:dyDescent="0.2">
      <c r="A61" s="211" t="s">
        <v>551</v>
      </c>
    </row>
    <row r="62" spans="1:4" x14ac:dyDescent="0.2">
      <c r="B62" s="210" t="s">
        <v>470</v>
      </c>
      <c r="D62" s="233">
        <f>C27</f>
        <v>61610.058172264973</v>
      </c>
    </row>
    <row r="63" spans="1:4" x14ac:dyDescent="0.2">
      <c r="B63" s="210" t="s">
        <v>552</v>
      </c>
      <c r="D63" s="233">
        <f>E32</f>
        <v>78723.963220116348</v>
      </c>
    </row>
    <row r="64" spans="1:4" x14ac:dyDescent="0.2">
      <c r="B64" s="210" t="s">
        <v>553</v>
      </c>
      <c r="D64" s="233">
        <f>E37</f>
        <v>113424.65753424657</v>
      </c>
    </row>
    <row r="65" spans="1:4" x14ac:dyDescent="0.2">
      <c r="B65" s="210" t="s">
        <v>554</v>
      </c>
      <c r="D65" s="233">
        <f>C48</f>
        <v>621369.8630136986</v>
      </c>
    </row>
    <row r="66" spans="1:4" x14ac:dyDescent="0.2">
      <c r="A66" s="211" t="s">
        <v>555</v>
      </c>
      <c r="D66" s="235">
        <f>SUM(D62:D65)</f>
        <v>875128.54194032645</v>
      </c>
    </row>
    <row r="68" spans="1:4" x14ac:dyDescent="0.2">
      <c r="A68" s="211" t="s">
        <v>556</v>
      </c>
    </row>
    <row r="69" spans="1:4" x14ac:dyDescent="0.2">
      <c r="B69" s="210" t="s">
        <v>557</v>
      </c>
      <c r="D69" s="233">
        <f>D57</f>
        <v>256567.91348450069</v>
      </c>
    </row>
    <row r="70" spans="1:4" x14ac:dyDescent="0.2">
      <c r="A70" s="211" t="s">
        <v>558</v>
      </c>
      <c r="D70" s="235">
        <f>D69</f>
        <v>256567.91348450069</v>
      </c>
    </row>
    <row r="72" spans="1:4" x14ac:dyDescent="0.2">
      <c r="A72" s="223" t="s">
        <v>559</v>
      </c>
      <c r="B72" s="224"/>
      <c r="C72" s="224"/>
      <c r="D72" s="234">
        <f>D66-D70</f>
        <v>618560.62845582573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C952-2284-4C5F-A643-DAA725AF8359}">
  <dimension ref="A1:I58"/>
  <sheetViews>
    <sheetView zoomScale="120" zoomScaleNormal="120" workbookViewId="0">
      <selection activeCell="A22" sqref="A22:E23"/>
    </sheetView>
  </sheetViews>
  <sheetFormatPr baseColWidth="10" defaultColWidth="11.42578125" defaultRowHeight="12.75" x14ac:dyDescent="0.2"/>
  <cols>
    <col min="1" max="16384" width="11.42578125" style="210"/>
  </cols>
  <sheetData>
    <row r="1" spans="1:9" x14ac:dyDescent="0.2">
      <c r="A1" s="211" t="s">
        <v>560</v>
      </c>
    </row>
    <row r="2" spans="1:9" ht="13.5" thickBot="1" x14ac:dyDescent="0.25">
      <c r="A2" s="236"/>
      <c r="B2" s="236"/>
      <c r="C2" s="236"/>
      <c r="D2" s="236"/>
      <c r="E2" s="236"/>
      <c r="F2" s="236"/>
      <c r="G2" s="236"/>
      <c r="H2" s="236"/>
      <c r="I2" s="236"/>
    </row>
    <row r="3" spans="1:9" x14ac:dyDescent="0.2">
      <c r="A3" s="423" t="s">
        <v>561</v>
      </c>
      <c r="B3" s="424"/>
      <c r="C3" s="424"/>
      <c r="D3" s="424"/>
      <c r="E3" s="424"/>
      <c r="F3" s="424"/>
      <c r="G3" s="425"/>
      <c r="H3" s="236"/>
      <c r="I3" s="236"/>
    </row>
    <row r="4" spans="1:9" ht="13.5" thickBot="1" x14ac:dyDescent="0.25">
      <c r="A4" s="426"/>
      <c r="B4" s="427"/>
      <c r="C4" s="427"/>
      <c r="D4" s="427"/>
      <c r="E4" s="427"/>
      <c r="F4" s="427"/>
      <c r="G4" s="428"/>
      <c r="H4" s="236"/>
      <c r="I4" s="236"/>
    </row>
    <row r="5" spans="1:9" ht="13.5" thickBot="1" x14ac:dyDescent="0.25">
      <c r="A5" s="236"/>
      <c r="B5" s="236"/>
      <c r="C5" s="236"/>
      <c r="D5" s="236"/>
      <c r="E5" s="236"/>
      <c r="F5" s="236"/>
      <c r="G5" s="236"/>
      <c r="H5" s="236"/>
      <c r="I5" s="236"/>
    </row>
    <row r="6" spans="1:9" x14ac:dyDescent="0.2">
      <c r="A6" s="429" t="s">
        <v>562</v>
      </c>
      <c r="B6" s="430"/>
      <c r="C6" s="430"/>
      <c r="D6" s="430"/>
      <c r="E6" s="430"/>
      <c r="F6" s="430"/>
      <c r="G6" s="431"/>
      <c r="H6" s="236"/>
      <c r="I6" s="236"/>
    </row>
    <row r="7" spans="1:9" x14ac:dyDescent="0.2">
      <c r="A7" s="432"/>
      <c r="B7" s="433"/>
      <c r="C7" s="433"/>
      <c r="D7" s="433"/>
      <c r="E7" s="433"/>
      <c r="F7" s="433"/>
      <c r="G7" s="434"/>
      <c r="H7" s="236"/>
      <c r="I7" s="236"/>
    </row>
    <row r="8" spans="1:9" ht="13.5" thickBot="1" x14ac:dyDescent="0.25">
      <c r="A8" s="435"/>
      <c r="B8" s="436"/>
      <c r="C8" s="436"/>
      <c r="D8" s="436"/>
      <c r="E8" s="436"/>
      <c r="F8" s="436"/>
      <c r="G8" s="437"/>
      <c r="H8" s="236"/>
      <c r="I8" s="236"/>
    </row>
    <row r="9" spans="1:9" x14ac:dyDescent="0.2">
      <c r="A9" s="236"/>
      <c r="B9" s="236"/>
      <c r="C9" s="236"/>
      <c r="D9" s="236"/>
      <c r="E9" s="236"/>
      <c r="F9" s="236"/>
      <c r="G9" s="236"/>
      <c r="H9" s="236"/>
      <c r="I9" s="236"/>
    </row>
    <row r="10" spans="1:9" x14ac:dyDescent="0.2">
      <c r="A10" s="438" t="s">
        <v>563</v>
      </c>
      <c r="B10" s="438"/>
      <c r="C10" s="438"/>
      <c r="D10" s="438"/>
      <c r="E10" s="438"/>
      <c r="F10" s="438"/>
      <c r="G10" s="438"/>
      <c r="H10" s="236"/>
      <c r="I10" s="236"/>
    </row>
    <row r="11" spans="1:9" x14ac:dyDescent="0.2">
      <c r="A11" s="438"/>
      <c r="B11" s="438"/>
      <c r="C11" s="438"/>
      <c r="D11" s="438"/>
      <c r="E11" s="438"/>
      <c r="F11" s="438"/>
      <c r="G11" s="438"/>
      <c r="H11" s="236"/>
      <c r="I11" s="236"/>
    </row>
    <row r="12" spans="1:9" x14ac:dyDescent="0.2">
      <c r="A12" s="438"/>
      <c r="B12" s="438"/>
      <c r="C12" s="438"/>
      <c r="D12" s="438"/>
      <c r="E12" s="438"/>
      <c r="F12" s="438"/>
      <c r="G12" s="438"/>
      <c r="H12" s="236"/>
      <c r="I12" s="236"/>
    </row>
    <row r="13" spans="1:9" ht="13.5" thickBot="1" x14ac:dyDescent="0.25">
      <c r="A13" s="236"/>
      <c r="B13" s="236"/>
      <c r="C13" s="236"/>
      <c r="D13" s="236"/>
      <c r="E13" s="236"/>
      <c r="F13" s="236"/>
      <c r="G13" s="236"/>
      <c r="H13" s="236"/>
      <c r="I13" s="236"/>
    </row>
    <row r="14" spans="1:9" ht="13.5" thickBot="1" x14ac:dyDescent="0.25">
      <c r="A14" s="413" t="s">
        <v>564</v>
      </c>
      <c r="B14" s="414"/>
      <c r="C14" s="414"/>
      <c r="D14" s="415"/>
      <c r="E14" s="237">
        <v>2000000</v>
      </c>
      <c r="F14" s="236"/>
      <c r="G14" s="236"/>
      <c r="H14" s="236"/>
      <c r="I14" s="236"/>
    </row>
    <row r="15" spans="1:9" ht="13.5" thickBot="1" x14ac:dyDescent="0.25">
      <c r="A15" s="413" t="s">
        <v>565</v>
      </c>
      <c r="B15" s="414"/>
      <c r="C15" s="414"/>
      <c r="D15" s="415"/>
      <c r="E15" s="237">
        <v>460000</v>
      </c>
      <c r="F15" s="238" t="s">
        <v>566</v>
      </c>
      <c r="G15" s="236"/>
      <c r="H15" s="236"/>
      <c r="I15" s="236"/>
    </row>
    <row r="16" spans="1:9" ht="13.5" thickBot="1" x14ac:dyDescent="0.25">
      <c r="A16" s="413" t="s">
        <v>567</v>
      </c>
      <c r="B16" s="414"/>
      <c r="C16" s="414"/>
      <c r="D16" s="415"/>
      <c r="E16" s="237">
        <v>165000</v>
      </c>
      <c r="F16" s="236"/>
      <c r="G16" s="236"/>
      <c r="H16" s="236"/>
      <c r="I16" s="236"/>
    </row>
    <row r="17" spans="1:9" ht="13.5" thickBot="1" x14ac:dyDescent="0.25">
      <c r="A17" s="413" t="s">
        <v>568</v>
      </c>
      <c r="B17" s="414"/>
      <c r="C17" s="414"/>
      <c r="D17" s="415"/>
      <c r="E17" s="237">
        <v>80000</v>
      </c>
      <c r="F17" s="236"/>
      <c r="G17" s="236"/>
      <c r="H17" s="236"/>
      <c r="I17" s="236"/>
    </row>
    <row r="18" spans="1:9" x14ac:dyDescent="0.2">
      <c r="A18" s="236"/>
      <c r="B18" s="236"/>
      <c r="C18" s="236"/>
      <c r="D18" s="236"/>
      <c r="E18" s="236"/>
      <c r="F18" s="236"/>
      <c r="G18" s="236"/>
      <c r="H18" s="236"/>
      <c r="I18" s="236"/>
    </row>
    <row r="19" spans="1:9" ht="13.5" thickBot="1" x14ac:dyDescent="0.25">
      <c r="A19" s="236"/>
      <c r="B19" s="236"/>
      <c r="C19" s="236"/>
      <c r="D19" s="236"/>
      <c r="E19" s="236"/>
      <c r="F19" s="236"/>
      <c r="G19" s="236"/>
      <c r="H19" s="236"/>
      <c r="I19" s="236"/>
    </row>
    <row r="20" spans="1:9" x14ac:dyDescent="0.2">
      <c r="A20" s="416" t="s">
        <v>569</v>
      </c>
      <c r="B20" s="417"/>
      <c r="C20" s="417"/>
      <c r="D20" s="417"/>
      <c r="E20" s="417"/>
      <c r="F20" s="417"/>
      <c r="G20" s="417"/>
      <c r="H20" s="418"/>
      <c r="I20" s="236"/>
    </row>
    <row r="21" spans="1:9" ht="13.5" thickBot="1" x14ac:dyDescent="0.25">
      <c r="A21" s="419"/>
      <c r="B21" s="420"/>
      <c r="C21" s="420"/>
      <c r="D21" s="420"/>
      <c r="E21" s="420"/>
      <c r="F21" s="420"/>
      <c r="G21" s="420"/>
      <c r="H21" s="421"/>
      <c r="I21" s="236"/>
    </row>
    <row r="22" spans="1:9" x14ac:dyDescent="0.2">
      <c r="A22" s="401" t="s">
        <v>570</v>
      </c>
      <c r="B22" s="402"/>
      <c r="C22" s="402"/>
      <c r="D22" s="402"/>
      <c r="E22" s="403"/>
      <c r="F22" s="383">
        <v>150.29655172413794</v>
      </c>
      <c r="G22" s="385" t="s">
        <v>476</v>
      </c>
      <c r="H22" s="386"/>
      <c r="I22" s="236"/>
    </row>
    <row r="23" spans="1:9" ht="13.5" thickBot="1" x14ac:dyDescent="0.25">
      <c r="A23" s="404"/>
      <c r="B23" s="405"/>
      <c r="C23" s="405"/>
      <c r="D23" s="405"/>
      <c r="E23" s="406"/>
      <c r="F23" s="384"/>
      <c r="G23" s="387"/>
      <c r="H23" s="388"/>
      <c r="I23" s="236"/>
    </row>
    <row r="24" spans="1:9" x14ac:dyDescent="0.2">
      <c r="A24" s="236"/>
      <c r="B24" s="236"/>
      <c r="C24" s="236"/>
      <c r="D24" s="236"/>
      <c r="E24" s="236"/>
      <c r="F24" s="236"/>
      <c r="G24" s="236"/>
      <c r="H24" s="236"/>
      <c r="I24" s="236"/>
    </row>
    <row r="25" spans="1:9" ht="13.5" thickBot="1" x14ac:dyDescent="0.25">
      <c r="A25" s="236"/>
      <c r="B25" s="236"/>
      <c r="C25" s="236"/>
      <c r="D25" s="236"/>
      <c r="E25" s="236"/>
      <c r="F25" s="236"/>
      <c r="G25" s="236"/>
      <c r="H25" s="236"/>
      <c r="I25" s="236"/>
    </row>
    <row r="26" spans="1:9" x14ac:dyDescent="0.2">
      <c r="A26" s="422" t="s">
        <v>571</v>
      </c>
      <c r="B26" s="417"/>
      <c r="C26" s="417"/>
      <c r="D26" s="417"/>
      <c r="E26" s="417"/>
      <c r="F26" s="417"/>
      <c r="G26" s="417"/>
      <c r="H26" s="418"/>
      <c r="I26" s="236"/>
    </row>
    <row r="27" spans="1:9" ht="13.5" thickBot="1" x14ac:dyDescent="0.25">
      <c r="A27" s="419"/>
      <c r="B27" s="420"/>
      <c r="C27" s="420"/>
      <c r="D27" s="420"/>
      <c r="E27" s="420"/>
      <c r="F27" s="420"/>
      <c r="G27" s="420"/>
      <c r="H27" s="421"/>
      <c r="I27" s="236"/>
    </row>
    <row r="28" spans="1:9" x14ac:dyDescent="0.2">
      <c r="A28" s="401" t="s">
        <v>572</v>
      </c>
      <c r="B28" s="402"/>
      <c r="C28" s="402"/>
      <c r="D28" s="402"/>
      <c r="E28" s="403"/>
      <c r="F28" s="383">
        <f>+E16*360/E14</f>
        <v>29.7</v>
      </c>
      <c r="G28" s="385" t="s">
        <v>476</v>
      </c>
      <c r="H28" s="386"/>
      <c r="I28" s="236"/>
    </row>
    <row r="29" spans="1:9" ht="13.5" thickBot="1" x14ac:dyDescent="0.25">
      <c r="A29" s="404"/>
      <c r="B29" s="405"/>
      <c r="C29" s="405"/>
      <c r="D29" s="405"/>
      <c r="E29" s="406"/>
      <c r="F29" s="384"/>
      <c r="G29" s="387"/>
      <c r="H29" s="388"/>
      <c r="I29" s="236"/>
    </row>
    <row r="30" spans="1:9" ht="13.5" thickBot="1" x14ac:dyDescent="0.25">
      <c r="A30" s="236"/>
      <c r="B30" s="236"/>
      <c r="C30" s="236"/>
      <c r="D30" s="236"/>
      <c r="E30" s="236"/>
      <c r="F30" s="236"/>
      <c r="G30" s="236"/>
      <c r="H30" s="236"/>
      <c r="I30" s="236"/>
    </row>
    <row r="31" spans="1:9" x14ac:dyDescent="0.2">
      <c r="A31" s="407" t="s">
        <v>573</v>
      </c>
      <c r="B31" s="408"/>
      <c r="C31" s="408"/>
      <c r="D31" s="408"/>
      <c r="E31" s="408"/>
      <c r="F31" s="408"/>
      <c r="G31" s="408"/>
      <c r="H31" s="409"/>
      <c r="I31" s="236"/>
    </row>
    <row r="32" spans="1:9" ht="13.5" thickBot="1" x14ac:dyDescent="0.25">
      <c r="A32" s="410"/>
      <c r="B32" s="411"/>
      <c r="C32" s="411"/>
      <c r="D32" s="411"/>
      <c r="E32" s="411"/>
      <c r="F32" s="411"/>
      <c r="G32" s="411"/>
      <c r="H32" s="412"/>
      <c r="I32" s="236"/>
    </row>
    <row r="33" spans="1:9" x14ac:dyDescent="0.2">
      <c r="A33" s="377" t="s">
        <v>574</v>
      </c>
      <c r="B33" s="378"/>
      <c r="C33" s="378"/>
      <c r="D33" s="378"/>
      <c r="E33" s="379"/>
      <c r="F33" s="383">
        <f>+E17*360/E15</f>
        <v>62.608695652173914</v>
      </c>
      <c r="G33" s="385" t="s">
        <v>476</v>
      </c>
      <c r="H33" s="386"/>
      <c r="I33" s="236"/>
    </row>
    <row r="34" spans="1:9" ht="13.5" thickBot="1" x14ac:dyDescent="0.25">
      <c r="A34" s="380"/>
      <c r="B34" s="381"/>
      <c r="C34" s="381"/>
      <c r="D34" s="381"/>
      <c r="E34" s="382"/>
      <c r="F34" s="384"/>
      <c r="G34" s="387"/>
      <c r="H34" s="388"/>
      <c r="I34" s="236"/>
    </row>
    <row r="35" spans="1:9" x14ac:dyDescent="0.2">
      <c r="A35" s="236"/>
      <c r="B35" s="236"/>
      <c r="C35" s="236"/>
      <c r="D35" s="236"/>
      <c r="E35" s="236"/>
      <c r="F35" s="236"/>
      <c r="G35" s="236"/>
      <c r="H35" s="236"/>
      <c r="I35" s="236"/>
    </row>
    <row r="36" spans="1:9" ht="13.5" thickBot="1" x14ac:dyDescent="0.25">
      <c r="A36" s="236"/>
      <c r="B36" s="236"/>
      <c r="C36" s="236"/>
      <c r="D36" s="236"/>
      <c r="E36" s="236"/>
      <c r="F36" s="236"/>
      <c r="G36" s="236"/>
      <c r="H36" s="236"/>
      <c r="I36" s="236"/>
    </row>
    <row r="37" spans="1:9" x14ac:dyDescent="0.2">
      <c r="A37" s="371" t="s">
        <v>575</v>
      </c>
      <c r="B37" s="372"/>
      <c r="C37" s="372"/>
      <c r="D37" s="372"/>
      <c r="E37" s="372"/>
      <c r="F37" s="372"/>
      <c r="G37" s="372"/>
      <c r="H37" s="373"/>
      <c r="I37" s="236"/>
    </row>
    <row r="38" spans="1:9" ht="13.5" thickBot="1" x14ac:dyDescent="0.25">
      <c r="A38" s="374"/>
      <c r="B38" s="375"/>
      <c r="C38" s="375"/>
      <c r="D38" s="375"/>
      <c r="E38" s="375"/>
      <c r="F38" s="375"/>
      <c r="G38" s="375"/>
      <c r="H38" s="376"/>
      <c r="I38" s="236"/>
    </row>
    <row r="39" spans="1:9" x14ac:dyDescent="0.2">
      <c r="A39" s="377" t="s">
        <v>574</v>
      </c>
      <c r="B39" s="378"/>
      <c r="C39" s="378"/>
      <c r="D39" s="378"/>
      <c r="E39" s="379"/>
      <c r="F39" s="383">
        <f>+F22+F28</f>
        <v>179.99655172413793</v>
      </c>
      <c r="G39" s="385" t="s">
        <v>476</v>
      </c>
      <c r="H39" s="386"/>
      <c r="I39" s="236"/>
    </row>
    <row r="40" spans="1:9" ht="13.5" thickBot="1" x14ac:dyDescent="0.25">
      <c r="A40" s="380"/>
      <c r="B40" s="381"/>
      <c r="C40" s="381"/>
      <c r="D40" s="381"/>
      <c r="E40" s="382"/>
      <c r="F40" s="384"/>
      <c r="G40" s="387"/>
      <c r="H40" s="388"/>
      <c r="I40" s="236"/>
    </row>
    <row r="41" spans="1:9" x14ac:dyDescent="0.2">
      <c r="A41" s="236"/>
      <c r="B41" s="236"/>
      <c r="C41" s="236"/>
      <c r="D41" s="236"/>
      <c r="E41" s="236"/>
      <c r="F41" s="236"/>
      <c r="G41" s="236"/>
      <c r="H41" s="236"/>
      <c r="I41" s="236"/>
    </row>
    <row r="42" spans="1:9" ht="13.5" thickBot="1" x14ac:dyDescent="0.25">
      <c r="A42" s="236"/>
      <c r="B42" s="236"/>
      <c r="C42" s="236"/>
      <c r="D42" s="236"/>
      <c r="E42" s="236"/>
      <c r="F42" s="236"/>
      <c r="G42" s="236"/>
      <c r="H42" s="236"/>
      <c r="I42" s="236"/>
    </row>
    <row r="43" spans="1:9" x14ac:dyDescent="0.2">
      <c r="A43" s="389" t="s">
        <v>576</v>
      </c>
      <c r="B43" s="390"/>
      <c r="C43" s="390"/>
      <c r="D43" s="390"/>
      <c r="E43" s="390"/>
      <c r="F43" s="390"/>
      <c r="G43" s="390"/>
      <c r="H43" s="391"/>
      <c r="I43" s="236"/>
    </row>
    <row r="44" spans="1:9" ht="13.5" thickBot="1" x14ac:dyDescent="0.25">
      <c r="A44" s="392"/>
      <c r="B44" s="393"/>
      <c r="C44" s="393"/>
      <c r="D44" s="393"/>
      <c r="E44" s="393"/>
      <c r="F44" s="393"/>
      <c r="G44" s="393"/>
      <c r="H44" s="394"/>
      <c r="I44" s="236"/>
    </row>
    <row r="45" spans="1:9" x14ac:dyDescent="0.2">
      <c r="A45" s="395" t="s">
        <v>577</v>
      </c>
      <c r="B45" s="396"/>
      <c r="C45" s="396"/>
      <c r="D45" s="396"/>
      <c r="E45" s="397"/>
      <c r="F45" s="383">
        <f>+F22+F28-F33</f>
        <v>117.38785607196402</v>
      </c>
      <c r="G45" s="385" t="s">
        <v>476</v>
      </c>
      <c r="H45" s="386"/>
      <c r="I45" s="236"/>
    </row>
    <row r="46" spans="1:9" ht="13.5" thickBot="1" x14ac:dyDescent="0.25">
      <c r="A46" s="398"/>
      <c r="B46" s="399"/>
      <c r="C46" s="399"/>
      <c r="D46" s="399"/>
      <c r="E46" s="400"/>
      <c r="F46" s="384"/>
      <c r="G46" s="387"/>
      <c r="H46" s="388"/>
      <c r="I46" s="236"/>
    </row>
    <row r="47" spans="1:9" ht="13.5" thickBot="1" x14ac:dyDescent="0.25">
      <c r="A47" s="236"/>
      <c r="B47" s="236"/>
      <c r="C47" s="236"/>
      <c r="D47" s="236"/>
      <c r="E47" s="236"/>
      <c r="F47" s="236"/>
      <c r="G47" s="236"/>
      <c r="H47" s="236"/>
      <c r="I47" s="236"/>
    </row>
    <row r="48" spans="1:9" x14ac:dyDescent="0.2">
      <c r="A48" s="362" t="s">
        <v>578</v>
      </c>
      <c r="B48" s="363"/>
      <c r="C48" s="363"/>
      <c r="D48" s="363"/>
      <c r="E48" s="363"/>
      <c r="F48" s="363"/>
      <c r="G48" s="364"/>
      <c r="H48" s="236"/>
      <c r="I48" s="236"/>
    </row>
    <row r="49" spans="1:9" ht="13.5" thickBot="1" x14ac:dyDescent="0.25">
      <c r="A49" s="365"/>
      <c r="B49" s="366"/>
      <c r="C49" s="366"/>
      <c r="D49" s="366"/>
      <c r="E49" s="366"/>
      <c r="F49" s="366"/>
      <c r="G49" s="367"/>
      <c r="H49" s="236"/>
      <c r="I49" s="236"/>
    </row>
    <row r="50" spans="1:9" ht="13.5" thickBot="1" x14ac:dyDescent="0.25">
      <c r="A50" s="368" t="s">
        <v>579</v>
      </c>
      <c r="B50" s="369"/>
      <c r="C50" s="369"/>
      <c r="D50" s="369"/>
      <c r="E50" s="369"/>
      <c r="F50" s="369"/>
      <c r="G50" s="370"/>
      <c r="H50" s="236"/>
      <c r="I50" s="236"/>
    </row>
    <row r="51" spans="1:9" ht="13.5" thickBot="1" x14ac:dyDescent="0.25">
      <c r="A51" s="368" t="s">
        <v>580</v>
      </c>
      <c r="B51" s="369"/>
      <c r="C51" s="369"/>
      <c r="D51" s="369"/>
      <c r="E51" s="369"/>
      <c r="F51" s="369"/>
      <c r="G51" s="370"/>
      <c r="H51" s="236"/>
      <c r="I51" s="236"/>
    </row>
    <row r="52" spans="1:9" ht="13.5" thickBot="1" x14ac:dyDescent="0.25">
      <c r="A52" s="368" t="s">
        <v>581</v>
      </c>
      <c r="B52" s="369"/>
      <c r="C52" s="369"/>
      <c r="D52" s="369"/>
      <c r="E52" s="369"/>
      <c r="F52" s="369"/>
      <c r="G52" s="370"/>
      <c r="H52" s="236"/>
      <c r="I52" s="236"/>
    </row>
    <row r="53" spans="1:9" ht="13.5" thickBot="1" x14ac:dyDescent="0.25">
      <c r="A53" s="359" t="s">
        <v>582</v>
      </c>
      <c r="B53" s="360"/>
      <c r="C53" s="360"/>
      <c r="D53" s="360"/>
      <c r="E53" s="360"/>
      <c r="F53" s="360"/>
      <c r="G53" s="361"/>
      <c r="H53" s="236"/>
      <c r="I53" s="236"/>
    </row>
    <row r="54" spans="1:9" ht="13.5" thickBot="1" x14ac:dyDescent="0.25">
      <c r="A54" s="359" t="s">
        <v>583</v>
      </c>
      <c r="B54" s="360"/>
      <c r="C54" s="360"/>
      <c r="D54" s="360"/>
      <c r="E54" s="360"/>
      <c r="F54" s="360"/>
      <c r="G54" s="361"/>
      <c r="H54" s="236"/>
      <c r="I54" s="236"/>
    </row>
    <row r="55" spans="1:9" ht="13.5" thickBot="1" x14ac:dyDescent="0.25">
      <c r="A55" s="359" t="s">
        <v>584</v>
      </c>
      <c r="B55" s="360"/>
      <c r="C55" s="360"/>
      <c r="D55" s="360"/>
      <c r="E55" s="360"/>
      <c r="F55" s="360"/>
      <c r="G55" s="361"/>
      <c r="H55" s="236"/>
      <c r="I55" s="236"/>
    </row>
    <row r="56" spans="1:9" x14ac:dyDescent="0.2">
      <c r="A56" s="236"/>
      <c r="B56" s="236"/>
      <c r="C56" s="236"/>
      <c r="D56" s="236"/>
      <c r="E56" s="236"/>
      <c r="F56" s="236"/>
      <c r="G56" s="236"/>
      <c r="H56" s="236"/>
      <c r="I56" s="236"/>
    </row>
    <row r="57" spans="1:9" x14ac:dyDescent="0.2">
      <c r="A57" s="236"/>
      <c r="B57" s="236"/>
      <c r="C57" s="236"/>
      <c r="D57" s="236"/>
      <c r="E57" s="236"/>
      <c r="F57" s="236"/>
      <c r="G57" s="236"/>
      <c r="H57" s="236"/>
      <c r="I57" s="236"/>
    </row>
    <row r="58" spans="1:9" x14ac:dyDescent="0.2">
      <c r="A58" s="236"/>
      <c r="B58" s="236"/>
      <c r="C58" s="236"/>
      <c r="D58" s="236"/>
      <c r="E58" s="236"/>
      <c r="F58" s="236"/>
      <c r="G58" s="236"/>
      <c r="H58" s="236"/>
      <c r="I58" s="236"/>
    </row>
  </sheetData>
  <mergeCells count="34">
    <mergeCell ref="A26:H27"/>
    <mergeCell ref="A3:G4"/>
    <mergeCell ref="A6:G8"/>
    <mergeCell ref="A10:G12"/>
    <mergeCell ref="A14:D14"/>
    <mergeCell ref="A15:D15"/>
    <mergeCell ref="A16:D16"/>
    <mergeCell ref="A17:D17"/>
    <mergeCell ref="A20:H21"/>
    <mergeCell ref="A22:E23"/>
    <mergeCell ref="F22:F23"/>
    <mergeCell ref="G22:H23"/>
    <mergeCell ref="A45:E46"/>
    <mergeCell ref="F45:F46"/>
    <mergeCell ref="G45:H46"/>
    <mergeCell ref="A28:E29"/>
    <mergeCell ref="F28:F29"/>
    <mergeCell ref="G28:H29"/>
    <mergeCell ref="A31:H32"/>
    <mergeCell ref="A33:E34"/>
    <mergeCell ref="F33:F34"/>
    <mergeCell ref="G33:H34"/>
    <mergeCell ref="A37:H38"/>
    <mergeCell ref="A39:E40"/>
    <mergeCell ref="F39:F40"/>
    <mergeCell ref="G39:H40"/>
    <mergeCell ref="A43:H44"/>
    <mergeCell ref="A55:G55"/>
    <mergeCell ref="A48:G49"/>
    <mergeCell ref="A50:G50"/>
    <mergeCell ref="A51:G51"/>
    <mergeCell ref="A52:G52"/>
    <mergeCell ref="A53:G53"/>
    <mergeCell ref="A54:G5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5C9E-1881-4A0B-BCED-BE0CA0BD4296}">
  <dimension ref="A1:E52"/>
  <sheetViews>
    <sheetView zoomScale="130" zoomScaleNormal="130" workbookViewId="0">
      <selection activeCell="C5" sqref="C5"/>
    </sheetView>
  </sheetViews>
  <sheetFormatPr baseColWidth="10" defaultRowHeight="15" x14ac:dyDescent="0.2"/>
  <cols>
    <col min="1" max="1" width="23.42578125" style="239" customWidth="1"/>
    <col min="2" max="2" width="14.7109375" style="239" customWidth="1"/>
    <col min="3" max="3" width="13.140625" style="239" bestFit="1" customWidth="1"/>
    <col min="4" max="4" width="15.28515625" style="239" bestFit="1" customWidth="1"/>
    <col min="5" max="256" width="11.5703125" style="239"/>
    <col min="257" max="257" width="23.42578125" style="239" customWidth="1"/>
    <col min="258" max="258" width="14.7109375" style="239" customWidth="1"/>
    <col min="259" max="259" width="13.140625" style="239" bestFit="1" customWidth="1"/>
    <col min="260" max="260" width="15.28515625" style="239" bestFit="1" customWidth="1"/>
    <col min="261" max="512" width="11.5703125" style="239"/>
    <col min="513" max="513" width="23.42578125" style="239" customWidth="1"/>
    <col min="514" max="514" width="14.7109375" style="239" customWidth="1"/>
    <col min="515" max="515" width="13.140625" style="239" bestFit="1" customWidth="1"/>
    <col min="516" max="516" width="15.28515625" style="239" bestFit="1" customWidth="1"/>
    <col min="517" max="768" width="11.5703125" style="239"/>
    <col min="769" max="769" width="23.42578125" style="239" customWidth="1"/>
    <col min="770" max="770" width="14.7109375" style="239" customWidth="1"/>
    <col min="771" max="771" width="13.140625" style="239" bestFit="1" customWidth="1"/>
    <col min="772" max="772" width="15.28515625" style="239" bestFit="1" customWidth="1"/>
    <col min="773" max="1024" width="11.5703125" style="239"/>
    <col min="1025" max="1025" width="23.42578125" style="239" customWidth="1"/>
    <col min="1026" max="1026" width="14.7109375" style="239" customWidth="1"/>
    <col min="1027" max="1027" width="13.140625" style="239" bestFit="1" customWidth="1"/>
    <col min="1028" max="1028" width="15.28515625" style="239" bestFit="1" customWidth="1"/>
    <col min="1029" max="1280" width="11.5703125" style="239"/>
    <col min="1281" max="1281" width="23.42578125" style="239" customWidth="1"/>
    <col min="1282" max="1282" width="14.7109375" style="239" customWidth="1"/>
    <col min="1283" max="1283" width="13.140625" style="239" bestFit="1" customWidth="1"/>
    <col min="1284" max="1284" width="15.28515625" style="239" bestFit="1" customWidth="1"/>
    <col min="1285" max="1536" width="11.5703125" style="239"/>
    <col min="1537" max="1537" width="23.42578125" style="239" customWidth="1"/>
    <col min="1538" max="1538" width="14.7109375" style="239" customWidth="1"/>
    <col min="1539" max="1539" width="13.140625" style="239" bestFit="1" customWidth="1"/>
    <col min="1540" max="1540" width="15.28515625" style="239" bestFit="1" customWidth="1"/>
    <col min="1541" max="1792" width="11.5703125" style="239"/>
    <col min="1793" max="1793" width="23.42578125" style="239" customWidth="1"/>
    <col min="1794" max="1794" width="14.7109375" style="239" customWidth="1"/>
    <col min="1795" max="1795" width="13.140625" style="239" bestFit="1" customWidth="1"/>
    <col min="1796" max="1796" width="15.28515625" style="239" bestFit="1" customWidth="1"/>
    <col min="1797" max="2048" width="11.5703125" style="239"/>
    <col min="2049" max="2049" width="23.42578125" style="239" customWidth="1"/>
    <col min="2050" max="2050" width="14.7109375" style="239" customWidth="1"/>
    <col min="2051" max="2051" width="13.140625" style="239" bestFit="1" customWidth="1"/>
    <col min="2052" max="2052" width="15.28515625" style="239" bestFit="1" customWidth="1"/>
    <col min="2053" max="2304" width="11.5703125" style="239"/>
    <col min="2305" max="2305" width="23.42578125" style="239" customWidth="1"/>
    <col min="2306" max="2306" width="14.7109375" style="239" customWidth="1"/>
    <col min="2307" max="2307" width="13.140625" style="239" bestFit="1" customWidth="1"/>
    <col min="2308" max="2308" width="15.28515625" style="239" bestFit="1" customWidth="1"/>
    <col min="2309" max="2560" width="11.5703125" style="239"/>
    <col min="2561" max="2561" width="23.42578125" style="239" customWidth="1"/>
    <col min="2562" max="2562" width="14.7109375" style="239" customWidth="1"/>
    <col min="2563" max="2563" width="13.140625" style="239" bestFit="1" customWidth="1"/>
    <col min="2564" max="2564" width="15.28515625" style="239" bestFit="1" customWidth="1"/>
    <col min="2565" max="2816" width="11.5703125" style="239"/>
    <col min="2817" max="2817" width="23.42578125" style="239" customWidth="1"/>
    <col min="2818" max="2818" width="14.7109375" style="239" customWidth="1"/>
    <col min="2819" max="2819" width="13.140625" style="239" bestFit="1" customWidth="1"/>
    <col min="2820" max="2820" width="15.28515625" style="239" bestFit="1" customWidth="1"/>
    <col min="2821" max="3072" width="11.5703125" style="239"/>
    <col min="3073" max="3073" width="23.42578125" style="239" customWidth="1"/>
    <col min="3074" max="3074" width="14.7109375" style="239" customWidth="1"/>
    <col min="3075" max="3075" width="13.140625" style="239" bestFit="1" customWidth="1"/>
    <col min="3076" max="3076" width="15.28515625" style="239" bestFit="1" customWidth="1"/>
    <col min="3077" max="3328" width="11.5703125" style="239"/>
    <col min="3329" max="3329" width="23.42578125" style="239" customWidth="1"/>
    <col min="3330" max="3330" width="14.7109375" style="239" customWidth="1"/>
    <col min="3331" max="3331" width="13.140625" style="239" bestFit="1" customWidth="1"/>
    <col min="3332" max="3332" width="15.28515625" style="239" bestFit="1" customWidth="1"/>
    <col min="3333" max="3584" width="11.5703125" style="239"/>
    <col min="3585" max="3585" width="23.42578125" style="239" customWidth="1"/>
    <col min="3586" max="3586" width="14.7109375" style="239" customWidth="1"/>
    <col min="3587" max="3587" width="13.140625" style="239" bestFit="1" customWidth="1"/>
    <col min="3588" max="3588" width="15.28515625" style="239" bestFit="1" customWidth="1"/>
    <col min="3589" max="3840" width="11.5703125" style="239"/>
    <col min="3841" max="3841" width="23.42578125" style="239" customWidth="1"/>
    <col min="3842" max="3842" width="14.7109375" style="239" customWidth="1"/>
    <col min="3843" max="3843" width="13.140625" style="239" bestFit="1" customWidth="1"/>
    <col min="3844" max="3844" width="15.28515625" style="239" bestFit="1" customWidth="1"/>
    <col min="3845" max="4096" width="11.5703125" style="239"/>
    <col min="4097" max="4097" width="23.42578125" style="239" customWidth="1"/>
    <col min="4098" max="4098" width="14.7109375" style="239" customWidth="1"/>
    <col min="4099" max="4099" width="13.140625" style="239" bestFit="1" customWidth="1"/>
    <col min="4100" max="4100" width="15.28515625" style="239" bestFit="1" customWidth="1"/>
    <col min="4101" max="4352" width="11.5703125" style="239"/>
    <col min="4353" max="4353" width="23.42578125" style="239" customWidth="1"/>
    <col min="4354" max="4354" width="14.7109375" style="239" customWidth="1"/>
    <col min="4355" max="4355" width="13.140625" style="239" bestFit="1" customWidth="1"/>
    <col min="4356" max="4356" width="15.28515625" style="239" bestFit="1" customWidth="1"/>
    <col min="4357" max="4608" width="11.5703125" style="239"/>
    <col min="4609" max="4609" width="23.42578125" style="239" customWidth="1"/>
    <col min="4610" max="4610" width="14.7109375" style="239" customWidth="1"/>
    <col min="4611" max="4611" width="13.140625" style="239" bestFit="1" customWidth="1"/>
    <col min="4612" max="4612" width="15.28515625" style="239" bestFit="1" customWidth="1"/>
    <col min="4613" max="4864" width="11.5703125" style="239"/>
    <col min="4865" max="4865" width="23.42578125" style="239" customWidth="1"/>
    <col min="4866" max="4866" width="14.7109375" style="239" customWidth="1"/>
    <col min="4867" max="4867" width="13.140625" style="239" bestFit="1" customWidth="1"/>
    <col min="4868" max="4868" width="15.28515625" style="239" bestFit="1" customWidth="1"/>
    <col min="4869" max="5120" width="11.5703125" style="239"/>
    <col min="5121" max="5121" width="23.42578125" style="239" customWidth="1"/>
    <col min="5122" max="5122" width="14.7109375" style="239" customWidth="1"/>
    <col min="5123" max="5123" width="13.140625" style="239" bestFit="1" customWidth="1"/>
    <col min="5124" max="5124" width="15.28515625" style="239" bestFit="1" customWidth="1"/>
    <col min="5125" max="5376" width="11.5703125" style="239"/>
    <col min="5377" max="5377" width="23.42578125" style="239" customWidth="1"/>
    <col min="5378" max="5378" width="14.7109375" style="239" customWidth="1"/>
    <col min="5379" max="5379" width="13.140625" style="239" bestFit="1" customWidth="1"/>
    <col min="5380" max="5380" width="15.28515625" style="239" bestFit="1" customWidth="1"/>
    <col min="5381" max="5632" width="11.5703125" style="239"/>
    <col min="5633" max="5633" width="23.42578125" style="239" customWidth="1"/>
    <col min="5634" max="5634" width="14.7109375" style="239" customWidth="1"/>
    <col min="5635" max="5635" width="13.140625" style="239" bestFit="1" customWidth="1"/>
    <col min="5636" max="5636" width="15.28515625" style="239" bestFit="1" customWidth="1"/>
    <col min="5637" max="5888" width="11.5703125" style="239"/>
    <col min="5889" max="5889" width="23.42578125" style="239" customWidth="1"/>
    <col min="5890" max="5890" width="14.7109375" style="239" customWidth="1"/>
    <col min="5891" max="5891" width="13.140625" style="239" bestFit="1" customWidth="1"/>
    <col min="5892" max="5892" width="15.28515625" style="239" bestFit="1" customWidth="1"/>
    <col min="5893" max="6144" width="11.5703125" style="239"/>
    <col min="6145" max="6145" width="23.42578125" style="239" customWidth="1"/>
    <col min="6146" max="6146" width="14.7109375" style="239" customWidth="1"/>
    <col min="6147" max="6147" width="13.140625" style="239" bestFit="1" customWidth="1"/>
    <col min="6148" max="6148" width="15.28515625" style="239" bestFit="1" customWidth="1"/>
    <col min="6149" max="6400" width="11.5703125" style="239"/>
    <col min="6401" max="6401" width="23.42578125" style="239" customWidth="1"/>
    <col min="6402" max="6402" width="14.7109375" style="239" customWidth="1"/>
    <col min="6403" max="6403" width="13.140625" style="239" bestFit="1" customWidth="1"/>
    <col min="6404" max="6404" width="15.28515625" style="239" bestFit="1" customWidth="1"/>
    <col min="6405" max="6656" width="11.5703125" style="239"/>
    <col min="6657" max="6657" width="23.42578125" style="239" customWidth="1"/>
    <col min="6658" max="6658" width="14.7109375" style="239" customWidth="1"/>
    <col min="6659" max="6659" width="13.140625" style="239" bestFit="1" customWidth="1"/>
    <col min="6660" max="6660" width="15.28515625" style="239" bestFit="1" customWidth="1"/>
    <col min="6661" max="6912" width="11.5703125" style="239"/>
    <col min="6913" max="6913" width="23.42578125" style="239" customWidth="1"/>
    <col min="6914" max="6914" width="14.7109375" style="239" customWidth="1"/>
    <col min="6915" max="6915" width="13.140625" style="239" bestFit="1" customWidth="1"/>
    <col min="6916" max="6916" width="15.28515625" style="239" bestFit="1" customWidth="1"/>
    <col min="6917" max="7168" width="11.5703125" style="239"/>
    <col min="7169" max="7169" width="23.42578125" style="239" customWidth="1"/>
    <col min="7170" max="7170" width="14.7109375" style="239" customWidth="1"/>
    <col min="7171" max="7171" width="13.140625" style="239" bestFit="1" customWidth="1"/>
    <col min="7172" max="7172" width="15.28515625" style="239" bestFit="1" customWidth="1"/>
    <col min="7173" max="7424" width="11.5703125" style="239"/>
    <col min="7425" max="7425" width="23.42578125" style="239" customWidth="1"/>
    <col min="7426" max="7426" width="14.7109375" style="239" customWidth="1"/>
    <col min="7427" max="7427" width="13.140625" style="239" bestFit="1" customWidth="1"/>
    <col min="7428" max="7428" width="15.28515625" style="239" bestFit="1" customWidth="1"/>
    <col min="7429" max="7680" width="11.5703125" style="239"/>
    <col min="7681" max="7681" width="23.42578125" style="239" customWidth="1"/>
    <col min="7682" max="7682" width="14.7109375" style="239" customWidth="1"/>
    <col min="7683" max="7683" width="13.140625" style="239" bestFit="1" customWidth="1"/>
    <col min="7684" max="7684" width="15.28515625" style="239" bestFit="1" customWidth="1"/>
    <col min="7685" max="7936" width="11.5703125" style="239"/>
    <col min="7937" max="7937" width="23.42578125" style="239" customWidth="1"/>
    <col min="7938" max="7938" width="14.7109375" style="239" customWidth="1"/>
    <col min="7939" max="7939" width="13.140625" style="239" bestFit="1" customWidth="1"/>
    <col min="7940" max="7940" width="15.28515625" style="239" bestFit="1" customWidth="1"/>
    <col min="7941" max="8192" width="11.5703125" style="239"/>
    <col min="8193" max="8193" width="23.42578125" style="239" customWidth="1"/>
    <col min="8194" max="8194" width="14.7109375" style="239" customWidth="1"/>
    <col min="8195" max="8195" width="13.140625" style="239" bestFit="1" customWidth="1"/>
    <col min="8196" max="8196" width="15.28515625" style="239" bestFit="1" customWidth="1"/>
    <col min="8197" max="8448" width="11.5703125" style="239"/>
    <col min="8449" max="8449" width="23.42578125" style="239" customWidth="1"/>
    <col min="8450" max="8450" width="14.7109375" style="239" customWidth="1"/>
    <col min="8451" max="8451" width="13.140625" style="239" bestFit="1" customWidth="1"/>
    <col min="8452" max="8452" width="15.28515625" style="239" bestFit="1" customWidth="1"/>
    <col min="8453" max="8704" width="11.5703125" style="239"/>
    <col min="8705" max="8705" width="23.42578125" style="239" customWidth="1"/>
    <col min="8706" max="8706" width="14.7109375" style="239" customWidth="1"/>
    <col min="8707" max="8707" width="13.140625" style="239" bestFit="1" customWidth="1"/>
    <col min="8708" max="8708" width="15.28515625" style="239" bestFit="1" customWidth="1"/>
    <col min="8709" max="8960" width="11.5703125" style="239"/>
    <col min="8961" max="8961" width="23.42578125" style="239" customWidth="1"/>
    <col min="8962" max="8962" width="14.7109375" style="239" customWidth="1"/>
    <col min="8963" max="8963" width="13.140625" style="239" bestFit="1" customWidth="1"/>
    <col min="8964" max="8964" width="15.28515625" style="239" bestFit="1" customWidth="1"/>
    <col min="8965" max="9216" width="11.5703125" style="239"/>
    <col min="9217" max="9217" width="23.42578125" style="239" customWidth="1"/>
    <col min="9218" max="9218" width="14.7109375" style="239" customWidth="1"/>
    <col min="9219" max="9219" width="13.140625" style="239" bestFit="1" customWidth="1"/>
    <col min="9220" max="9220" width="15.28515625" style="239" bestFit="1" customWidth="1"/>
    <col min="9221" max="9472" width="11.5703125" style="239"/>
    <col min="9473" max="9473" width="23.42578125" style="239" customWidth="1"/>
    <col min="9474" max="9474" width="14.7109375" style="239" customWidth="1"/>
    <col min="9475" max="9475" width="13.140625" style="239" bestFit="1" customWidth="1"/>
    <col min="9476" max="9476" width="15.28515625" style="239" bestFit="1" customWidth="1"/>
    <col min="9477" max="9728" width="11.5703125" style="239"/>
    <col min="9729" max="9729" width="23.42578125" style="239" customWidth="1"/>
    <col min="9730" max="9730" width="14.7109375" style="239" customWidth="1"/>
    <col min="9731" max="9731" width="13.140625" style="239" bestFit="1" customWidth="1"/>
    <col min="9732" max="9732" width="15.28515625" style="239" bestFit="1" customWidth="1"/>
    <col min="9733" max="9984" width="11.5703125" style="239"/>
    <col min="9985" max="9985" width="23.42578125" style="239" customWidth="1"/>
    <col min="9986" max="9986" width="14.7109375" style="239" customWidth="1"/>
    <col min="9987" max="9987" width="13.140625" style="239" bestFit="1" customWidth="1"/>
    <col min="9988" max="9988" width="15.28515625" style="239" bestFit="1" customWidth="1"/>
    <col min="9989" max="10240" width="11.5703125" style="239"/>
    <col min="10241" max="10241" width="23.42578125" style="239" customWidth="1"/>
    <col min="10242" max="10242" width="14.7109375" style="239" customWidth="1"/>
    <col min="10243" max="10243" width="13.140625" style="239" bestFit="1" customWidth="1"/>
    <col min="10244" max="10244" width="15.28515625" style="239" bestFit="1" customWidth="1"/>
    <col min="10245" max="10496" width="11.5703125" style="239"/>
    <col min="10497" max="10497" width="23.42578125" style="239" customWidth="1"/>
    <col min="10498" max="10498" width="14.7109375" style="239" customWidth="1"/>
    <col min="10499" max="10499" width="13.140625" style="239" bestFit="1" customWidth="1"/>
    <col min="10500" max="10500" width="15.28515625" style="239" bestFit="1" customWidth="1"/>
    <col min="10501" max="10752" width="11.5703125" style="239"/>
    <col min="10753" max="10753" width="23.42578125" style="239" customWidth="1"/>
    <col min="10754" max="10754" width="14.7109375" style="239" customWidth="1"/>
    <col min="10755" max="10755" width="13.140625" style="239" bestFit="1" customWidth="1"/>
    <col min="10756" max="10756" width="15.28515625" style="239" bestFit="1" customWidth="1"/>
    <col min="10757" max="11008" width="11.5703125" style="239"/>
    <col min="11009" max="11009" width="23.42578125" style="239" customWidth="1"/>
    <col min="11010" max="11010" width="14.7109375" style="239" customWidth="1"/>
    <col min="11011" max="11011" width="13.140625" style="239" bestFit="1" customWidth="1"/>
    <col min="11012" max="11012" width="15.28515625" style="239" bestFit="1" customWidth="1"/>
    <col min="11013" max="11264" width="11.5703125" style="239"/>
    <col min="11265" max="11265" width="23.42578125" style="239" customWidth="1"/>
    <col min="11266" max="11266" width="14.7109375" style="239" customWidth="1"/>
    <col min="11267" max="11267" width="13.140625" style="239" bestFit="1" customWidth="1"/>
    <col min="11268" max="11268" width="15.28515625" style="239" bestFit="1" customWidth="1"/>
    <col min="11269" max="11520" width="11.5703125" style="239"/>
    <col min="11521" max="11521" width="23.42578125" style="239" customWidth="1"/>
    <col min="11522" max="11522" width="14.7109375" style="239" customWidth="1"/>
    <col min="11523" max="11523" width="13.140625" style="239" bestFit="1" customWidth="1"/>
    <col min="11524" max="11524" width="15.28515625" style="239" bestFit="1" customWidth="1"/>
    <col min="11525" max="11776" width="11.5703125" style="239"/>
    <col min="11777" max="11777" width="23.42578125" style="239" customWidth="1"/>
    <col min="11778" max="11778" width="14.7109375" style="239" customWidth="1"/>
    <col min="11779" max="11779" width="13.140625" style="239" bestFit="1" customWidth="1"/>
    <col min="11780" max="11780" width="15.28515625" style="239" bestFit="1" customWidth="1"/>
    <col min="11781" max="12032" width="11.5703125" style="239"/>
    <col min="12033" max="12033" width="23.42578125" style="239" customWidth="1"/>
    <col min="12034" max="12034" width="14.7109375" style="239" customWidth="1"/>
    <col min="12035" max="12035" width="13.140625" style="239" bestFit="1" customWidth="1"/>
    <col min="12036" max="12036" width="15.28515625" style="239" bestFit="1" customWidth="1"/>
    <col min="12037" max="12288" width="11.5703125" style="239"/>
    <col min="12289" max="12289" width="23.42578125" style="239" customWidth="1"/>
    <col min="12290" max="12290" width="14.7109375" style="239" customWidth="1"/>
    <col min="12291" max="12291" width="13.140625" style="239" bestFit="1" customWidth="1"/>
    <col min="12292" max="12292" width="15.28515625" style="239" bestFit="1" customWidth="1"/>
    <col min="12293" max="12544" width="11.5703125" style="239"/>
    <col min="12545" max="12545" width="23.42578125" style="239" customWidth="1"/>
    <col min="12546" max="12546" width="14.7109375" style="239" customWidth="1"/>
    <col min="12547" max="12547" width="13.140625" style="239" bestFit="1" customWidth="1"/>
    <col min="12548" max="12548" width="15.28515625" style="239" bestFit="1" customWidth="1"/>
    <col min="12549" max="12800" width="11.5703125" style="239"/>
    <col min="12801" max="12801" width="23.42578125" style="239" customWidth="1"/>
    <col min="12802" max="12802" width="14.7109375" style="239" customWidth="1"/>
    <col min="12803" max="12803" width="13.140625" style="239" bestFit="1" customWidth="1"/>
    <col min="12804" max="12804" width="15.28515625" style="239" bestFit="1" customWidth="1"/>
    <col min="12805" max="13056" width="11.5703125" style="239"/>
    <col min="13057" max="13057" width="23.42578125" style="239" customWidth="1"/>
    <col min="13058" max="13058" width="14.7109375" style="239" customWidth="1"/>
    <col min="13059" max="13059" width="13.140625" style="239" bestFit="1" customWidth="1"/>
    <col min="13060" max="13060" width="15.28515625" style="239" bestFit="1" customWidth="1"/>
    <col min="13061" max="13312" width="11.5703125" style="239"/>
    <col min="13313" max="13313" width="23.42578125" style="239" customWidth="1"/>
    <col min="13314" max="13314" width="14.7109375" style="239" customWidth="1"/>
    <col min="13315" max="13315" width="13.140625" style="239" bestFit="1" customWidth="1"/>
    <col min="13316" max="13316" width="15.28515625" style="239" bestFit="1" customWidth="1"/>
    <col min="13317" max="13568" width="11.5703125" style="239"/>
    <col min="13569" max="13569" width="23.42578125" style="239" customWidth="1"/>
    <col min="13570" max="13570" width="14.7109375" style="239" customWidth="1"/>
    <col min="13571" max="13571" width="13.140625" style="239" bestFit="1" customWidth="1"/>
    <col min="13572" max="13572" width="15.28515625" style="239" bestFit="1" customWidth="1"/>
    <col min="13573" max="13824" width="11.5703125" style="239"/>
    <col min="13825" max="13825" width="23.42578125" style="239" customWidth="1"/>
    <col min="13826" max="13826" width="14.7109375" style="239" customWidth="1"/>
    <col min="13827" max="13827" width="13.140625" style="239" bestFit="1" customWidth="1"/>
    <col min="13828" max="13828" width="15.28515625" style="239" bestFit="1" customWidth="1"/>
    <col min="13829" max="14080" width="11.5703125" style="239"/>
    <col min="14081" max="14081" width="23.42578125" style="239" customWidth="1"/>
    <col min="14082" max="14082" width="14.7109375" style="239" customWidth="1"/>
    <col min="14083" max="14083" width="13.140625" style="239" bestFit="1" customWidth="1"/>
    <col min="14084" max="14084" width="15.28515625" style="239" bestFit="1" customWidth="1"/>
    <col min="14085" max="14336" width="11.5703125" style="239"/>
    <col min="14337" max="14337" width="23.42578125" style="239" customWidth="1"/>
    <col min="14338" max="14338" width="14.7109375" style="239" customWidth="1"/>
    <col min="14339" max="14339" width="13.140625" style="239" bestFit="1" customWidth="1"/>
    <col min="14340" max="14340" width="15.28515625" style="239" bestFit="1" customWidth="1"/>
    <col min="14341" max="14592" width="11.5703125" style="239"/>
    <col min="14593" max="14593" width="23.42578125" style="239" customWidth="1"/>
    <col min="14594" max="14594" width="14.7109375" style="239" customWidth="1"/>
    <col min="14595" max="14595" width="13.140625" style="239" bestFit="1" customWidth="1"/>
    <col min="14596" max="14596" width="15.28515625" style="239" bestFit="1" customWidth="1"/>
    <col min="14597" max="14848" width="11.5703125" style="239"/>
    <col min="14849" max="14849" width="23.42578125" style="239" customWidth="1"/>
    <col min="14850" max="14850" width="14.7109375" style="239" customWidth="1"/>
    <col min="14851" max="14851" width="13.140625" style="239" bestFit="1" customWidth="1"/>
    <col min="14852" max="14852" width="15.28515625" style="239" bestFit="1" customWidth="1"/>
    <col min="14853" max="15104" width="11.5703125" style="239"/>
    <col min="15105" max="15105" width="23.42578125" style="239" customWidth="1"/>
    <col min="15106" max="15106" width="14.7109375" style="239" customWidth="1"/>
    <col min="15107" max="15107" width="13.140625" style="239" bestFit="1" customWidth="1"/>
    <col min="15108" max="15108" width="15.28515625" style="239" bestFit="1" customWidth="1"/>
    <col min="15109" max="15360" width="11.5703125" style="239"/>
    <col min="15361" max="15361" width="23.42578125" style="239" customWidth="1"/>
    <col min="15362" max="15362" width="14.7109375" style="239" customWidth="1"/>
    <col min="15363" max="15363" width="13.140625" style="239" bestFit="1" customWidth="1"/>
    <col min="15364" max="15364" width="15.28515625" style="239" bestFit="1" customWidth="1"/>
    <col min="15365" max="15616" width="11.5703125" style="239"/>
    <col min="15617" max="15617" width="23.42578125" style="239" customWidth="1"/>
    <col min="15618" max="15618" width="14.7109375" style="239" customWidth="1"/>
    <col min="15619" max="15619" width="13.140625" style="239" bestFit="1" customWidth="1"/>
    <col min="15620" max="15620" width="15.28515625" style="239" bestFit="1" customWidth="1"/>
    <col min="15621" max="15872" width="11.5703125" style="239"/>
    <col min="15873" max="15873" width="23.42578125" style="239" customWidth="1"/>
    <col min="15874" max="15874" width="14.7109375" style="239" customWidth="1"/>
    <col min="15875" max="15875" width="13.140625" style="239" bestFit="1" customWidth="1"/>
    <col min="15876" max="15876" width="15.28515625" style="239" bestFit="1" customWidth="1"/>
    <col min="15877" max="16128" width="11.5703125" style="239"/>
    <col min="16129" max="16129" width="23.42578125" style="239" customWidth="1"/>
    <col min="16130" max="16130" width="14.7109375" style="239" customWidth="1"/>
    <col min="16131" max="16131" width="13.140625" style="239" bestFit="1" customWidth="1"/>
    <col min="16132" max="16132" width="15.28515625" style="239" bestFit="1" customWidth="1"/>
    <col min="16133" max="16384" width="11.5703125" style="239"/>
  </cols>
  <sheetData>
    <row r="1" spans="1:3" ht="18" x14ac:dyDescent="0.25">
      <c r="A1" s="208" t="s">
        <v>585</v>
      </c>
    </row>
    <row r="3" spans="1:3" ht="15.75" x14ac:dyDescent="0.25">
      <c r="A3" s="215" t="s">
        <v>586</v>
      </c>
    </row>
    <row r="4" spans="1:3" ht="15.75" x14ac:dyDescent="0.25">
      <c r="A4" s="240" t="s">
        <v>587</v>
      </c>
      <c r="B4" s="241" t="s">
        <v>588</v>
      </c>
      <c r="C4" s="241" t="s">
        <v>832</v>
      </c>
    </row>
    <row r="5" spans="1:3" x14ac:dyDescent="0.2">
      <c r="A5" s="242" t="s">
        <v>587</v>
      </c>
      <c r="B5" s="243">
        <f>C5/C5</f>
        <v>1</v>
      </c>
      <c r="C5" s="244">
        <v>1</v>
      </c>
    </row>
    <row r="6" spans="1:3" x14ac:dyDescent="0.2">
      <c r="A6" s="242" t="s">
        <v>589</v>
      </c>
      <c r="B6" s="243">
        <f>C6/C5</f>
        <v>0.6</v>
      </c>
      <c r="C6" s="244">
        <v>0.6</v>
      </c>
    </row>
    <row r="7" spans="1:3" x14ac:dyDescent="0.2">
      <c r="A7" s="242" t="s">
        <v>590</v>
      </c>
      <c r="B7" s="243">
        <f>C7/C5</f>
        <v>0.35</v>
      </c>
      <c r="C7" s="244">
        <v>0.35</v>
      </c>
    </row>
    <row r="8" spans="1:3" x14ac:dyDescent="0.2">
      <c r="A8" s="242" t="s">
        <v>591</v>
      </c>
      <c r="B8" s="243">
        <f>(B5-B7-B6)</f>
        <v>5.0000000000000044E-2</v>
      </c>
      <c r="C8" s="244">
        <v>0.05</v>
      </c>
    </row>
    <row r="10" spans="1:3" ht="15.75" x14ac:dyDescent="0.25">
      <c r="A10" s="215" t="s">
        <v>592</v>
      </c>
    </row>
    <row r="11" spans="1:3" ht="15.75" x14ac:dyDescent="0.25">
      <c r="A11" s="240" t="s">
        <v>593</v>
      </c>
      <c r="B11" s="241" t="s">
        <v>594</v>
      </c>
    </row>
    <row r="12" spans="1:3" x14ac:dyDescent="0.2">
      <c r="A12" s="242" t="s">
        <v>595</v>
      </c>
      <c r="B12" s="245">
        <v>80</v>
      </c>
    </row>
    <row r="13" spans="1:3" x14ac:dyDescent="0.2">
      <c r="A13" s="242" t="s">
        <v>475</v>
      </c>
      <c r="B13" s="245">
        <v>90</v>
      </c>
    </row>
    <row r="14" spans="1:3" ht="15.75" x14ac:dyDescent="0.25">
      <c r="A14" s="246" t="s">
        <v>596</v>
      </c>
      <c r="B14" s="247">
        <f>B12+B13</f>
        <v>170</v>
      </c>
    </row>
    <row r="15" spans="1:3" x14ac:dyDescent="0.2">
      <c r="A15" s="242" t="s">
        <v>490</v>
      </c>
      <c r="B15" s="245">
        <v>30</v>
      </c>
    </row>
    <row r="16" spans="1:3" ht="15.75" x14ac:dyDescent="0.25">
      <c r="A16" s="246" t="s">
        <v>592</v>
      </c>
      <c r="B16" s="247">
        <f>B14-B15</f>
        <v>140</v>
      </c>
    </row>
    <row r="17" spans="1:5" x14ac:dyDescent="0.2">
      <c r="A17" s="242" t="s">
        <v>597</v>
      </c>
      <c r="B17" s="245">
        <v>85</v>
      </c>
    </row>
    <row r="19" spans="1:5" ht="15.75" x14ac:dyDescent="0.25">
      <c r="A19" s="215" t="s">
        <v>598</v>
      </c>
    </row>
    <row r="20" spans="1:5" ht="15.75" x14ac:dyDescent="0.25">
      <c r="A20" s="215" t="s">
        <v>599</v>
      </c>
    </row>
    <row r="21" spans="1:5" x14ac:dyDescent="0.2">
      <c r="A21" s="239" t="s">
        <v>600</v>
      </c>
    </row>
    <row r="22" spans="1:5" x14ac:dyDescent="0.2">
      <c r="A22" s="239" t="s">
        <v>601</v>
      </c>
    </row>
    <row r="23" spans="1:5" x14ac:dyDescent="0.2">
      <c r="A23" s="239" t="s">
        <v>602</v>
      </c>
    </row>
    <row r="24" spans="1:5" x14ac:dyDescent="0.2">
      <c r="A24" s="239" t="s">
        <v>603</v>
      </c>
    </row>
    <row r="25" spans="1:5" x14ac:dyDescent="0.2">
      <c r="A25" s="239" t="s">
        <v>604</v>
      </c>
    </row>
    <row r="26" spans="1:5" ht="15.75" thickBot="1" x14ac:dyDescent="0.25"/>
    <row r="27" spans="1:5" ht="15.75" x14ac:dyDescent="0.25">
      <c r="A27" s="248" t="s">
        <v>605</v>
      </c>
      <c r="B27" s="249"/>
      <c r="C27" s="249"/>
      <c r="D27" s="249"/>
      <c r="E27" s="250"/>
    </row>
    <row r="28" spans="1:5" ht="15.75" x14ac:dyDescent="0.25">
      <c r="A28" s="251" t="s">
        <v>606</v>
      </c>
      <c r="B28" s="245" t="s">
        <v>827</v>
      </c>
      <c r="C28" s="245" t="s">
        <v>607</v>
      </c>
      <c r="D28" s="245" t="s">
        <v>827</v>
      </c>
      <c r="E28" s="252"/>
    </row>
    <row r="29" spans="1:5" x14ac:dyDescent="0.2">
      <c r="A29" s="253"/>
      <c r="B29" s="245" t="s">
        <v>608</v>
      </c>
      <c r="C29" s="245" t="s">
        <v>609</v>
      </c>
      <c r="D29" s="245" t="s">
        <v>608</v>
      </c>
      <c r="E29" s="254"/>
    </row>
    <row r="30" spans="1:5" x14ac:dyDescent="0.2">
      <c r="A30" s="253" t="s">
        <v>610</v>
      </c>
      <c r="B30" s="255">
        <f>C6</f>
        <v>0.6</v>
      </c>
      <c r="C30" s="256">
        <f>B16/B14</f>
        <v>0.82352941176470584</v>
      </c>
      <c r="D30" s="356">
        <f>B30*C30</f>
        <v>0.49411764705882349</v>
      </c>
      <c r="E30" s="257"/>
    </row>
    <row r="31" spans="1:5" x14ac:dyDescent="0.2">
      <c r="A31" s="253" t="s">
        <v>611</v>
      </c>
      <c r="B31" s="255">
        <f>C7</f>
        <v>0.35</v>
      </c>
      <c r="C31" s="256">
        <f>B17/B14</f>
        <v>0.5</v>
      </c>
      <c r="D31" s="356">
        <f>B31*C31</f>
        <v>0.17499999999999999</v>
      </c>
      <c r="E31" s="257"/>
    </row>
    <row r="32" spans="1:5" ht="15.75" x14ac:dyDescent="0.25">
      <c r="A32" s="253"/>
      <c r="B32" s="258"/>
      <c r="C32" s="258"/>
      <c r="D32" s="357">
        <f>SUM(D30:D31)</f>
        <v>0.66911764705882348</v>
      </c>
      <c r="E32" s="257"/>
    </row>
    <row r="33" spans="1:5" ht="15.75" thickBot="1" x14ac:dyDescent="0.25">
      <c r="A33" s="259"/>
      <c r="B33" s="260"/>
      <c r="C33" s="260"/>
      <c r="D33" s="261"/>
      <c r="E33" s="262"/>
    </row>
    <row r="34" spans="1:5" ht="15.75" thickBot="1" x14ac:dyDescent="0.25"/>
    <row r="35" spans="1:5" ht="15.75" x14ac:dyDescent="0.25">
      <c r="A35" s="248" t="s">
        <v>612</v>
      </c>
      <c r="B35" s="263"/>
      <c r="C35" s="263"/>
      <c r="D35" s="264"/>
      <c r="E35" s="265"/>
    </row>
    <row r="36" spans="1:5" ht="15.75" x14ac:dyDescent="0.25">
      <c r="A36" s="251" t="s">
        <v>606</v>
      </c>
      <c r="B36" s="266"/>
      <c r="C36" s="266"/>
      <c r="D36" s="267"/>
      <c r="E36" s="257"/>
    </row>
    <row r="37" spans="1:5" x14ac:dyDescent="0.2">
      <c r="A37" s="253"/>
      <c r="B37" s="239" t="s">
        <v>828</v>
      </c>
      <c r="C37" s="266"/>
      <c r="D37" s="267"/>
      <c r="E37" s="257"/>
    </row>
    <row r="38" spans="1:5" x14ac:dyDescent="0.2">
      <c r="A38" s="253"/>
      <c r="B38" s="266" t="s">
        <v>829</v>
      </c>
      <c r="C38" s="266"/>
      <c r="D38" s="267"/>
      <c r="E38" s="257"/>
    </row>
    <row r="39" spans="1:5" x14ac:dyDescent="0.2">
      <c r="A39" s="253"/>
      <c r="B39" s="266"/>
      <c r="C39" s="266"/>
      <c r="D39" s="267"/>
      <c r="E39" s="257"/>
    </row>
    <row r="40" spans="1:5" ht="15.75" x14ac:dyDescent="0.25">
      <c r="A40" s="253"/>
      <c r="B40" s="268" t="s">
        <v>613</v>
      </c>
      <c r="C40" s="357">
        <f>D32*C5/C8</f>
        <v>13.382352941176469</v>
      </c>
      <c r="D40" s="267"/>
      <c r="E40" s="257"/>
    </row>
    <row r="41" spans="1:5" ht="15.75" thickBot="1" x14ac:dyDescent="0.25">
      <c r="A41" s="259"/>
      <c r="B41" s="269"/>
      <c r="C41" s="269"/>
      <c r="D41" s="261"/>
      <c r="E41" s="270"/>
    </row>
    <row r="42" spans="1:5" ht="15.75" thickBot="1" x14ac:dyDescent="0.25"/>
    <row r="43" spans="1:5" ht="15.75" x14ac:dyDescent="0.25">
      <c r="A43" s="248" t="s">
        <v>614</v>
      </c>
      <c r="B43" s="263"/>
      <c r="C43" s="263"/>
      <c r="D43" s="264"/>
      <c r="E43" s="265"/>
    </row>
    <row r="44" spans="1:5" ht="15.75" x14ac:dyDescent="0.25">
      <c r="A44" s="251" t="s">
        <v>606</v>
      </c>
      <c r="B44" s="266"/>
      <c r="C44" s="266"/>
      <c r="D44" s="267"/>
      <c r="E44" s="257"/>
    </row>
    <row r="45" spans="1:5" x14ac:dyDescent="0.2">
      <c r="A45" s="253"/>
      <c r="B45" s="239" t="s">
        <v>830</v>
      </c>
      <c r="C45" s="266"/>
      <c r="D45" s="267"/>
      <c r="E45" s="257"/>
    </row>
    <row r="46" spans="1:5" x14ac:dyDescent="0.2">
      <c r="A46" s="253"/>
      <c r="B46" s="266" t="s">
        <v>831</v>
      </c>
      <c r="C46" s="266"/>
      <c r="D46" s="267"/>
      <c r="E46" s="257" t="s">
        <v>615</v>
      </c>
    </row>
    <row r="47" spans="1:5" x14ac:dyDescent="0.2">
      <c r="A47" s="253"/>
      <c r="B47" s="266"/>
      <c r="C47" s="266"/>
      <c r="D47" s="267"/>
      <c r="E47" s="257"/>
    </row>
    <row r="48" spans="1:5" x14ac:dyDescent="0.2">
      <c r="A48" s="253"/>
      <c r="B48" s="266" t="s">
        <v>616</v>
      </c>
      <c r="C48" s="266"/>
      <c r="D48" s="267"/>
      <c r="E48" s="257" t="s">
        <v>617</v>
      </c>
    </row>
    <row r="49" spans="1:5" x14ac:dyDescent="0.2">
      <c r="A49" s="253"/>
      <c r="B49" s="266"/>
      <c r="C49" s="266"/>
      <c r="D49" s="267"/>
      <c r="E49" s="257"/>
    </row>
    <row r="50" spans="1:5" ht="15.75" x14ac:dyDescent="0.25">
      <c r="A50" s="253"/>
      <c r="B50" s="268" t="s">
        <v>618</v>
      </c>
      <c r="C50" s="271">
        <f>1/C40</f>
        <v>7.4725274725274737E-2</v>
      </c>
      <c r="D50" s="267" t="s">
        <v>619</v>
      </c>
      <c r="E50" s="257"/>
    </row>
    <row r="51" spans="1:5" ht="15.75" x14ac:dyDescent="0.25">
      <c r="A51" s="253"/>
      <c r="B51" s="268" t="s">
        <v>618</v>
      </c>
      <c r="C51" s="271">
        <f>(1+C50)^(360/170)-1</f>
        <v>0.16486870912726737</v>
      </c>
      <c r="D51" s="267" t="s">
        <v>620</v>
      </c>
      <c r="E51" s="257"/>
    </row>
    <row r="52" spans="1:5" ht="15.75" thickBot="1" x14ac:dyDescent="0.25">
      <c r="A52" s="259"/>
      <c r="B52" s="269"/>
      <c r="C52" s="269"/>
      <c r="D52" s="261"/>
      <c r="E52" s="270"/>
    </row>
  </sheetData>
  <pageMargins left="0.75" right="0.75" top="1" bottom="1" header="0" footer="0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51AA-1562-4CC4-8F66-F7760904A4D8}">
  <dimension ref="A1:IV45"/>
  <sheetViews>
    <sheetView topLeftCell="A4" zoomScale="130" zoomScaleNormal="130" workbookViewId="0">
      <pane ySplit="15" topLeftCell="A19" activePane="bottomLeft" state="frozen"/>
      <selection activeCell="E23" sqref="E23"/>
      <selection pane="bottomLeft" activeCell="E23" sqref="E23"/>
    </sheetView>
  </sheetViews>
  <sheetFormatPr baseColWidth="10" defaultRowHeight="12.75" x14ac:dyDescent="0.2"/>
  <cols>
    <col min="1" max="1" width="22.7109375" style="210" customWidth="1"/>
    <col min="2" max="2" width="12.7109375" style="210" customWidth="1"/>
    <col min="3" max="3" width="12.5703125" style="210" customWidth="1"/>
    <col min="4" max="5" width="11.5703125" style="210"/>
    <col min="6" max="6" width="12" style="210" customWidth="1"/>
    <col min="7" max="10" width="11.5703125" style="210"/>
    <col min="11" max="11" width="12.85546875" style="210" customWidth="1"/>
    <col min="12" max="256" width="11.5703125" style="210"/>
    <col min="257" max="257" width="22.7109375" style="210" customWidth="1"/>
    <col min="258" max="258" width="12.7109375" style="210" customWidth="1"/>
    <col min="259" max="259" width="12.5703125" style="210" customWidth="1"/>
    <col min="260" max="261" width="11.5703125" style="210"/>
    <col min="262" max="262" width="12" style="210" customWidth="1"/>
    <col min="263" max="266" width="11.5703125" style="210"/>
    <col min="267" max="267" width="12.85546875" style="210" customWidth="1"/>
    <col min="268" max="512" width="11.5703125" style="210"/>
    <col min="513" max="513" width="22.7109375" style="210" customWidth="1"/>
    <col min="514" max="514" width="12.7109375" style="210" customWidth="1"/>
    <col min="515" max="515" width="12.5703125" style="210" customWidth="1"/>
    <col min="516" max="517" width="11.5703125" style="210"/>
    <col min="518" max="518" width="12" style="210" customWidth="1"/>
    <col min="519" max="522" width="11.5703125" style="210"/>
    <col min="523" max="523" width="12.85546875" style="210" customWidth="1"/>
    <col min="524" max="768" width="11.5703125" style="210"/>
    <col min="769" max="769" width="22.7109375" style="210" customWidth="1"/>
    <col min="770" max="770" width="12.7109375" style="210" customWidth="1"/>
    <col min="771" max="771" width="12.5703125" style="210" customWidth="1"/>
    <col min="772" max="773" width="11.5703125" style="210"/>
    <col min="774" max="774" width="12" style="210" customWidth="1"/>
    <col min="775" max="778" width="11.5703125" style="210"/>
    <col min="779" max="779" width="12.85546875" style="210" customWidth="1"/>
    <col min="780" max="1024" width="11.5703125" style="210"/>
    <col min="1025" max="1025" width="22.7109375" style="210" customWidth="1"/>
    <col min="1026" max="1026" width="12.7109375" style="210" customWidth="1"/>
    <col min="1027" max="1027" width="12.5703125" style="210" customWidth="1"/>
    <col min="1028" max="1029" width="11.5703125" style="210"/>
    <col min="1030" max="1030" width="12" style="210" customWidth="1"/>
    <col min="1031" max="1034" width="11.5703125" style="210"/>
    <col min="1035" max="1035" width="12.85546875" style="210" customWidth="1"/>
    <col min="1036" max="1280" width="11.5703125" style="210"/>
    <col min="1281" max="1281" width="22.7109375" style="210" customWidth="1"/>
    <col min="1282" max="1282" width="12.7109375" style="210" customWidth="1"/>
    <col min="1283" max="1283" width="12.5703125" style="210" customWidth="1"/>
    <col min="1284" max="1285" width="11.5703125" style="210"/>
    <col min="1286" max="1286" width="12" style="210" customWidth="1"/>
    <col min="1287" max="1290" width="11.5703125" style="210"/>
    <col min="1291" max="1291" width="12.85546875" style="210" customWidth="1"/>
    <col min="1292" max="1536" width="11.5703125" style="210"/>
    <col min="1537" max="1537" width="22.7109375" style="210" customWidth="1"/>
    <col min="1538" max="1538" width="12.7109375" style="210" customWidth="1"/>
    <col min="1539" max="1539" width="12.5703125" style="210" customWidth="1"/>
    <col min="1540" max="1541" width="11.5703125" style="210"/>
    <col min="1542" max="1542" width="12" style="210" customWidth="1"/>
    <col min="1543" max="1546" width="11.5703125" style="210"/>
    <col min="1547" max="1547" width="12.85546875" style="210" customWidth="1"/>
    <col min="1548" max="1792" width="11.5703125" style="210"/>
    <col min="1793" max="1793" width="22.7109375" style="210" customWidth="1"/>
    <col min="1794" max="1794" width="12.7109375" style="210" customWidth="1"/>
    <col min="1795" max="1795" width="12.5703125" style="210" customWidth="1"/>
    <col min="1796" max="1797" width="11.5703125" style="210"/>
    <col min="1798" max="1798" width="12" style="210" customWidth="1"/>
    <col min="1799" max="1802" width="11.5703125" style="210"/>
    <col min="1803" max="1803" width="12.85546875" style="210" customWidth="1"/>
    <col min="1804" max="2048" width="11.5703125" style="210"/>
    <col min="2049" max="2049" width="22.7109375" style="210" customWidth="1"/>
    <col min="2050" max="2050" width="12.7109375" style="210" customWidth="1"/>
    <col min="2051" max="2051" width="12.5703125" style="210" customWidth="1"/>
    <col min="2052" max="2053" width="11.5703125" style="210"/>
    <col min="2054" max="2054" width="12" style="210" customWidth="1"/>
    <col min="2055" max="2058" width="11.5703125" style="210"/>
    <col min="2059" max="2059" width="12.85546875" style="210" customWidth="1"/>
    <col min="2060" max="2304" width="11.5703125" style="210"/>
    <col min="2305" max="2305" width="22.7109375" style="210" customWidth="1"/>
    <col min="2306" max="2306" width="12.7109375" style="210" customWidth="1"/>
    <col min="2307" max="2307" width="12.5703125" style="210" customWidth="1"/>
    <col min="2308" max="2309" width="11.5703125" style="210"/>
    <col min="2310" max="2310" width="12" style="210" customWidth="1"/>
    <col min="2311" max="2314" width="11.5703125" style="210"/>
    <col min="2315" max="2315" width="12.85546875" style="210" customWidth="1"/>
    <col min="2316" max="2560" width="11.5703125" style="210"/>
    <col min="2561" max="2561" width="22.7109375" style="210" customWidth="1"/>
    <col min="2562" max="2562" width="12.7109375" style="210" customWidth="1"/>
    <col min="2563" max="2563" width="12.5703125" style="210" customWidth="1"/>
    <col min="2564" max="2565" width="11.5703125" style="210"/>
    <col min="2566" max="2566" width="12" style="210" customWidth="1"/>
    <col min="2567" max="2570" width="11.5703125" style="210"/>
    <col min="2571" max="2571" width="12.85546875" style="210" customWidth="1"/>
    <col min="2572" max="2816" width="11.5703125" style="210"/>
    <col min="2817" max="2817" width="22.7109375" style="210" customWidth="1"/>
    <col min="2818" max="2818" width="12.7109375" style="210" customWidth="1"/>
    <col min="2819" max="2819" width="12.5703125" style="210" customWidth="1"/>
    <col min="2820" max="2821" width="11.5703125" style="210"/>
    <col min="2822" max="2822" width="12" style="210" customWidth="1"/>
    <col min="2823" max="2826" width="11.5703125" style="210"/>
    <col min="2827" max="2827" width="12.85546875" style="210" customWidth="1"/>
    <col min="2828" max="3072" width="11.5703125" style="210"/>
    <col min="3073" max="3073" width="22.7109375" style="210" customWidth="1"/>
    <col min="3074" max="3074" width="12.7109375" style="210" customWidth="1"/>
    <col min="3075" max="3075" width="12.5703125" style="210" customWidth="1"/>
    <col min="3076" max="3077" width="11.5703125" style="210"/>
    <col min="3078" max="3078" width="12" style="210" customWidth="1"/>
    <col min="3079" max="3082" width="11.5703125" style="210"/>
    <col min="3083" max="3083" width="12.85546875" style="210" customWidth="1"/>
    <col min="3084" max="3328" width="11.5703125" style="210"/>
    <col min="3329" max="3329" width="22.7109375" style="210" customWidth="1"/>
    <col min="3330" max="3330" width="12.7109375" style="210" customWidth="1"/>
    <col min="3331" max="3331" width="12.5703125" style="210" customWidth="1"/>
    <col min="3332" max="3333" width="11.5703125" style="210"/>
    <col min="3334" max="3334" width="12" style="210" customWidth="1"/>
    <col min="3335" max="3338" width="11.5703125" style="210"/>
    <col min="3339" max="3339" width="12.85546875" style="210" customWidth="1"/>
    <col min="3340" max="3584" width="11.5703125" style="210"/>
    <col min="3585" max="3585" width="22.7109375" style="210" customWidth="1"/>
    <col min="3586" max="3586" width="12.7109375" style="210" customWidth="1"/>
    <col min="3587" max="3587" width="12.5703125" style="210" customWidth="1"/>
    <col min="3588" max="3589" width="11.5703125" style="210"/>
    <col min="3590" max="3590" width="12" style="210" customWidth="1"/>
    <col min="3591" max="3594" width="11.5703125" style="210"/>
    <col min="3595" max="3595" width="12.85546875" style="210" customWidth="1"/>
    <col min="3596" max="3840" width="11.5703125" style="210"/>
    <col min="3841" max="3841" width="22.7109375" style="210" customWidth="1"/>
    <col min="3842" max="3842" width="12.7109375" style="210" customWidth="1"/>
    <col min="3843" max="3843" width="12.5703125" style="210" customWidth="1"/>
    <col min="3844" max="3845" width="11.5703125" style="210"/>
    <col min="3846" max="3846" width="12" style="210" customWidth="1"/>
    <col min="3847" max="3850" width="11.5703125" style="210"/>
    <col min="3851" max="3851" width="12.85546875" style="210" customWidth="1"/>
    <col min="3852" max="4096" width="11.5703125" style="210"/>
    <col min="4097" max="4097" width="22.7109375" style="210" customWidth="1"/>
    <col min="4098" max="4098" width="12.7109375" style="210" customWidth="1"/>
    <col min="4099" max="4099" width="12.5703125" style="210" customWidth="1"/>
    <col min="4100" max="4101" width="11.5703125" style="210"/>
    <col min="4102" max="4102" width="12" style="210" customWidth="1"/>
    <col min="4103" max="4106" width="11.5703125" style="210"/>
    <col min="4107" max="4107" width="12.85546875" style="210" customWidth="1"/>
    <col min="4108" max="4352" width="11.5703125" style="210"/>
    <col min="4353" max="4353" width="22.7109375" style="210" customWidth="1"/>
    <col min="4354" max="4354" width="12.7109375" style="210" customWidth="1"/>
    <col min="4355" max="4355" width="12.5703125" style="210" customWidth="1"/>
    <col min="4356" max="4357" width="11.5703125" style="210"/>
    <col min="4358" max="4358" width="12" style="210" customWidth="1"/>
    <col min="4359" max="4362" width="11.5703125" style="210"/>
    <col min="4363" max="4363" width="12.85546875" style="210" customWidth="1"/>
    <col min="4364" max="4608" width="11.5703125" style="210"/>
    <col min="4609" max="4609" width="22.7109375" style="210" customWidth="1"/>
    <col min="4610" max="4610" width="12.7109375" style="210" customWidth="1"/>
    <col min="4611" max="4611" width="12.5703125" style="210" customWidth="1"/>
    <col min="4612" max="4613" width="11.5703125" style="210"/>
    <col min="4614" max="4614" width="12" style="210" customWidth="1"/>
    <col min="4615" max="4618" width="11.5703125" style="210"/>
    <col min="4619" max="4619" width="12.85546875" style="210" customWidth="1"/>
    <col min="4620" max="4864" width="11.5703125" style="210"/>
    <col min="4865" max="4865" width="22.7109375" style="210" customWidth="1"/>
    <col min="4866" max="4866" width="12.7109375" style="210" customWidth="1"/>
    <col min="4867" max="4867" width="12.5703125" style="210" customWidth="1"/>
    <col min="4868" max="4869" width="11.5703125" style="210"/>
    <col min="4870" max="4870" width="12" style="210" customWidth="1"/>
    <col min="4871" max="4874" width="11.5703125" style="210"/>
    <col min="4875" max="4875" width="12.85546875" style="210" customWidth="1"/>
    <col min="4876" max="5120" width="11.5703125" style="210"/>
    <col min="5121" max="5121" width="22.7109375" style="210" customWidth="1"/>
    <col min="5122" max="5122" width="12.7109375" style="210" customWidth="1"/>
    <col min="5123" max="5123" width="12.5703125" style="210" customWidth="1"/>
    <col min="5124" max="5125" width="11.5703125" style="210"/>
    <col min="5126" max="5126" width="12" style="210" customWidth="1"/>
    <col min="5127" max="5130" width="11.5703125" style="210"/>
    <col min="5131" max="5131" width="12.85546875" style="210" customWidth="1"/>
    <col min="5132" max="5376" width="11.5703125" style="210"/>
    <col min="5377" max="5377" width="22.7109375" style="210" customWidth="1"/>
    <col min="5378" max="5378" width="12.7109375" style="210" customWidth="1"/>
    <col min="5379" max="5379" width="12.5703125" style="210" customWidth="1"/>
    <col min="5380" max="5381" width="11.5703125" style="210"/>
    <col min="5382" max="5382" width="12" style="210" customWidth="1"/>
    <col min="5383" max="5386" width="11.5703125" style="210"/>
    <col min="5387" max="5387" width="12.85546875" style="210" customWidth="1"/>
    <col min="5388" max="5632" width="11.5703125" style="210"/>
    <col min="5633" max="5633" width="22.7109375" style="210" customWidth="1"/>
    <col min="5634" max="5634" width="12.7109375" style="210" customWidth="1"/>
    <col min="5635" max="5635" width="12.5703125" style="210" customWidth="1"/>
    <col min="5636" max="5637" width="11.5703125" style="210"/>
    <col min="5638" max="5638" width="12" style="210" customWidth="1"/>
    <col min="5639" max="5642" width="11.5703125" style="210"/>
    <col min="5643" max="5643" width="12.85546875" style="210" customWidth="1"/>
    <col min="5644" max="5888" width="11.5703125" style="210"/>
    <col min="5889" max="5889" width="22.7109375" style="210" customWidth="1"/>
    <col min="5890" max="5890" width="12.7109375" style="210" customWidth="1"/>
    <col min="5891" max="5891" width="12.5703125" style="210" customWidth="1"/>
    <col min="5892" max="5893" width="11.5703125" style="210"/>
    <col min="5894" max="5894" width="12" style="210" customWidth="1"/>
    <col min="5895" max="5898" width="11.5703125" style="210"/>
    <col min="5899" max="5899" width="12.85546875" style="210" customWidth="1"/>
    <col min="5900" max="6144" width="11.5703125" style="210"/>
    <col min="6145" max="6145" width="22.7109375" style="210" customWidth="1"/>
    <col min="6146" max="6146" width="12.7109375" style="210" customWidth="1"/>
    <col min="6147" max="6147" width="12.5703125" style="210" customWidth="1"/>
    <col min="6148" max="6149" width="11.5703125" style="210"/>
    <col min="6150" max="6150" width="12" style="210" customWidth="1"/>
    <col min="6151" max="6154" width="11.5703125" style="210"/>
    <col min="6155" max="6155" width="12.85546875" style="210" customWidth="1"/>
    <col min="6156" max="6400" width="11.5703125" style="210"/>
    <col min="6401" max="6401" width="22.7109375" style="210" customWidth="1"/>
    <col min="6402" max="6402" width="12.7109375" style="210" customWidth="1"/>
    <col min="6403" max="6403" width="12.5703125" style="210" customWidth="1"/>
    <col min="6404" max="6405" width="11.5703125" style="210"/>
    <col min="6406" max="6406" width="12" style="210" customWidth="1"/>
    <col min="6407" max="6410" width="11.5703125" style="210"/>
    <col min="6411" max="6411" width="12.85546875" style="210" customWidth="1"/>
    <col min="6412" max="6656" width="11.5703125" style="210"/>
    <col min="6657" max="6657" width="22.7109375" style="210" customWidth="1"/>
    <col min="6658" max="6658" width="12.7109375" style="210" customWidth="1"/>
    <col min="6659" max="6659" width="12.5703125" style="210" customWidth="1"/>
    <col min="6660" max="6661" width="11.5703125" style="210"/>
    <col min="6662" max="6662" width="12" style="210" customWidth="1"/>
    <col min="6663" max="6666" width="11.5703125" style="210"/>
    <col min="6667" max="6667" width="12.85546875" style="210" customWidth="1"/>
    <col min="6668" max="6912" width="11.5703125" style="210"/>
    <col min="6913" max="6913" width="22.7109375" style="210" customWidth="1"/>
    <col min="6914" max="6914" width="12.7109375" style="210" customWidth="1"/>
    <col min="6915" max="6915" width="12.5703125" style="210" customWidth="1"/>
    <col min="6916" max="6917" width="11.5703125" style="210"/>
    <col min="6918" max="6918" width="12" style="210" customWidth="1"/>
    <col min="6919" max="6922" width="11.5703125" style="210"/>
    <col min="6923" max="6923" width="12.85546875" style="210" customWidth="1"/>
    <col min="6924" max="7168" width="11.5703125" style="210"/>
    <col min="7169" max="7169" width="22.7109375" style="210" customWidth="1"/>
    <col min="7170" max="7170" width="12.7109375" style="210" customWidth="1"/>
    <col min="7171" max="7171" width="12.5703125" style="210" customWidth="1"/>
    <col min="7172" max="7173" width="11.5703125" style="210"/>
    <col min="7174" max="7174" width="12" style="210" customWidth="1"/>
    <col min="7175" max="7178" width="11.5703125" style="210"/>
    <col min="7179" max="7179" width="12.85546875" style="210" customWidth="1"/>
    <col min="7180" max="7424" width="11.5703125" style="210"/>
    <col min="7425" max="7425" width="22.7109375" style="210" customWidth="1"/>
    <col min="7426" max="7426" width="12.7109375" style="210" customWidth="1"/>
    <col min="7427" max="7427" width="12.5703125" style="210" customWidth="1"/>
    <col min="7428" max="7429" width="11.5703125" style="210"/>
    <col min="7430" max="7430" width="12" style="210" customWidth="1"/>
    <col min="7431" max="7434" width="11.5703125" style="210"/>
    <col min="7435" max="7435" width="12.85546875" style="210" customWidth="1"/>
    <col min="7436" max="7680" width="11.5703125" style="210"/>
    <col min="7681" max="7681" width="22.7109375" style="210" customWidth="1"/>
    <col min="7682" max="7682" width="12.7109375" style="210" customWidth="1"/>
    <col min="7683" max="7683" width="12.5703125" style="210" customWidth="1"/>
    <col min="7684" max="7685" width="11.5703125" style="210"/>
    <col min="7686" max="7686" width="12" style="210" customWidth="1"/>
    <col min="7687" max="7690" width="11.5703125" style="210"/>
    <col min="7691" max="7691" width="12.85546875" style="210" customWidth="1"/>
    <col min="7692" max="7936" width="11.5703125" style="210"/>
    <col min="7937" max="7937" width="22.7109375" style="210" customWidth="1"/>
    <col min="7938" max="7938" width="12.7109375" style="210" customWidth="1"/>
    <col min="7939" max="7939" width="12.5703125" style="210" customWidth="1"/>
    <col min="7940" max="7941" width="11.5703125" style="210"/>
    <col min="7942" max="7942" width="12" style="210" customWidth="1"/>
    <col min="7943" max="7946" width="11.5703125" style="210"/>
    <col min="7947" max="7947" width="12.85546875" style="210" customWidth="1"/>
    <col min="7948" max="8192" width="11.5703125" style="210"/>
    <col min="8193" max="8193" width="22.7109375" style="210" customWidth="1"/>
    <col min="8194" max="8194" width="12.7109375" style="210" customWidth="1"/>
    <col min="8195" max="8195" width="12.5703125" style="210" customWidth="1"/>
    <col min="8196" max="8197" width="11.5703125" style="210"/>
    <col min="8198" max="8198" width="12" style="210" customWidth="1"/>
    <col min="8199" max="8202" width="11.5703125" style="210"/>
    <col min="8203" max="8203" width="12.85546875" style="210" customWidth="1"/>
    <col min="8204" max="8448" width="11.5703125" style="210"/>
    <col min="8449" max="8449" width="22.7109375" style="210" customWidth="1"/>
    <col min="8450" max="8450" width="12.7109375" style="210" customWidth="1"/>
    <col min="8451" max="8451" width="12.5703125" style="210" customWidth="1"/>
    <col min="8452" max="8453" width="11.5703125" style="210"/>
    <col min="8454" max="8454" width="12" style="210" customWidth="1"/>
    <col min="8455" max="8458" width="11.5703125" style="210"/>
    <col min="8459" max="8459" width="12.85546875" style="210" customWidth="1"/>
    <col min="8460" max="8704" width="11.5703125" style="210"/>
    <col min="8705" max="8705" width="22.7109375" style="210" customWidth="1"/>
    <col min="8706" max="8706" width="12.7109375" style="210" customWidth="1"/>
    <col min="8707" max="8707" width="12.5703125" style="210" customWidth="1"/>
    <col min="8708" max="8709" width="11.5703125" style="210"/>
    <col min="8710" max="8710" width="12" style="210" customWidth="1"/>
    <col min="8711" max="8714" width="11.5703125" style="210"/>
    <col min="8715" max="8715" width="12.85546875" style="210" customWidth="1"/>
    <col min="8716" max="8960" width="11.5703125" style="210"/>
    <col min="8961" max="8961" width="22.7109375" style="210" customWidth="1"/>
    <col min="8962" max="8962" width="12.7109375" style="210" customWidth="1"/>
    <col min="8963" max="8963" width="12.5703125" style="210" customWidth="1"/>
    <col min="8964" max="8965" width="11.5703125" style="210"/>
    <col min="8966" max="8966" width="12" style="210" customWidth="1"/>
    <col min="8967" max="8970" width="11.5703125" style="210"/>
    <col min="8971" max="8971" width="12.85546875" style="210" customWidth="1"/>
    <col min="8972" max="9216" width="11.5703125" style="210"/>
    <col min="9217" max="9217" width="22.7109375" style="210" customWidth="1"/>
    <col min="9218" max="9218" width="12.7109375" style="210" customWidth="1"/>
    <col min="9219" max="9219" width="12.5703125" style="210" customWidth="1"/>
    <col min="9220" max="9221" width="11.5703125" style="210"/>
    <col min="9222" max="9222" width="12" style="210" customWidth="1"/>
    <col min="9223" max="9226" width="11.5703125" style="210"/>
    <col min="9227" max="9227" width="12.85546875" style="210" customWidth="1"/>
    <col min="9228" max="9472" width="11.5703125" style="210"/>
    <col min="9473" max="9473" width="22.7109375" style="210" customWidth="1"/>
    <col min="9474" max="9474" width="12.7109375" style="210" customWidth="1"/>
    <col min="9475" max="9475" width="12.5703125" style="210" customWidth="1"/>
    <col min="9476" max="9477" width="11.5703125" style="210"/>
    <col min="9478" max="9478" width="12" style="210" customWidth="1"/>
    <col min="9479" max="9482" width="11.5703125" style="210"/>
    <col min="9483" max="9483" width="12.85546875" style="210" customWidth="1"/>
    <col min="9484" max="9728" width="11.5703125" style="210"/>
    <col min="9729" max="9729" width="22.7109375" style="210" customWidth="1"/>
    <col min="9730" max="9730" width="12.7109375" style="210" customWidth="1"/>
    <col min="9731" max="9731" width="12.5703125" style="210" customWidth="1"/>
    <col min="9732" max="9733" width="11.5703125" style="210"/>
    <col min="9734" max="9734" width="12" style="210" customWidth="1"/>
    <col min="9735" max="9738" width="11.5703125" style="210"/>
    <col min="9739" max="9739" width="12.85546875" style="210" customWidth="1"/>
    <col min="9740" max="9984" width="11.5703125" style="210"/>
    <col min="9985" max="9985" width="22.7109375" style="210" customWidth="1"/>
    <col min="9986" max="9986" width="12.7109375" style="210" customWidth="1"/>
    <col min="9987" max="9987" width="12.5703125" style="210" customWidth="1"/>
    <col min="9988" max="9989" width="11.5703125" style="210"/>
    <col min="9990" max="9990" width="12" style="210" customWidth="1"/>
    <col min="9991" max="9994" width="11.5703125" style="210"/>
    <col min="9995" max="9995" width="12.85546875" style="210" customWidth="1"/>
    <col min="9996" max="10240" width="11.5703125" style="210"/>
    <col min="10241" max="10241" width="22.7109375" style="210" customWidth="1"/>
    <col min="10242" max="10242" width="12.7109375" style="210" customWidth="1"/>
    <col min="10243" max="10243" width="12.5703125" style="210" customWidth="1"/>
    <col min="10244" max="10245" width="11.5703125" style="210"/>
    <col min="10246" max="10246" width="12" style="210" customWidth="1"/>
    <col min="10247" max="10250" width="11.5703125" style="210"/>
    <col min="10251" max="10251" width="12.85546875" style="210" customWidth="1"/>
    <col min="10252" max="10496" width="11.5703125" style="210"/>
    <col min="10497" max="10497" width="22.7109375" style="210" customWidth="1"/>
    <col min="10498" max="10498" width="12.7109375" style="210" customWidth="1"/>
    <col min="10499" max="10499" width="12.5703125" style="210" customWidth="1"/>
    <col min="10500" max="10501" width="11.5703125" style="210"/>
    <col min="10502" max="10502" width="12" style="210" customWidth="1"/>
    <col min="10503" max="10506" width="11.5703125" style="210"/>
    <col min="10507" max="10507" width="12.85546875" style="210" customWidth="1"/>
    <col min="10508" max="10752" width="11.5703125" style="210"/>
    <col min="10753" max="10753" width="22.7109375" style="210" customWidth="1"/>
    <col min="10754" max="10754" width="12.7109375" style="210" customWidth="1"/>
    <col min="10755" max="10755" width="12.5703125" style="210" customWidth="1"/>
    <col min="10756" max="10757" width="11.5703125" style="210"/>
    <col min="10758" max="10758" width="12" style="210" customWidth="1"/>
    <col min="10759" max="10762" width="11.5703125" style="210"/>
    <col min="10763" max="10763" width="12.85546875" style="210" customWidth="1"/>
    <col min="10764" max="11008" width="11.5703125" style="210"/>
    <col min="11009" max="11009" width="22.7109375" style="210" customWidth="1"/>
    <col min="11010" max="11010" width="12.7109375" style="210" customWidth="1"/>
    <col min="11011" max="11011" width="12.5703125" style="210" customWidth="1"/>
    <col min="11012" max="11013" width="11.5703125" style="210"/>
    <col min="11014" max="11014" width="12" style="210" customWidth="1"/>
    <col min="11015" max="11018" width="11.5703125" style="210"/>
    <col min="11019" max="11019" width="12.85546875" style="210" customWidth="1"/>
    <col min="11020" max="11264" width="11.5703125" style="210"/>
    <col min="11265" max="11265" width="22.7109375" style="210" customWidth="1"/>
    <col min="11266" max="11266" width="12.7109375" style="210" customWidth="1"/>
    <col min="11267" max="11267" width="12.5703125" style="210" customWidth="1"/>
    <col min="11268" max="11269" width="11.5703125" style="210"/>
    <col min="11270" max="11270" width="12" style="210" customWidth="1"/>
    <col min="11271" max="11274" width="11.5703125" style="210"/>
    <col min="11275" max="11275" width="12.85546875" style="210" customWidth="1"/>
    <col min="11276" max="11520" width="11.5703125" style="210"/>
    <col min="11521" max="11521" width="22.7109375" style="210" customWidth="1"/>
    <col min="11522" max="11522" width="12.7109375" style="210" customWidth="1"/>
    <col min="11523" max="11523" width="12.5703125" style="210" customWidth="1"/>
    <col min="11524" max="11525" width="11.5703125" style="210"/>
    <col min="11526" max="11526" width="12" style="210" customWidth="1"/>
    <col min="11527" max="11530" width="11.5703125" style="210"/>
    <col min="11531" max="11531" width="12.85546875" style="210" customWidth="1"/>
    <col min="11532" max="11776" width="11.5703125" style="210"/>
    <col min="11777" max="11777" width="22.7109375" style="210" customWidth="1"/>
    <col min="11778" max="11778" width="12.7109375" style="210" customWidth="1"/>
    <col min="11779" max="11779" width="12.5703125" style="210" customWidth="1"/>
    <col min="11780" max="11781" width="11.5703125" style="210"/>
    <col min="11782" max="11782" width="12" style="210" customWidth="1"/>
    <col min="11783" max="11786" width="11.5703125" style="210"/>
    <col min="11787" max="11787" width="12.85546875" style="210" customWidth="1"/>
    <col min="11788" max="12032" width="11.5703125" style="210"/>
    <col min="12033" max="12033" width="22.7109375" style="210" customWidth="1"/>
    <col min="12034" max="12034" width="12.7109375" style="210" customWidth="1"/>
    <col min="12035" max="12035" width="12.5703125" style="210" customWidth="1"/>
    <col min="12036" max="12037" width="11.5703125" style="210"/>
    <col min="12038" max="12038" width="12" style="210" customWidth="1"/>
    <col min="12039" max="12042" width="11.5703125" style="210"/>
    <col min="12043" max="12043" width="12.85546875" style="210" customWidth="1"/>
    <col min="12044" max="12288" width="11.5703125" style="210"/>
    <col min="12289" max="12289" width="22.7109375" style="210" customWidth="1"/>
    <col min="12290" max="12290" width="12.7109375" style="210" customWidth="1"/>
    <col min="12291" max="12291" width="12.5703125" style="210" customWidth="1"/>
    <col min="12292" max="12293" width="11.5703125" style="210"/>
    <col min="12294" max="12294" width="12" style="210" customWidth="1"/>
    <col min="12295" max="12298" width="11.5703125" style="210"/>
    <col min="12299" max="12299" width="12.85546875" style="210" customWidth="1"/>
    <col min="12300" max="12544" width="11.5703125" style="210"/>
    <col min="12545" max="12545" width="22.7109375" style="210" customWidth="1"/>
    <col min="12546" max="12546" width="12.7109375" style="210" customWidth="1"/>
    <col min="12547" max="12547" width="12.5703125" style="210" customWidth="1"/>
    <col min="12548" max="12549" width="11.5703125" style="210"/>
    <col min="12550" max="12550" width="12" style="210" customWidth="1"/>
    <col min="12551" max="12554" width="11.5703125" style="210"/>
    <col min="12555" max="12555" width="12.85546875" style="210" customWidth="1"/>
    <col min="12556" max="12800" width="11.5703125" style="210"/>
    <col min="12801" max="12801" width="22.7109375" style="210" customWidth="1"/>
    <col min="12802" max="12802" width="12.7109375" style="210" customWidth="1"/>
    <col min="12803" max="12803" width="12.5703125" style="210" customWidth="1"/>
    <col min="12804" max="12805" width="11.5703125" style="210"/>
    <col min="12806" max="12806" width="12" style="210" customWidth="1"/>
    <col min="12807" max="12810" width="11.5703125" style="210"/>
    <col min="12811" max="12811" width="12.85546875" style="210" customWidth="1"/>
    <col min="12812" max="13056" width="11.5703125" style="210"/>
    <col min="13057" max="13057" width="22.7109375" style="210" customWidth="1"/>
    <col min="13058" max="13058" width="12.7109375" style="210" customWidth="1"/>
    <col min="13059" max="13059" width="12.5703125" style="210" customWidth="1"/>
    <col min="13060" max="13061" width="11.5703125" style="210"/>
    <col min="13062" max="13062" width="12" style="210" customWidth="1"/>
    <col min="13063" max="13066" width="11.5703125" style="210"/>
    <col min="13067" max="13067" width="12.85546875" style="210" customWidth="1"/>
    <col min="13068" max="13312" width="11.5703125" style="210"/>
    <col min="13313" max="13313" width="22.7109375" style="210" customWidth="1"/>
    <col min="13314" max="13314" width="12.7109375" style="210" customWidth="1"/>
    <col min="13315" max="13315" width="12.5703125" style="210" customWidth="1"/>
    <col min="13316" max="13317" width="11.5703125" style="210"/>
    <col min="13318" max="13318" width="12" style="210" customWidth="1"/>
    <col min="13319" max="13322" width="11.5703125" style="210"/>
    <col min="13323" max="13323" width="12.85546875" style="210" customWidth="1"/>
    <col min="13324" max="13568" width="11.5703125" style="210"/>
    <col min="13569" max="13569" width="22.7109375" style="210" customWidth="1"/>
    <col min="13570" max="13570" width="12.7109375" style="210" customWidth="1"/>
    <col min="13571" max="13571" width="12.5703125" style="210" customWidth="1"/>
    <col min="13572" max="13573" width="11.5703125" style="210"/>
    <col min="13574" max="13574" width="12" style="210" customWidth="1"/>
    <col min="13575" max="13578" width="11.5703125" style="210"/>
    <col min="13579" max="13579" width="12.85546875" style="210" customWidth="1"/>
    <col min="13580" max="13824" width="11.5703125" style="210"/>
    <col min="13825" max="13825" width="22.7109375" style="210" customWidth="1"/>
    <col min="13826" max="13826" width="12.7109375" style="210" customWidth="1"/>
    <col min="13827" max="13827" width="12.5703125" style="210" customWidth="1"/>
    <col min="13828" max="13829" width="11.5703125" style="210"/>
    <col min="13830" max="13830" width="12" style="210" customWidth="1"/>
    <col min="13831" max="13834" width="11.5703125" style="210"/>
    <col min="13835" max="13835" width="12.85546875" style="210" customWidth="1"/>
    <col min="13836" max="14080" width="11.5703125" style="210"/>
    <col min="14081" max="14081" width="22.7109375" style="210" customWidth="1"/>
    <col min="14082" max="14082" width="12.7109375" style="210" customWidth="1"/>
    <col min="14083" max="14083" width="12.5703125" style="210" customWidth="1"/>
    <col min="14084" max="14085" width="11.5703125" style="210"/>
    <col min="14086" max="14086" width="12" style="210" customWidth="1"/>
    <col min="14087" max="14090" width="11.5703125" style="210"/>
    <col min="14091" max="14091" width="12.85546875" style="210" customWidth="1"/>
    <col min="14092" max="14336" width="11.5703125" style="210"/>
    <col min="14337" max="14337" width="22.7109375" style="210" customWidth="1"/>
    <col min="14338" max="14338" width="12.7109375" style="210" customWidth="1"/>
    <col min="14339" max="14339" width="12.5703125" style="210" customWidth="1"/>
    <col min="14340" max="14341" width="11.5703125" style="210"/>
    <col min="14342" max="14342" width="12" style="210" customWidth="1"/>
    <col min="14343" max="14346" width="11.5703125" style="210"/>
    <col min="14347" max="14347" width="12.85546875" style="210" customWidth="1"/>
    <col min="14348" max="14592" width="11.5703125" style="210"/>
    <col min="14593" max="14593" width="22.7109375" style="210" customWidth="1"/>
    <col min="14594" max="14594" width="12.7109375" style="210" customWidth="1"/>
    <col min="14595" max="14595" width="12.5703125" style="210" customWidth="1"/>
    <col min="14596" max="14597" width="11.5703125" style="210"/>
    <col min="14598" max="14598" width="12" style="210" customWidth="1"/>
    <col min="14599" max="14602" width="11.5703125" style="210"/>
    <col min="14603" max="14603" width="12.85546875" style="210" customWidth="1"/>
    <col min="14604" max="14848" width="11.5703125" style="210"/>
    <col min="14849" max="14849" width="22.7109375" style="210" customWidth="1"/>
    <col min="14850" max="14850" width="12.7109375" style="210" customWidth="1"/>
    <col min="14851" max="14851" width="12.5703125" style="210" customWidth="1"/>
    <col min="14852" max="14853" width="11.5703125" style="210"/>
    <col min="14854" max="14854" width="12" style="210" customWidth="1"/>
    <col min="14855" max="14858" width="11.5703125" style="210"/>
    <col min="14859" max="14859" width="12.85546875" style="210" customWidth="1"/>
    <col min="14860" max="15104" width="11.5703125" style="210"/>
    <col min="15105" max="15105" width="22.7109375" style="210" customWidth="1"/>
    <col min="15106" max="15106" width="12.7109375" style="210" customWidth="1"/>
    <col min="15107" max="15107" width="12.5703125" style="210" customWidth="1"/>
    <col min="15108" max="15109" width="11.5703125" style="210"/>
    <col min="15110" max="15110" width="12" style="210" customWidth="1"/>
    <col min="15111" max="15114" width="11.5703125" style="210"/>
    <col min="15115" max="15115" width="12.85546875" style="210" customWidth="1"/>
    <col min="15116" max="15360" width="11.5703125" style="210"/>
    <col min="15361" max="15361" width="22.7109375" style="210" customWidth="1"/>
    <col min="15362" max="15362" width="12.7109375" style="210" customWidth="1"/>
    <col min="15363" max="15363" width="12.5703125" style="210" customWidth="1"/>
    <col min="15364" max="15365" width="11.5703125" style="210"/>
    <col min="15366" max="15366" width="12" style="210" customWidth="1"/>
    <col min="15367" max="15370" width="11.5703125" style="210"/>
    <col min="15371" max="15371" width="12.85546875" style="210" customWidth="1"/>
    <col min="15372" max="15616" width="11.5703125" style="210"/>
    <col min="15617" max="15617" width="22.7109375" style="210" customWidth="1"/>
    <col min="15618" max="15618" width="12.7109375" style="210" customWidth="1"/>
    <col min="15619" max="15619" width="12.5703125" style="210" customWidth="1"/>
    <col min="15620" max="15621" width="11.5703125" style="210"/>
    <col min="15622" max="15622" width="12" style="210" customWidth="1"/>
    <col min="15623" max="15626" width="11.5703125" style="210"/>
    <col min="15627" max="15627" width="12.85546875" style="210" customWidth="1"/>
    <col min="15628" max="15872" width="11.5703125" style="210"/>
    <col min="15873" max="15873" width="22.7109375" style="210" customWidth="1"/>
    <col min="15874" max="15874" width="12.7109375" style="210" customWidth="1"/>
    <col min="15875" max="15875" width="12.5703125" style="210" customWidth="1"/>
    <col min="15876" max="15877" width="11.5703125" style="210"/>
    <col min="15878" max="15878" width="12" style="210" customWidth="1"/>
    <col min="15879" max="15882" width="11.5703125" style="210"/>
    <col min="15883" max="15883" width="12.85546875" style="210" customWidth="1"/>
    <col min="15884" max="16128" width="11.5703125" style="210"/>
    <col min="16129" max="16129" width="22.7109375" style="210" customWidth="1"/>
    <col min="16130" max="16130" width="12.7109375" style="210" customWidth="1"/>
    <col min="16131" max="16131" width="12.5703125" style="210" customWidth="1"/>
    <col min="16132" max="16133" width="11.5703125" style="210"/>
    <col min="16134" max="16134" width="12" style="210" customWidth="1"/>
    <col min="16135" max="16138" width="11.5703125" style="210"/>
    <col min="16139" max="16139" width="12.85546875" style="210" customWidth="1"/>
    <col min="16140" max="16384" width="11.5703125" style="210"/>
  </cols>
  <sheetData>
    <row r="1" spans="1:3" ht="15.75" x14ac:dyDescent="0.25">
      <c r="A1" s="215" t="s">
        <v>60</v>
      </c>
      <c r="B1" s="211"/>
    </row>
    <row r="3" spans="1:3" x14ac:dyDescent="0.2">
      <c r="A3" s="210" t="s">
        <v>621</v>
      </c>
      <c r="B3" s="210">
        <v>4</v>
      </c>
      <c r="C3" s="210" t="s">
        <v>52</v>
      </c>
    </row>
    <row r="4" spans="1:3" x14ac:dyDescent="0.2">
      <c r="A4" s="210" t="s">
        <v>622</v>
      </c>
      <c r="B4" s="231">
        <v>0.1</v>
      </c>
    </row>
    <row r="5" spans="1:3" x14ac:dyDescent="0.2">
      <c r="A5" s="211" t="s">
        <v>623</v>
      </c>
      <c r="B5" s="218" t="s">
        <v>624</v>
      </c>
      <c r="C5" s="218" t="s">
        <v>625</v>
      </c>
    </row>
    <row r="6" spans="1:3" x14ac:dyDescent="0.2">
      <c r="A6" s="210" t="s">
        <v>626</v>
      </c>
      <c r="B6" s="230">
        <v>300000</v>
      </c>
      <c r="C6" s="230">
        <v>340000</v>
      </c>
    </row>
    <row r="7" spans="1:3" x14ac:dyDescent="0.2">
      <c r="A7" s="210" t="s">
        <v>627</v>
      </c>
      <c r="B7" s="231">
        <v>0.8</v>
      </c>
      <c r="C7" s="231">
        <v>0.1</v>
      </c>
    </row>
    <row r="8" spans="1:3" x14ac:dyDescent="0.2">
      <c r="A8" s="210" t="s">
        <v>628</v>
      </c>
      <c r="B8" s="231">
        <v>0.2</v>
      </c>
      <c r="C8" s="231">
        <v>0</v>
      </c>
    </row>
    <row r="9" spans="1:3" x14ac:dyDescent="0.2">
      <c r="A9" s="210" t="s">
        <v>629</v>
      </c>
      <c r="B9" s="210">
        <v>0</v>
      </c>
      <c r="C9" s="231">
        <v>0.5</v>
      </c>
    </row>
    <row r="10" spans="1:3" x14ac:dyDescent="0.2">
      <c r="A10" s="210" t="s">
        <v>630</v>
      </c>
      <c r="B10" s="210">
        <v>0</v>
      </c>
      <c r="C10" s="231">
        <v>0.4</v>
      </c>
    </row>
    <row r="11" spans="1:3" x14ac:dyDescent="0.2">
      <c r="A11" s="210" t="s">
        <v>631</v>
      </c>
      <c r="B11" s="231">
        <v>0.4</v>
      </c>
      <c r="C11" s="231">
        <v>0.35</v>
      </c>
    </row>
    <row r="12" spans="1:3" x14ac:dyDescent="0.2">
      <c r="A12" s="210" t="s">
        <v>632</v>
      </c>
      <c r="B12" s="231">
        <v>0.2</v>
      </c>
      <c r="C12" s="231">
        <v>0.16</v>
      </c>
    </row>
    <row r="13" spans="1:3" x14ac:dyDescent="0.2">
      <c r="A13" s="210" t="s">
        <v>633</v>
      </c>
      <c r="B13" s="231">
        <v>0.01</v>
      </c>
      <c r="C13" s="272">
        <v>1.4999999999999999E-2</v>
      </c>
    </row>
    <row r="14" spans="1:3" x14ac:dyDescent="0.2">
      <c r="A14" s="210" t="s">
        <v>634</v>
      </c>
      <c r="B14" s="210">
        <v>0</v>
      </c>
      <c r="C14" s="230">
        <v>5000</v>
      </c>
    </row>
    <row r="15" spans="1:3" x14ac:dyDescent="0.2">
      <c r="A15" s="210" t="s">
        <v>635</v>
      </c>
      <c r="B15" s="231">
        <v>0.1</v>
      </c>
      <c r="C15" s="231">
        <v>0.15</v>
      </c>
    </row>
    <row r="16" spans="1:3" x14ac:dyDescent="0.2">
      <c r="A16" s="210" t="s">
        <v>636</v>
      </c>
      <c r="B16" s="231">
        <v>0.05</v>
      </c>
      <c r="C16" s="231">
        <v>0.1</v>
      </c>
    </row>
    <row r="17" spans="1:256" x14ac:dyDescent="0.2">
      <c r="A17" s="210" t="s">
        <v>637</v>
      </c>
      <c r="B17" s="231">
        <v>0</v>
      </c>
      <c r="C17" s="231">
        <v>0.05</v>
      </c>
    </row>
    <row r="18" spans="1:256" x14ac:dyDescent="0.2">
      <c r="A18" s="210" t="s">
        <v>638</v>
      </c>
      <c r="B18" s="210">
        <v>0</v>
      </c>
      <c r="C18" s="230">
        <v>10000</v>
      </c>
    </row>
    <row r="19" spans="1:256" x14ac:dyDescent="0.2">
      <c r="A19" s="211" t="s">
        <v>639</v>
      </c>
      <c r="B19" s="273"/>
      <c r="C19" s="274"/>
      <c r="D19" s="274"/>
      <c r="E19" s="274"/>
      <c r="F19" s="274"/>
    </row>
    <row r="20" spans="1:256" x14ac:dyDescent="0.2">
      <c r="A20" s="211" t="s">
        <v>304</v>
      </c>
      <c r="B20" s="275" t="s">
        <v>640</v>
      </c>
      <c r="C20" s="275" t="s">
        <v>641</v>
      </c>
      <c r="D20" s="275" t="s">
        <v>642</v>
      </c>
      <c r="E20" s="275" t="s">
        <v>643</v>
      </c>
      <c r="F20" s="275" t="s">
        <v>644</v>
      </c>
      <c r="IV20" s="276"/>
    </row>
    <row r="21" spans="1:256" x14ac:dyDescent="0.2">
      <c r="A21" s="210" t="s">
        <v>471</v>
      </c>
      <c r="C21" s="274">
        <f>B6*(B7-B13)</f>
        <v>237000</v>
      </c>
      <c r="D21" s="274"/>
      <c r="E21" s="274"/>
      <c r="F21" s="274"/>
    </row>
    <row r="22" spans="1:256" x14ac:dyDescent="0.2">
      <c r="A22" s="210" t="s">
        <v>475</v>
      </c>
      <c r="C22" s="274">
        <f>90*B8*B6/360</f>
        <v>15000</v>
      </c>
      <c r="D22" s="274"/>
      <c r="E22" s="274"/>
      <c r="F22" s="274"/>
    </row>
    <row r="23" spans="1:256" x14ac:dyDescent="0.2">
      <c r="A23" s="210" t="s">
        <v>631</v>
      </c>
      <c r="C23" s="274">
        <f>B11*B6</f>
        <v>120000</v>
      </c>
      <c r="D23" s="274"/>
      <c r="E23" s="274"/>
      <c r="F23" s="274"/>
    </row>
    <row r="24" spans="1:256" x14ac:dyDescent="0.2">
      <c r="A24" s="210" t="s">
        <v>632</v>
      </c>
      <c r="C24" s="274">
        <f>B12*B6</f>
        <v>60000</v>
      </c>
      <c r="D24" s="274"/>
      <c r="E24" s="274"/>
      <c r="F24" s="274"/>
    </row>
    <row r="25" spans="1:256" x14ac:dyDescent="0.2">
      <c r="A25" s="210" t="s">
        <v>645</v>
      </c>
      <c r="B25" s="210">
        <v>0</v>
      </c>
      <c r="C25" s="274">
        <v>0</v>
      </c>
      <c r="D25" s="274"/>
      <c r="E25" s="274"/>
      <c r="F25" s="274"/>
    </row>
    <row r="26" spans="1:256" x14ac:dyDescent="0.2">
      <c r="A26" s="210" t="s">
        <v>646</v>
      </c>
      <c r="C26" s="274">
        <f>SUM(C21:C24)</f>
        <v>432000</v>
      </c>
      <c r="D26" s="274">
        <f>C26*(1+B15)</f>
        <v>475200.00000000006</v>
      </c>
      <c r="E26" s="274">
        <f>D26*(1+B16)</f>
        <v>498960.00000000006</v>
      </c>
      <c r="F26" s="274">
        <f>E26*(1+B17)</f>
        <v>498960.00000000006</v>
      </c>
      <c r="G26" s="230">
        <f>SUM(B26:F26)</f>
        <v>1905120</v>
      </c>
    </row>
    <row r="27" spans="1:256" x14ac:dyDescent="0.2">
      <c r="B27" s="274"/>
      <c r="C27" s="274"/>
      <c r="D27" s="274"/>
      <c r="E27" s="274"/>
      <c r="F27" s="274"/>
    </row>
    <row r="28" spans="1:256" x14ac:dyDescent="0.2">
      <c r="A28" s="211" t="s">
        <v>647</v>
      </c>
      <c r="B28" s="273">
        <f>NPV(B4,C26:F26)</f>
        <v>1501126.9722013522</v>
      </c>
      <c r="C28" s="274"/>
      <c r="D28" s="274"/>
      <c r="E28" s="274"/>
      <c r="F28" s="274"/>
    </row>
    <row r="29" spans="1:256" x14ac:dyDescent="0.2">
      <c r="B29" s="274"/>
      <c r="C29" s="274"/>
      <c r="D29" s="274"/>
      <c r="E29" s="274"/>
      <c r="F29" s="274"/>
    </row>
    <row r="30" spans="1:256" x14ac:dyDescent="0.2">
      <c r="A30" s="211" t="s">
        <v>648</v>
      </c>
    </row>
    <row r="31" spans="1:256" x14ac:dyDescent="0.2">
      <c r="A31" s="211" t="s">
        <v>304</v>
      </c>
      <c r="B31" s="275" t="s">
        <v>640</v>
      </c>
      <c r="C31" s="275" t="s">
        <v>641</v>
      </c>
      <c r="D31" s="275" t="s">
        <v>642</v>
      </c>
      <c r="E31" s="275" t="s">
        <v>643</v>
      </c>
      <c r="F31" s="275" t="s">
        <v>644</v>
      </c>
    </row>
    <row r="32" spans="1:256" x14ac:dyDescent="0.2">
      <c r="A32" s="210" t="s">
        <v>471</v>
      </c>
      <c r="C32" s="274">
        <f>C6*(C7-C13)</f>
        <v>28900.000000000004</v>
      </c>
      <c r="D32" s="274"/>
      <c r="E32" s="274"/>
      <c r="F32" s="274"/>
    </row>
    <row r="33" spans="1:7" x14ac:dyDescent="0.2">
      <c r="A33" s="210" t="s">
        <v>475</v>
      </c>
      <c r="C33" s="274">
        <f>(120*C9+180*C10)*C6/360</f>
        <v>124666.66666666667</v>
      </c>
      <c r="D33" s="274"/>
      <c r="E33" s="274"/>
      <c r="F33" s="274"/>
    </row>
    <row r="34" spans="1:7" x14ac:dyDescent="0.2">
      <c r="A34" s="210" t="s">
        <v>631</v>
      </c>
      <c r="C34" s="274">
        <f>C11*C6</f>
        <v>118999.99999999999</v>
      </c>
      <c r="D34" s="274"/>
      <c r="E34" s="274"/>
      <c r="F34" s="274"/>
    </row>
    <row r="35" spans="1:7" x14ac:dyDescent="0.2">
      <c r="A35" s="210" t="s">
        <v>632</v>
      </c>
      <c r="C35" s="274">
        <f>C12*C6</f>
        <v>54400</v>
      </c>
      <c r="D35" s="274"/>
      <c r="E35" s="274"/>
      <c r="F35" s="274"/>
    </row>
    <row r="36" spans="1:7" x14ac:dyDescent="0.2">
      <c r="A36" s="210" t="s">
        <v>645</v>
      </c>
      <c r="B36" s="230">
        <f>C18</f>
        <v>10000</v>
      </c>
      <c r="C36" s="274">
        <v>0</v>
      </c>
      <c r="D36" s="274"/>
      <c r="E36" s="274"/>
      <c r="F36" s="274"/>
    </row>
    <row r="37" spans="1:7" x14ac:dyDescent="0.2">
      <c r="A37" s="210" t="s">
        <v>649</v>
      </c>
      <c r="C37" s="274">
        <f>C14</f>
        <v>5000</v>
      </c>
      <c r="D37" s="274"/>
      <c r="E37" s="274"/>
      <c r="F37" s="274"/>
    </row>
    <row r="38" spans="1:7" x14ac:dyDescent="0.2">
      <c r="A38" s="210" t="s">
        <v>646</v>
      </c>
      <c r="B38" s="230">
        <f>B36</f>
        <v>10000</v>
      </c>
      <c r="C38" s="274">
        <f>SUM(C32:C37)</f>
        <v>331966.66666666669</v>
      </c>
      <c r="D38" s="274">
        <f>C38*(1+C15)</f>
        <v>381761.66666666669</v>
      </c>
      <c r="E38" s="274">
        <f>D38*(1+C16)</f>
        <v>419937.83333333337</v>
      </c>
      <c r="F38" s="274">
        <f>E38*(1+C17)</f>
        <v>440934.72500000003</v>
      </c>
      <c r="G38" s="230">
        <f>SUM(B38:F38)</f>
        <v>1584600.8916666668</v>
      </c>
    </row>
    <row r="39" spans="1:7" x14ac:dyDescent="0.2">
      <c r="B39" s="274"/>
      <c r="C39" s="274"/>
      <c r="D39" s="274"/>
      <c r="E39" s="274"/>
      <c r="F39" s="274"/>
    </row>
    <row r="40" spans="1:7" x14ac:dyDescent="0.2">
      <c r="A40" s="211" t="s">
        <v>647</v>
      </c>
      <c r="B40" s="273">
        <f>NPV(B4,C38:F38)+B38</f>
        <v>1243963.2481843224</v>
      </c>
      <c r="C40" s="274"/>
      <c r="D40" s="274"/>
      <c r="E40" s="274"/>
      <c r="F40" s="274"/>
    </row>
    <row r="41" spans="1:7" x14ac:dyDescent="0.2">
      <c r="B41" s="274"/>
      <c r="C41" s="274"/>
      <c r="D41" s="274"/>
      <c r="E41" s="274"/>
      <c r="F41" s="274"/>
    </row>
    <row r="42" spans="1:7" x14ac:dyDescent="0.2">
      <c r="A42" s="211" t="s">
        <v>650</v>
      </c>
      <c r="B42" s="273">
        <f>B40-B28</f>
        <v>-257163.72401702986</v>
      </c>
      <c r="C42" s="274"/>
      <c r="D42" s="274"/>
      <c r="E42" s="274"/>
      <c r="F42" s="274"/>
    </row>
    <row r="43" spans="1:7" x14ac:dyDescent="0.2">
      <c r="B43" s="274"/>
      <c r="C43" s="274"/>
      <c r="D43" s="274"/>
      <c r="E43" s="274"/>
      <c r="F43" s="274"/>
    </row>
    <row r="44" spans="1:7" x14ac:dyDescent="0.2">
      <c r="A44" s="210" t="s">
        <v>651</v>
      </c>
      <c r="B44" s="273"/>
      <c r="C44" s="274"/>
      <c r="D44" s="274"/>
      <c r="E44" s="274"/>
      <c r="F44" s="274"/>
    </row>
    <row r="45" spans="1:7" x14ac:dyDescent="0.2">
      <c r="A45" s="210" t="s">
        <v>652</v>
      </c>
    </row>
  </sheetData>
  <pageMargins left="0.75" right="0.75" top="1" bottom="1" header="0" footer="0"/>
  <pageSetup paperSize="9" orientation="portrait" horizontalDpi="300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DFCB-D8A3-4ECD-BDD5-98C310629A2C}">
  <dimension ref="A1:D40"/>
  <sheetViews>
    <sheetView workbookViewId="0">
      <selection activeCell="E23" sqref="E23"/>
    </sheetView>
  </sheetViews>
  <sheetFormatPr baseColWidth="10" defaultColWidth="11.42578125" defaultRowHeight="12.75" x14ac:dyDescent="0.2"/>
  <cols>
    <col min="1" max="16384" width="11.42578125" style="210"/>
  </cols>
  <sheetData>
    <row r="1" spans="1:1" x14ac:dyDescent="0.2">
      <c r="A1" s="211" t="s">
        <v>653</v>
      </c>
    </row>
    <row r="3" spans="1:1" x14ac:dyDescent="0.2">
      <c r="A3" s="210" t="s">
        <v>654</v>
      </c>
    </row>
    <row r="4" spans="1:1" x14ac:dyDescent="0.2">
      <c r="A4" s="210" t="s">
        <v>655</v>
      </c>
    </row>
    <row r="5" spans="1:1" x14ac:dyDescent="0.2">
      <c r="A5" s="210" t="s">
        <v>656</v>
      </c>
    </row>
    <row r="6" spans="1:1" x14ac:dyDescent="0.2">
      <c r="A6" s="210" t="s">
        <v>657</v>
      </c>
    </row>
    <row r="7" spans="1:1" x14ac:dyDescent="0.2">
      <c r="A7" s="210" t="s">
        <v>658</v>
      </c>
    </row>
    <row r="8" spans="1:1" x14ac:dyDescent="0.2">
      <c r="A8" s="210" t="s">
        <v>659</v>
      </c>
    </row>
    <row r="9" spans="1:1" x14ac:dyDescent="0.2">
      <c r="A9" s="210" t="s">
        <v>660</v>
      </c>
    </row>
    <row r="10" spans="1:1" x14ac:dyDescent="0.2">
      <c r="A10" s="210" t="s">
        <v>661</v>
      </c>
    </row>
    <row r="11" spans="1:1" x14ac:dyDescent="0.2">
      <c r="A11" s="210" t="s">
        <v>662</v>
      </c>
    </row>
    <row r="12" spans="1:1" x14ac:dyDescent="0.2">
      <c r="A12" s="210" t="s">
        <v>663</v>
      </c>
    </row>
    <row r="14" spans="1:1" x14ac:dyDescent="0.2">
      <c r="A14" s="211" t="s">
        <v>664</v>
      </c>
    </row>
    <row r="15" spans="1:1" x14ac:dyDescent="0.2">
      <c r="A15" s="211" t="s">
        <v>665</v>
      </c>
    </row>
    <row r="16" spans="1:1" x14ac:dyDescent="0.2">
      <c r="A16" s="210" t="s">
        <v>666</v>
      </c>
    </row>
    <row r="17" spans="1:4" x14ac:dyDescent="0.2">
      <c r="A17" s="210" t="s">
        <v>667</v>
      </c>
      <c r="C17" s="230">
        <v>60000</v>
      </c>
    </row>
    <row r="18" spans="1:4" x14ac:dyDescent="0.2">
      <c r="A18" s="210" t="s">
        <v>668</v>
      </c>
      <c r="C18" s="210">
        <f>10-8</f>
        <v>2</v>
      </c>
    </row>
    <row r="19" spans="1:4" x14ac:dyDescent="0.2">
      <c r="A19" s="223" t="s">
        <v>669</v>
      </c>
      <c r="B19" s="223"/>
      <c r="C19" s="277">
        <f>C17*C18</f>
        <v>120000</v>
      </c>
    </row>
    <row r="21" spans="1:4" x14ac:dyDescent="0.2">
      <c r="A21" s="211" t="s">
        <v>670</v>
      </c>
    </row>
    <row r="22" spans="1:4" x14ac:dyDescent="0.2">
      <c r="A22" s="210" t="s">
        <v>671</v>
      </c>
    </row>
    <row r="23" spans="1:4" x14ac:dyDescent="0.2">
      <c r="A23" s="210" t="s">
        <v>672</v>
      </c>
      <c r="C23" s="230">
        <f>C17*10</f>
        <v>600000</v>
      </c>
    </row>
    <row r="24" spans="1:4" x14ac:dyDescent="0.2">
      <c r="A24" s="210" t="s">
        <v>673</v>
      </c>
      <c r="C24" s="210">
        <f>2*30</f>
        <v>60</v>
      </c>
      <c r="D24" s="210" t="s">
        <v>674</v>
      </c>
    </row>
    <row r="25" spans="1:4" x14ac:dyDescent="0.2">
      <c r="A25" s="210" t="s">
        <v>675</v>
      </c>
      <c r="C25" s="210">
        <v>360</v>
      </c>
    </row>
    <row r="26" spans="1:4" x14ac:dyDescent="0.2">
      <c r="A26" s="210" t="s">
        <v>676</v>
      </c>
      <c r="C26" s="233">
        <f>C23/C25*C24</f>
        <v>100000</v>
      </c>
    </row>
    <row r="28" spans="1:4" x14ac:dyDescent="0.2">
      <c r="A28" s="210" t="s">
        <v>677</v>
      </c>
    </row>
    <row r="30" spans="1:4" x14ac:dyDescent="0.2">
      <c r="A30" s="210" t="s">
        <v>678</v>
      </c>
      <c r="C30" s="278">
        <f>8/10</f>
        <v>0.8</v>
      </c>
    </row>
    <row r="31" spans="1:4" x14ac:dyDescent="0.2">
      <c r="A31" s="210" t="s">
        <v>679</v>
      </c>
      <c r="C31" s="233">
        <f>C30*C26</f>
        <v>80000</v>
      </c>
    </row>
    <row r="33" spans="1:4" x14ac:dyDescent="0.2">
      <c r="A33" s="211" t="s">
        <v>680</v>
      </c>
    </row>
    <row r="34" spans="1:4" x14ac:dyDescent="0.2">
      <c r="A34" s="210" t="s">
        <v>681</v>
      </c>
    </row>
    <row r="35" spans="1:4" x14ac:dyDescent="0.2">
      <c r="A35" s="210" t="s">
        <v>217</v>
      </c>
      <c r="C35" s="231">
        <v>0.2</v>
      </c>
    </row>
    <row r="36" spans="1:4" x14ac:dyDescent="0.2">
      <c r="A36" s="210" t="s">
        <v>679</v>
      </c>
      <c r="C36" s="233">
        <f>C31</f>
        <v>80000</v>
      </c>
    </row>
    <row r="38" spans="1:4" x14ac:dyDescent="0.2">
      <c r="A38" s="224" t="s">
        <v>682</v>
      </c>
      <c r="B38" s="224"/>
      <c r="C38" s="279">
        <f>C35*C36</f>
        <v>16000</v>
      </c>
      <c r="D38" s="210" t="s">
        <v>683</v>
      </c>
    </row>
    <row r="40" spans="1:4" x14ac:dyDescent="0.2">
      <c r="A40" s="211" t="s">
        <v>684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D211-7AC9-43E1-BD22-E52F2836DC44}">
  <dimension ref="A1:M12"/>
  <sheetViews>
    <sheetView zoomScale="160" zoomScaleNormal="160" workbookViewId="0">
      <selection activeCell="E23" sqref="E23"/>
    </sheetView>
  </sheetViews>
  <sheetFormatPr baseColWidth="10" defaultRowHeight="12.75" x14ac:dyDescent="0.2"/>
  <cols>
    <col min="1" max="1" width="11.5703125" style="210"/>
    <col min="2" max="2" width="4.140625" style="210" bestFit="1" customWidth="1"/>
    <col min="3" max="9" width="5.140625" style="210" bestFit="1" customWidth="1"/>
    <col min="10" max="13" width="4.5703125" style="210" bestFit="1" customWidth="1"/>
    <col min="14" max="257" width="11.5703125" style="210"/>
    <col min="258" max="258" width="4.140625" style="210" bestFit="1" customWidth="1"/>
    <col min="259" max="265" width="5.140625" style="210" bestFit="1" customWidth="1"/>
    <col min="266" max="269" width="4.5703125" style="210" bestFit="1" customWidth="1"/>
    <col min="270" max="513" width="11.5703125" style="210"/>
    <col min="514" max="514" width="4.140625" style="210" bestFit="1" customWidth="1"/>
    <col min="515" max="521" width="5.140625" style="210" bestFit="1" customWidth="1"/>
    <col min="522" max="525" width="4.5703125" style="210" bestFit="1" customWidth="1"/>
    <col min="526" max="769" width="11.5703125" style="210"/>
    <col min="770" max="770" width="4.140625" style="210" bestFit="1" customWidth="1"/>
    <col min="771" max="777" width="5.140625" style="210" bestFit="1" customWidth="1"/>
    <col min="778" max="781" width="4.5703125" style="210" bestFit="1" customWidth="1"/>
    <col min="782" max="1025" width="11.5703125" style="210"/>
    <col min="1026" max="1026" width="4.140625" style="210" bestFit="1" customWidth="1"/>
    <col min="1027" max="1033" width="5.140625" style="210" bestFit="1" customWidth="1"/>
    <col min="1034" max="1037" width="4.5703125" style="210" bestFit="1" customWidth="1"/>
    <col min="1038" max="1281" width="11.5703125" style="210"/>
    <col min="1282" max="1282" width="4.140625" style="210" bestFit="1" customWidth="1"/>
    <col min="1283" max="1289" width="5.140625" style="210" bestFit="1" customWidth="1"/>
    <col min="1290" max="1293" width="4.5703125" style="210" bestFit="1" customWidth="1"/>
    <col min="1294" max="1537" width="11.5703125" style="210"/>
    <col min="1538" max="1538" width="4.140625" style="210" bestFit="1" customWidth="1"/>
    <col min="1539" max="1545" width="5.140625" style="210" bestFit="1" customWidth="1"/>
    <col min="1546" max="1549" width="4.5703125" style="210" bestFit="1" customWidth="1"/>
    <col min="1550" max="1793" width="11.5703125" style="210"/>
    <col min="1794" max="1794" width="4.140625" style="210" bestFit="1" customWidth="1"/>
    <col min="1795" max="1801" width="5.140625" style="210" bestFit="1" customWidth="1"/>
    <col min="1802" max="1805" width="4.5703125" style="210" bestFit="1" customWidth="1"/>
    <col min="1806" max="2049" width="11.5703125" style="210"/>
    <col min="2050" max="2050" width="4.140625" style="210" bestFit="1" customWidth="1"/>
    <col min="2051" max="2057" width="5.140625" style="210" bestFit="1" customWidth="1"/>
    <col min="2058" max="2061" width="4.5703125" style="210" bestFit="1" customWidth="1"/>
    <col min="2062" max="2305" width="11.5703125" style="210"/>
    <col min="2306" max="2306" width="4.140625" style="210" bestFit="1" customWidth="1"/>
    <col min="2307" max="2313" width="5.140625" style="210" bestFit="1" customWidth="1"/>
    <col min="2314" max="2317" width="4.5703125" style="210" bestFit="1" customWidth="1"/>
    <col min="2318" max="2561" width="11.5703125" style="210"/>
    <col min="2562" max="2562" width="4.140625" style="210" bestFit="1" customWidth="1"/>
    <col min="2563" max="2569" width="5.140625" style="210" bestFit="1" customWidth="1"/>
    <col min="2570" max="2573" width="4.5703125" style="210" bestFit="1" customWidth="1"/>
    <col min="2574" max="2817" width="11.5703125" style="210"/>
    <col min="2818" max="2818" width="4.140625" style="210" bestFit="1" customWidth="1"/>
    <col min="2819" max="2825" width="5.140625" style="210" bestFit="1" customWidth="1"/>
    <col min="2826" max="2829" width="4.5703125" style="210" bestFit="1" customWidth="1"/>
    <col min="2830" max="3073" width="11.5703125" style="210"/>
    <col min="3074" max="3074" width="4.140625" style="210" bestFit="1" customWidth="1"/>
    <col min="3075" max="3081" width="5.140625" style="210" bestFit="1" customWidth="1"/>
    <col min="3082" max="3085" width="4.5703125" style="210" bestFit="1" customWidth="1"/>
    <col min="3086" max="3329" width="11.5703125" style="210"/>
    <col min="3330" max="3330" width="4.140625" style="210" bestFit="1" customWidth="1"/>
    <col min="3331" max="3337" width="5.140625" style="210" bestFit="1" customWidth="1"/>
    <col min="3338" max="3341" width="4.5703125" style="210" bestFit="1" customWidth="1"/>
    <col min="3342" max="3585" width="11.5703125" style="210"/>
    <col min="3586" max="3586" width="4.140625" style="210" bestFit="1" customWidth="1"/>
    <col min="3587" max="3593" width="5.140625" style="210" bestFit="1" customWidth="1"/>
    <col min="3594" max="3597" width="4.5703125" style="210" bestFit="1" customWidth="1"/>
    <col min="3598" max="3841" width="11.5703125" style="210"/>
    <col min="3842" max="3842" width="4.140625" style="210" bestFit="1" customWidth="1"/>
    <col min="3843" max="3849" width="5.140625" style="210" bestFit="1" customWidth="1"/>
    <col min="3850" max="3853" width="4.5703125" style="210" bestFit="1" customWidth="1"/>
    <col min="3854" max="4097" width="11.5703125" style="210"/>
    <col min="4098" max="4098" width="4.140625" style="210" bestFit="1" customWidth="1"/>
    <col min="4099" max="4105" width="5.140625" style="210" bestFit="1" customWidth="1"/>
    <col min="4106" max="4109" width="4.5703125" style="210" bestFit="1" customWidth="1"/>
    <col min="4110" max="4353" width="11.5703125" style="210"/>
    <col min="4354" max="4354" width="4.140625" style="210" bestFit="1" customWidth="1"/>
    <col min="4355" max="4361" width="5.140625" style="210" bestFit="1" customWidth="1"/>
    <col min="4362" max="4365" width="4.5703125" style="210" bestFit="1" customWidth="1"/>
    <col min="4366" max="4609" width="11.5703125" style="210"/>
    <col min="4610" max="4610" width="4.140625" style="210" bestFit="1" customWidth="1"/>
    <col min="4611" max="4617" width="5.140625" style="210" bestFit="1" customWidth="1"/>
    <col min="4618" max="4621" width="4.5703125" style="210" bestFit="1" customWidth="1"/>
    <col min="4622" max="4865" width="11.5703125" style="210"/>
    <col min="4866" max="4866" width="4.140625" style="210" bestFit="1" customWidth="1"/>
    <col min="4867" max="4873" width="5.140625" style="210" bestFit="1" customWidth="1"/>
    <col min="4874" max="4877" width="4.5703125" style="210" bestFit="1" customWidth="1"/>
    <col min="4878" max="5121" width="11.5703125" style="210"/>
    <col min="5122" max="5122" width="4.140625" style="210" bestFit="1" customWidth="1"/>
    <col min="5123" max="5129" width="5.140625" style="210" bestFit="1" customWidth="1"/>
    <col min="5130" max="5133" width="4.5703125" style="210" bestFit="1" customWidth="1"/>
    <col min="5134" max="5377" width="11.5703125" style="210"/>
    <col min="5378" max="5378" width="4.140625" style="210" bestFit="1" customWidth="1"/>
    <col min="5379" max="5385" width="5.140625" style="210" bestFit="1" customWidth="1"/>
    <col min="5386" max="5389" width="4.5703125" style="210" bestFit="1" customWidth="1"/>
    <col min="5390" max="5633" width="11.5703125" style="210"/>
    <col min="5634" max="5634" width="4.140625" style="210" bestFit="1" customWidth="1"/>
    <col min="5635" max="5641" width="5.140625" style="210" bestFit="1" customWidth="1"/>
    <col min="5642" max="5645" width="4.5703125" style="210" bestFit="1" customWidth="1"/>
    <col min="5646" max="5889" width="11.5703125" style="210"/>
    <col min="5890" max="5890" width="4.140625" style="210" bestFit="1" customWidth="1"/>
    <col min="5891" max="5897" width="5.140625" style="210" bestFit="1" customWidth="1"/>
    <col min="5898" max="5901" width="4.5703125" style="210" bestFit="1" customWidth="1"/>
    <col min="5902" max="6145" width="11.5703125" style="210"/>
    <col min="6146" max="6146" width="4.140625" style="210" bestFit="1" customWidth="1"/>
    <col min="6147" max="6153" width="5.140625" style="210" bestFit="1" customWidth="1"/>
    <col min="6154" max="6157" width="4.5703125" style="210" bestFit="1" customWidth="1"/>
    <col min="6158" max="6401" width="11.5703125" style="210"/>
    <col min="6402" max="6402" width="4.140625" style="210" bestFit="1" customWidth="1"/>
    <col min="6403" max="6409" width="5.140625" style="210" bestFit="1" customWidth="1"/>
    <col min="6410" max="6413" width="4.5703125" style="210" bestFit="1" customWidth="1"/>
    <col min="6414" max="6657" width="11.5703125" style="210"/>
    <col min="6658" max="6658" width="4.140625" style="210" bestFit="1" customWidth="1"/>
    <col min="6659" max="6665" width="5.140625" style="210" bestFit="1" customWidth="1"/>
    <col min="6666" max="6669" width="4.5703125" style="210" bestFit="1" customWidth="1"/>
    <col min="6670" max="6913" width="11.5703125" style="210"/>
    <col min="6914" max="6914" width="4.140625" style="210" bestFit="1" customWidth="1"/>
    <col min="6915" max="6921" width="5.140625" style="210" bestFit="1" customWidth="1"/>
    <col min="6922" max="6925" width="4.5703125" style="210" bestFit="1" customWidth="1"/>
    <col min="6926" max="7169" width="11.5703125" style="210"/>
    <col min="7170" max="7170" width="4.140625" style="210" bestFit="1" customWidth="1"/>
    <col min="7171" max="7177" width="5.140625" style="210" bestFit="1" customWidth="1"/>
    <col min="7178" max="7181" width="4.5703125" style="210" bestFit="1" customWidth="1"/>
    <col min="7182" max="7425" width="11.5703125" style="210"/>
    <col min="7426" max="7426" width="4.140625" style="210" bestFit="1" customWidth="1"/>
    <col min="7427" max="7433" width="5.140625" style="210" bestFit="1" customWidth="1"/>
    <col min="7434" max="7437" width="4.5703125" style="210" bestFit="1" customWidth="1"/>
    <col min="7438" max="7681" width="11.5703125" style="210"/>
    <col min="7682" max="7682" width="4.140625" style="210" bestFit="1" customWidth="1"/>
    <col min="7683" max="7689" width="5.140625" style="210" bestFit="1" customWidth="1"/>
    <col min="7690" max="7693" width="4.5703125" style="210" bestFit="1" customWidth="1"/>
    <col min="7694" max="7937" width="11.5703125" style="210"/>
    <col min="7938" max="7938" width="4.140625" style="210" bestFit="1" customWidth="1"/>
    <col min="7939" max="7945" width="5.140625" style="210" bestFit="1" customWidth="1"/>
    <col min="7946" max="7949" width="4.5703125" style="210" bestFit="1" customWidth="1"/>
    <col min="7950" max="8193" width="11.5703125" style="210"/>
    <col min="8194" max="8194" width="4.140625" style="210" bestFit="1" customWidth="1"/>
    <col min="8195" max="8201" width="5.140625" style="210" bestFit="1" customWidth="1"/>
    <col min="8202" max="8205" width="4.5703125" style="210" bestFit="1" customWidth="1"/>
    <col min="8206" max="8449" width="11.5703125" style="210"/>
    <col min="8450" max="8450" width="4.140625" style="210" bestFit="1" customWidth="1"/>
    <col min="8451" max="8457" width="5.140625" style="210" bestFit="1" customWidth="1"/>
    <col min="8458" max="8461" width="4.5703125" style="210" bestFit="1" customWidth="1"/>
    <col min="8462" max="8705" width="11.5703125" style="210"/>
    <col min="8706" max="8706" width="4.140625" style="210" bestFit="1" customWidth="1"/>
    <col min="8707" max="8713" width="5.140625" style="210" bestFit="1" customWidth="1"/>
    <col min="8714" max="8717" width="4.5703125" style="210" bestFit="1" customWidth="1"/>
    <col min="8718" max="8961" width="11.5703125" style="210"/>
    <col min="8962" max="8962" width="4.140625" style="210" bestFit="1" customWidth="1"/>
    <col min="8963" max="8969" width="5.140625" style="210" bestFit="1" customWidth="1"/>
    <col min="8970" max="8973" width="4.5703125" style="210" bestFit="1" customWidth="1"/>
    <col min="8974" max="9217" width="11.5703125" style="210"/>
    <col min="9218" max="9218" width="4.140625" style="210" bestFit="1" customWidth="1"/>
    <col min="9219" max="9225" width="5.140625" style="210" bestFit="1" customWidth="1"/>
    <col min="9226" max="9229" width="4.5703125" style="210" bestFit="1" customWidth="1"/>
    <col min="9230" max="9473" width="11.5703125" style="210"/>
    <col min="9474" max="9474" width="4.140625" style="210" bestFit="1" customWidth="1"/>
    <col min="9475" max="9481" width="5.140625" style="210" bestFit="1" customWidth="1"/>
    <col min="9482" max="9485" width="4.5703125" style="210" bestFit="1" customWidth="1"/>
    <col min="9486" max="9729" width="11.5703125" style="210"/>
    <col min="9730" max="9730" width="4.140625" style="210" bestFit="1" customWidth="1"/>
    <col min="9731" max="9737" width="5.140625" style="210" bestFit="1" customWidth="1"/>
    <col min="9738" max="9741" width="4.5703125" style="210" bestFit="1" customWidth="1"/>
    <col min="9742" max="9985" width="11.5703125" style="210"/>
    <col min="9986" max="9986" width="4.140625" style="210" bestFit="1" customWidth="1"/>
    <col min="9987" max="9993" width="5.140625" style="210" bestFit="1" customWidth="1"/>
    <col min="9994" max="9997" width="4.5703125" style="210" bestFit="1" customWidth="1"/>
    <col min="9998" max="10241" width="11.5703125" style="210"/>
    <col min="10242" max="10242" width="4.140625" style="210" bestFit="1" customWidth="1"/>
    <col min="10243" max="10249" width="5.140625" style="210" bestFit="1" customWidth="1"/>
    <col min="10250" max="10253" width="4.5703125" style="210" bestFit="1" customWidth="1"/>
    <col min="10254" max="10497" width="11.5703125" style="210"/>
    <col min="10498" max="10498" width="4.140625" style="210" bestFit="1" customWidth="1"/>
    <col min="10499" max="10505" width="5.140625" style="210" bestFit="1" customWidth="1"/>
    <col min="10506" max="10509" width="4.5703125" style="210" bestFit="1" customWidth="1"/>
    <col min="10510" max="10753" width="11.5703125" style="210"/>
    <col min="10754" max="10754" width="4.140625" style="210" bestFit="1" customWidth="1"/>
    <col min="10755" max="10761" width="5.140625" style="210" bestFit="1" customWidth="1"/>
    <col min="10762" max="10765" width="4.5703125" style="210" bestFit="1" customWidth="1"/>
    <col min="10766" max="11009" width="11.5703125" style="210"/>
    <col min="11010" max="11010" width="4.140625" style="210" bestFit="1" customWidth="1"/>
    <col min="11011" max="11017" width="5.140625" style="210" bestFit="1" customWidth="1"/>
    <col min="11018" max="11021" width="4.5703125" style="210" bestFit="1" customWidth="1"/>
    <col min="11022" max="11265" width="11.5703125" style="210"/>
    <col min="11266" max="11266" width="4.140625" style="210" bestFit="1" customWidth="1"/>
    <col min="11267" max="11273" width="5.140625" style="210" bestFit="1" customWidth="1"/>
    <col min="11274" max="11277" width="4.5703125" style="210" bestFit="1" customWidth="1"/>
    <col min="11278" max="11521" width="11.5703125" style="210"/>
    <col min="11522" max="11522" width="4.140625" style="210" bestFit="1" customWidth="1"/>
    <col min="11523" max="11529" width="5.140625" style="210" bestFit="1" customWidth="1"/>
    <col min="11530" max="11533" width="4.5703125" style="210" bestFit="1" customWidth="1"/>
    <col min="11534" max="11777" width="11.5703125" style="210"/>
    <col min="11778" max="11778" width="4.140625" style="210" bestFit="1" customWidth="1"/>
    <col min="11779" max="11785" width="5.140625" style="210" bestFit="1" customWidth="1"/>
    <col min="11786" max="11789" width="4.5703125" style="210" bestFit="1" customWidth="1"/>
    <col min="11790" max="12033" width="11.5703125" style="210"/>
    <col min="12034" max="12034" width="4.140625" style="210" bestFit="1" customWidth="1"/>
    <col min="12035" max="12041" width="5.140625" style="210" bestFit="1" customWidth="1"/>
    <col min="12042" max="12045" width="4.5703125" style="210" bestFit="1" customWidth="1"/>
    <col min="12046" max="12289" width="11.5703125" style="210"/>
    <col min="12290" max="12290" width="4.140625" style="210" bestFit="1" customWidth="1"/>
    <col min="12291" max="12297" width="5.140625" style="210" bestFit="1" customWidth="1"/>
    <col min="12298" max="12301" width="4.5703125" style="210" bestFit="1" customWidth="1"/>
    <col min="12302" max="12545" width="11.5703125" style="210"/>
    <col min="12546" max="12546" width="4.140625" style="210" bestFit="1" customWidth="1"/>
    <col min="12547" max="12553" width="5.140625" style="210" bestFit="1" customWidth="1"/>
    <col min="12554" max="12557" width="4.5703125" style="210" bestFit="1" customWidth="1"/>
    <col min="12558" max="12801" width="11.5703125" style="210"/>
    <col min="12802" max="12802" width="4.140625" style="210" bestFit="1" customWidth="1"/>
    <col min="12803" max="12809" width="5.140625" style="210" bestFit="1" customWidth="1"/>
    <col min="12810" max="12813" width="4.5703125" style="210" bestFit="1" customWidth="1"/>
    <col min="12814" max="13057" width="11.5703125" style="210"/>
    <col min="13058" max="13058" width="4.140625" style="210" bestFit="1" customWidth="1"/>
    <col min="13059" max="13065" width="5.140625" style="210" bestFit="1" customWidth="1"/>
    <col min="13066" max="13069" width="4.5703125" style="210" bestFit="1" customWidth="1"/>
    <col min="13070" max="13313" width="11.5703125" style="210"/>
    <col min="13314" max="13314" width="4.140625" style="210" bestFit="1" customWidth="1"/>
    <col min="13315" max="13321" width="5.140625" style="210" bestFit="1" customWidth="1"/>
    <col min="13322" max="13325" width="4.5703125" style="210" bestFit="1" customWidth="1"/>
    <col min="13326" max="13569" width="11.5703125" style="210"/>
    <col min="13570" max="13570" width="4.140625" style="210" bestFit="1" customWidth="1"/>
    <col min="13571" max="13577" width="5.140625" style="210" bestFit="1" customWidth="1"/>
    <col min="13578" max="13581" width="4.5703125" style="210" bestFit="1" customWidth="1"/>
    <col min="13582" max="13825" width="11.5703125" style="210"/>
    <col min="13826" max="13826" width="4.140625" style="210" bestFit="1" customWidth="1"/>
    <col min="13827" max="13833" width="5.140625" style="210" bestFit="1" customWidth="1"/>
    <col min="13834" max="13837" width="4.5703125" style="210" bestFit="1" customWidth="1"/>
    <col min="13838" max="14081" width="11.5703125" style="210"/>
    <col min="14082" max="14082" width="4.140625" style="210" bestFit="1" customWidth="1"/>
    <col min="14083" max="14089" width="5.140625" style="210" bestFit="1" customWidth="1"/>
    <col min="14090" max="14093" width="4.5703125" style="210" bestFit="1" customWidth="1"/>
    <col min="14094" max="14337" width="11.5703125" style="210"/>
    <col min="14338" max="14338" width="4.140625" style="210" bestFit="1" customWidth="1"/>
    <col min="14339" max="14345" width="5.140625" style="210" bestFit="1" customWidth="1"/>
    <col min="14346" max="14349" width="4.5703125" style="210" bestFit="1" customWidth="1"/>
    <col min="14350" max="14593" width="11.5703125" style="210"/>
    <col min="14594" max="14594" width="4.140625" style="210" bestFit="1" customWidth="1"/>
    <col min="14595" max="14601" width="5.140625" style="210" bestFit="1" customWidth="1"/>
    <col min="14602" max="14605" width="4.5703125" style="210" bestFit="1" customWidth="1"/>
    <col min="14606" max="14849" width="11.5703125" style="210"/>
    <col min="14850" max="14850" width="4.140625" style="210" bestFit="1" customWidth="1"/>
    <col min="14851" max="14857" width="5.140625" style="210" bestFit="1" customWidth="1"/>
    <col min="14858" max="14861" width="4.5703125" style="210" bestFit="1" customWidth="1"/>
    <col min="14862" max="15105" width="11.5703125" style="210"/>
    <col min="15106" max="15106" width="4.140625" style="210" bestFit="1" customWidth="1"/>
    <col min="15107" max="15113" width="5.140625" style="210" bestFit="1" customWidth="1"/>
    <col min="15114" max="15117" width="4.5703125" style="210" bestFit="1" customWidth="1"/>
    <col min="15118" max="15361" width="11.5703125" style="210"/>
    <col min="15362" max="15362" width="4.140625" style="210" bestFit="1" customWidth="1"/>
    <col min="15363" max="15369" width="5.140625" style="210" bestFit="1" customWidth="1"/>
    <col min="15370" max="15373" width="4.5703125" style="210" bestFit="1" customWidth="1"/>
    <col min="15374" max="15617" width="11.5703125" style="210"/>
    <col min="15618" max="15618" width="4.140625" style="210" bestFit="1" customWidth="1"/>
    <col min="15619" max="15625" width="5.140625" style="210" bestFit="1" customWidth="1"/>
    <col min="15626" max="15629" width="4.5703125" style="210" bestFit="1" customWidth="1"/>
    <col min="15630" max="15873" width="11.5703125" style="210"/>
    <col min="15874" max="15874" width="4.140625" style="210" bestFit="1" customWidth="1"/>
    <col min="15875" max="15881" width="5.140625" style="210" bestFit="1" customWidth="1"/>
    <col min="15882" max="15885" width="4.5703125" style="210" bestFit="1" customWidth="1"/>
    <col min="15886" max="16129" width="11.5703125" style="210"/>
    <col min="16130" max="16130" width="4.140625" style="210" bestFit="1" customWidth="1"/>
    <col min="16131" max="16137" width="5.140625" style="210" bestFit="1" customWidth="1"/>
    <col min="16138" max="16141" width="4.5703125" style="210" bestFit="1" customWidth="1"/>
    <col min="16142" max="16384" width="11.5703125" style="210"/>
  </cols>
  <sheetData>
    <row r="1" spans="1:13" x14ac:dyDescent="0.2">
      <c r="A1" s="211" t="s">
        <v>685</v>
      </c>
    </row>
    <row r="2" spans="1:13" x14ac:dyDescent="0.2">
      <c r="A2" s="211" t="s">
        <v>686</v>
      </c>
    </row>
    <row r="4" spans="1:13" x14ac:dyDescent="0.2">
      <c r="A4" s="280" t="s">
        <v>304</v>
      </c>
      <c r="B4" s="281">
        <v>1</v>
      </c>
      <c r="C4" s="281">
        <v>2</v>
      </c>
      <c r="D4" s="281">
        <v>3</v>
      </c>
      <c r="E4" s="281">
        <v>4</v>
      </c>
      <c r="F4" s="281">
        <v>5</v>
      </c>
      <c r="G4" s="281">
        <v>6</v>
      </c>
      <c r="H4" s="281">
        <v>7</v>
      </c>
      <c r="I4" s="281">
        <v>8</v>
      </c>
      <c r="J4" s="281">
        <v>9</v>
      </c>
      <c r="K4" s="281">
        <v>10</v>
      </c>
      <c r="L4" s="281">
        <v>11</v>
      </c>
      <c r="M4" s="281">
        <v>12</v>
      </c>
    </row>
    <row r="5" spans="1:13" x14ac:dyDescent="0.2">
      <c r="A5" s="282" t="s">
        <v>687</v>
      </c>
      <c r="B5" s="283">
        <v>0</v>
      </c>
      <c r="C5" s="283">
        <v>0</v>
      </c>
      <c r="D5" s="283">
        <v>0</v>
      </c>
      <c r="E5" s="283">
        <v>0</v>
      </c>
      <c r="F5" s="283">
        <v>0</v>
      </c>
      <c r="G5" s="283">
        <v>0</v>
      </c>
      <c r="H5" s="283">
        <v>0</v>
      </c>
      <c r="I5" s="283">
        <v>0</v>
      </c>
      <c r="J5" s="283">
        <v>0</v>
      </c>
      <c r="K5" s="283">
        <v>0</v>
      </c>
      <c r="L5" s="283">
        <f>K9</f>
        <v>40</v>
      </c>
      <c r="M5" s="283">
        <f>L9</f>
        <v>130</v>
      </c>
    </row>
    <row r="6" spans="1:13" x14ac:dyDescent="0.2">
      <c r="A6" s="282" t="s">
        <v>688</v>
      </c>
      <c r="B6" s="283">
        <v>0</v>
      </c>
      <c r="C6" s="283">
        <v>0</v>
      </c>
      <c r="D6" s="283">
        <v>0</v>
      </c>
      <c r="E6" s="283">
        <v>40</v>
      </c>
      <c r="F6" s="283">
        <v>50</v>
      </c>
      <c r="G6" s="283">
        <v>110</v>
      </c>
      <c r="H6" s="283">
        <v>200</v>
      </c>
      <c r="I6" s="283">
        <v>200</v>
      </c>
      <c r="J6" s="283">
        <v>200</v>
      </c>
      <c r="K6" s="283">
        <v>200</v>
      </c>
      <c r="L6" s="283">
        <v>200</v>
      </c>
      <c r="M6" s="283">
        <v>200</v>
      </c>
    </row>
    <row r="7" spans="1:13" x14ac:dyDescent="0.2">
      <c r="A7" s="282" t="s">
        <v>689</v>
      </c>
      <c r="B7" s="283">
        <v>60</v>
      </c>
      <c r="C7" s="283">
        <v>60</v>
      </c>
      <c r="D7" s="283">
        <v>60</v>
      </c>
      <c r="E7" s="283">
        <v>150</v>
      </c>
      <c r="F7" s="283">
        <v>150</v>
      </c>
      <c r="G7" s="283">
        <v>150</v>
      </c>
      <c r="H7" s="283">
        <v>60</v>
      </c>
      <c r="I7" s="283">
        <v>60</v>
      </c>
      <c r="J7" s="283">
        <v>60</v>
      </c>
      <c r="K7" s="283">
        <v>150</v>
      </c>
      <c r="L7" s="283">
        <v>150</v>
      </c>
      <c r="M7" s="283">
        <v>150</v>
      </c>
    </row>
    <row r="8" spans="1:13" x14ac:dyDescent="0.2">
      <c r="A8" s="282" t="s">
        <v>690</v>
      </c>
      <c r="B8" s="283">
        <f t="shared" ref="B8:M8" si="0">B5+B6-B7</f>
        <v>-60</v>
      </c>
      <c r="C8" s="283">
        <f t="shared" si="0"/>
        <v>-60</v>
      </c>
      <c r="D8" s="283">
        <f t="shared" si="0"/>
        <v>-60</v>
      </c>
      <c r="E8" s="283">
        <f t="shared" si="0"/>
        <v>-110</v>
      </c>
      <c r="F8" s="283">
        <f t="shared" si="0"/>
        <v>-100</v>
      </c>
      <c r="G8" s="283">
        <f t="shared" si="0"/>
        <v>-40</v>
      </c>
      <c r="H8" s="283">
        <f t="shared" si="0"/>
        <v>140</v>
      </c>
      <c r="I8" s="283">
        <f t="shared" si="0"/>
        <v>140</v>
      </c>
      <c r="J8" s="283">
        <f t="shared" si="0"/>
        <v>140</v>
      </c>
      <c r="K8" s="283">
        <f t="shared" si="0"/>
        <v>50</v>
      </c>
      <c r="L8" s="283">
        <f t="shared" si="0"/>
        <v>90</v>
      </c>
      <c r="M8" s="283">
        <f t="shared" si="0"/>
        <v>180</v>
      </c>
    </row>
    <row r="9" spans="1:13" x14ac:dyDescent="0.2">
      <c r="A9" s="282" t="s">
        <v>691</v>
      </c>
      <c r="B9" s="283">
        <f>B8</f>
        <v>-60</v>
      </c>
      <c r="C9" s="283">
        <f>C8+B9</f>
        <v>-120</v>
      </c>
      <c r="D9" s="283">
        <f>D8+C9</f>
        <v>-180</v>
      </c>
      <c r="E9" s="283">
        <f>E8+D9</f>
        <v>-290</v>
      </c>
      <c r="F9" s="283">
        <f>F8+E9</f>
        <v>-390</v>
      </c>
      <c r="G9" s="284">
        <f t="shared" ref="G9:M9" si="1">G8+F9</f>
        <v>-430</v>
      </c>
      <c r="H9" s="283">
        <f t="shared" si="1"/>
        <v>-290</v>
      </c>
      <c r="I9" s="283">
        <f t="shared" si="1"/>
        <v>-150</v>
      </c>
      <c r="J9" s="283">
        <f t="shared" si="1"/>
        <v>-10</v>
      </c>
      <c r="K9" s="283">
        <f t="shared" si="1"/>
        <v>40</v>
      </c>
      <c r="L9" s="283">
        <f t="shared" si="1"/>
        <v>130</v>
      </c>
      <c r="M9" s="283">
        <f t="shared" si="1"/>
        <v>310</v>
      </c>
    </row>
    <row r="11" spans="1:13" x14ac:dyDescent="0.2">
      <c r="A11" s="210" t="s">
        <v>692</v>
      </c>
      <c r="C11" s="210">
        <v>430</v>
      </c>
    </row>
    <row r="12" spans="1:13" x14ac:dyDescent="0.2">
      <c r="A12" s="210" t="s">
        <v>693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20BA-5A24-4A3A-8CF0-CFCF872EB819}">
  <dimension ref="A1:E19"/>
  <sheetViews>
    <sheetView zoomScale="110" zoomScaleNormal="110" workbookViewId="0">
      <selection activeCell="E23" sqref="E23"/>
    </sheetView>
  </sheetViews>
  <sheetFormatPr baseColWidth="10" defaultRowHeight="12.75" x14ac:dyDescent="0.2"/>
  <cols>
    <col min="1" max="1" width="28.28515625" style="210" customWidth="1"/>
    <col min="2" max="2" width="32.7109375" style="210" customWidth="1"/>
    <col min="3" max="3" width="12.7109375" style="210" bestFit="1" customWidth="1"/>
    <col min="4" max="256" width="11.5703125" style="210"/>
    <col min="257" max="257" width="28.28515625" style="210" customWidth="1"/>
    <col min="258" max="258" width="32.7109375" style="210" customWidth="1"/>
    <col min="259" max="259" width="12.7109375" style="210" bestFit="1" customWidth="1"/>
    <col min="260" max="512" width="11.5703125" style="210"/>
    <col min="513" max="513" width="28.28515625" style="210" customWidth="1"/>
    <col min="514" max="514" width="32.7109375" style="210" customWidth="1"/>
    <col min="515" max="515" width="12.7109375" style="210" bestFit="1" customWidth="1"/>
    <col min="516" max="768" width="11.5703125" style="210"/>
    <col min="769" max="769" width="28.28515625" style="210" customWidth="1"/>
    <col min="770" max="770" width="32.7109375" style="210" customWidth="1"/>
    <col min="771" max="771" width="12.7109375" style="210" bestFit="1" customWidth="1"/>
    <col min="772" max="1024" width="11.5703125" style="210"/>
    <col min="1025" max="1025" width="28.28515625" style="210" customWidth="1"/>
    <col min="1026" max="1026" width="32.7109375" style="210" customWidth="1"/>
    <col min="1027" max="1027" width="12.7109375" style="210" bestFit="1" customWidth="1"/>
    <col min="1028" max="1280" width="11.5703125" style="210"/>
    <col min="1281" max="1281" width="28.28515625" style="210" customWidth="1"/>
    <col min="1282" max="1282" width="32.7109375" style="210" customWidth="1"/>
    <col min="1283" max="1283" width="12.7109375" style="210" bestFit="1" customWidth="1"/>
    <col min="1284" max="1536" width="11.5703125" style="210"/>
    <col min="1537" max="1537" width="28.28515625" style="210" customWidth="1"/>
    <col min="1538" max="1538" width="32.7109375" style="210" customWidth="1"/>
    <col min="1539" max="1539" width="12.7109375" style="210" bestFit="1" customWidth="1"/>
    <col min="1540" max="1792" width="11.5703125" style="210"/>
    <col min="1793" max="1793" width="28.28515625" style="210" customWidth="1"/>
    <col min="1794" max="1794" width="32.7109375" style="210" customWidth="1"/>
    <col min="1795" max="1795" width="12.7109375" style="210" bestFit="1" customWidth="1"/>
    <col min="1796" max="2048" width="11.5703125" style="210"/>
    <col min="2049" max="2049" width="28.28515625" style="210" customWidth="1"/>
    <col min="2050" max="2050" width="32.7109375" style="210" customWidth="1"/>
    <col min="2051" max="2051" width="12.7109375" style="210" bestFit="1" customWidth="1"/>
    <col min="2052" max="2304" width="11.5703125" style="210"/>
    <col min="2305" max="2305" width="28.28515625" style="210" customWidth="1"/>
    <col min="2306" max="2306" width="32.7109375" style="210" customWidth="1"/>
    <col min="2307" max="2307" width="12.7109375" style="210" bestFit="1" customWidth="1"/>
    <col min="2308" max="2560" width="11.5703125" style="210"/>
    <col min="2561" max="2561" width="28.28515625" style="210" customWidth="1"/>
    <col min="2562" max="2562" width="32.7109375" style="210" customWidth="1"/>
    <col min="2563" max="2563" width="12.7109375" style="210" bestFit="1" customWidth="1"/>
    <col min="2564" max="2816" width="11.5703125" style="210"/>
    <col min="2817" max="2817" width="28.28515625" style="210" customWidth="1"/>
    <col min="2818" max="2818" width="32.7109375" style="210" customWidth="1"/>
    <col min="2819" max="2819" width="12.7109375" style="210" bestFit="1" customWidth="1"/>
    <col min="2820" max="3072" width="11.5703125" style="210"/>
    <col min="3073" max="3073" width="28.28515625" style="210" customWidth="1"/>
    <col min="3074" max="3074" width="32.7109375" style="210" customWidth="1"/>
    <col min="3075" max="3075" width="12.7109375" style="210" bestFit="1" customWidth="1"/>
    <col min="3076" max="3328" width="11.5703125" style="210"/>
    <col min="3329" max="3329" width="28.28515625" style="210" customWidth="1"/>
    <col min="3330" max="3330" width="32.7109375" style="210" customWidth="1"/>
    <col min="3331" max="3331" width="12.7109375" style="210" bestFit="1" customWidth="1"/>
    <col min="3332" max="3584" width="11.5703125" style="210"/>
    <col min="3585" max="3585" width="28.28515625" style="210" customWidth="1"/>
    <col min="3586" max="3586" width="32.7109375" style="210" customWidth="1"/>
    <col min="3587" max="3587" width="12.7109375" style="210" bestFit="1" customWidth="1"/>
    <col min="3588" max="3840" width="11.5703125" style="210"/>
    <col min="3841" max="3841" width="28.28515625" style="210" customWidth="1"/>
    <col min="3842" max="3842" width="32.7109375" style="210" customWidth="1"/>
    <col min="3843" max="3843" width="12.7109375" style="210" bestFit="1" customWidth="1"/>
    <col min="3844" max="4096" width="11.5703125" style="210"/>
    <col min="4097" max="4097" width="28.28515625" style="210" customWidth="1"/>
    <col min="4098" max="4098" width="32.7109375" style="210" customWidth="1"/>
    <col min="4099" max="4099" width="12.7109375" style="210" bestFit="1" customWidth="1"/>
    <col min="4100" max="4352" width="11.5703125" style="210"/>
    <col min="4353" max="4353" width="28.28515625" style="210" customWidth="1"/>
    <col min="4354" max="4354" width="32.7109375" style="210" customWidth="1"/>
    <col min="4355" max="4355" width="12.7109375" style="210" bestFit="1" customWidth="1"/>
    <col min="4356" max="4608" width="11.5703125" style="210"/>
    <col min="4609" max="4609" width="28.28515625" style="210" customWidth="1"/>
    <col min="4610" max="4610" width="32.7109375" style="210" customWidth="1"/>
    <col min="4611" max="4611" width="12.7109375" style="210" bestFit="1" customWidth="1"/>
    <col min="4612" max="4864" width="11.5703125" style="210"/>
    <col min="4865" max="4865" width="28.28515625" style="210" customWidth="1"/>
    <col min="4866" max="4866" width="32.7109375" style="210" customWidth="1"/>
    <col min="4867" max="4867" width="12.7109375" style="210" bestFit="1" customWidth="1"/>
    <col min="4868" max="5120" width="11.5703125" style="210"/>
    <col min="5121" max="5121" width="28.28515625" style="210" customWidth="1"/>
    <col min="5122" max="5122" width="32.7109375" style="210" customWidth="1"/>
    <col min="5123" max="5123" width="12.7109375" style="210" bestFit="1" customWidth="1"/>
    <col min="5124" max="5376" width="11.5703125" style="210"/>
    <col min="5377" max="5377" width="28.28515625" style="210" customWidth="1"/>
    <col min="5378" max="5378" width="32.7109375" style="210" customWidth="1"/>
    <col min="5379" max="5379" width="12.7109375" style="210" bestFit="1" customWidth="1"/>
    <col min="5380" max="5632" width="11.5703125" style="210"/>
    <col min="5633" max="5633" width="28.28515625" style="210" customWidth="1"/>
    <col min="5634" max="5634" width="32.7109375" style="210" customWidth="1"/>
    <col min="5635" max="5635" width="12.7109375" style="210" bestFit="1" customWidth="1"/>
    <col min="5636" max="5888" width="11.5703125" style="210"/>
    <col min="5889" max="5889" width="28.28515625" style="210" customWidth="1"/>
    <col min="5890" max="5890" width="32.7109375" style="210" customWidth="1"/>
    <col min="5891" max="5891" width="12.7109375" style="210" bestFit="1" customWidth="1"/>
    <col min="5892" max="6144" width="11.5703125" style="210"/>
    <col min="6145" max="6145" width="28.28515625" style="210" customWidth="1"/>
    <col min="6146" max="6146" width="32.7109375" style="210" customWidth="1"/>
    <col min="6147" max="6147" width="12.7109375" style="210" bestFit="1" customWidth="1"/>
    <col min="6148" max="6400" width="11.5703125" style="210"/>
    <col min="6401" max="6401" width="28.28515625" style="210" customWidth="1"/>
    <col min="6402" max="6402" width="32.7109375" style="210" customWidth="1"/>
    <col min="6403" max="6403" width="12.7109375" style="210" bestFit="1" customWidth="1"/>
    <col min="6404" max="6656" width="11.5703125" style="210"/>
    <col min="6657" max="6657" width="28.28515625" style="210" customWidth="1"/>
    <col min="6658" max="6658" width="32.7109375" style="210" customWidth="1"/>
    <col min="6659" max="6659" width="12.7109375" style="210" bestFit="1" customWidth="1"/>
    <col min="6660" max="6912" width="11.5703125" style="210"/>
    <col min="6913" max="6913" width="28.28515625" style="210" customWidth="1"/>
    <col min="6914" max="6914" width="32.7109375" style="210" customWidth="1"/>
    <col min="6915" max="6915" width="12.7109375" style="210" bestFit="1" customWidth="1"/>
    <col min="6916" max="7168" width="11.5703125" style="210"/>
    <col min="7169" max="7169" width="28.28515625" style="210" customWidth="1"/>
    <col min="7170" max="7170" width="32.7109375" style="210" customWidth="1"/>
    <col min="7171" max="7171" width="12.7109375" style="210" bestFit="1" customWidth="1"/>
    <col min="7172" max="7424" width="11.5703125" style="210"/>
    <col min="7425" max="7425" width="28.28515625" style="210" customWidth="1"/>
    <col min="7426" max="7426" width="32.7109375" style="210" customWidth="1"/>
    <col min="7427" max="7427" width="12.7109375" style="210" bestFit="1" customWidth="1"/>
    <col min="7428" max="7680" width="11.5703125" style="210"/>
    <col min="7681" max="7681" width="28.28515625" style="210" customWidth="1"/>
    <col min="7682" max="7682" width="32.7109375" style="210" customWidth="1"/>
    <col min="7683" max="7683" width="12.7109375" style="210" bestFit="1" customWidth="1"/>
    <col min="7684" max="7936" width="11.5703125" style="210"/>
    <col min="7937" max="7937" width="28.28515625" style="210" customWidth="1"/>
    <col min="7938" max="7938" width="32.7109375" style="210" customWidth="1"/>
    <col min="7939" max="7939" width="12.7109375" style="210" bestFit="1" customWidth="1"/>
    <col min="7940" max="8192" width="11.5703125" style="210"/>
    <col min="8193" max="8193" width="28.28515625" style="210" customWidth="1"/>
    <col min="8194" max="8194" width="32.7109375" style="210" customWidth="1"/>
    <col min="8195" max="8195" width="12.7109375" style="210" bestFit="1" customWidth="1"/>
    <col min="8196" max="8448" width="11.5703125" style="210"/>
    <col min="8449" max="8449" width="28.28515625" style="210" customWidth="1"/>
    <col min="8450" max="8450" width="32.7109375" style="210" customWidth="1"/>
    <col min="8451" max="8451" width="12.7109375" style="210" bestFit="1" customWidth="1"/>
    <col min="8452" max="8704" width="11.5703125" style="210"/>
    <col min="8705" max="8705" width="28.28515625" style="210" customWidth="1"/>
    <col min="8706" max="8706" width="32.7109375" style="210" customWidth="1"/>
    <col min="8707" max="8707" width="12.7109375" style="210" bestFit="1" customWidth="1"/>
    <col min="8708" max="8960" width="11.5703125" style="210"/>
    <col min="8961" max="8961" width="28.28515625" style="210" customWidth="1"/>
    <col min="8962" max="8962" width="32.7109375" style="210" customWidth="1"/>
    <col min="8963" max="8963" width="12.7109375" style="210" bestFit="1" customWidth="1"/>
    <col min="8964" max="9216" width="11.5703125" style="210"/>
    <col min="9217" max="9217" width="28.28515625" style="210" customWidth="1"/>
    <col min="9218" max="9218" width="32.7109375" style="210" customWidth="1"/>
    <col min="9219" max="9219" width="12.7109375" style="210" bestFit="1" customWidth="1"/>
    <col min="9220" max="9472" width="11.5703125" style="210"/>
    <col min="9473" max="9473" width="28.28515625" style="210" customWidth="1"/>
    <col min="9474" max="9474" width="32.7109375" style="210" customWidth="1"/>
    <col min="9475" max="9475" width="12.7109375" style="210" bestFit="1" customWidth="1"/>
    <col min="9476" max="9728" width="11.5703125" style="210"/>
    <col min="9729" max="9729" width="28.28515625" style="210" customWidth="1"/>
    <col min="9730" max="9730" width="32.7109375" style="210" customWidth="1"/>
    <col min="9731" max="9731" width="12.7109375" style="210" bestFit="1" customWidth="1"/>
    <col min="9732" max="9984" width="11.5703125" style="210"/>
    <col min="9985" max="9985" width="28.28515625" style="210" customWidth="1"/>
    <col min="9986" max="9986" width="32.7109375" style="210" customWidth="1"/>
    <col min="9987" max="9987" width="12.7109375" style="210" bestFit="1" customWidth="1"/>
    <col min="9988" max="10240" width="11.5703125" style="210"/>
    <col min="10241" max="10241" width="28.28515625" style="210" customWidth="1"/>
    <col min="10242" max="10242" width="32.7109375" style="210" customWidth="1"/>
    <col min="10243" max="10243" width="12.7109375" style="210" bestFit="1" customWidth="1"/>
    <col min="10244" max="10496" width="11.5703125" style="210"/>
    <col min="10497" max="10497" width="28.28515625" style="210" customWidth="1"/>
    <col min="10498" max="10498" width="32.7109375" style="210" customWidth="1"/>
    <col min="10499" max="10499" width="12.7109375" style="210" bestFit="1" customWidth="1"/>
    <col min="10500" max="10752" width="11.5703125" style="210"/>
    <col min="10753" max="10753" width="28.28515625" style="210" customWidth="1"/>
    <col min="10754" max="10754" width="32.7109375" style="210" customWidth="1"/>
    <col min="10755" max="10755" width="12.7109375" style="210" bestFit="1" customWidth="1"/>
    <col min="10756" max="11008" width="11.5703125" style="210"/>
    <col min="11009" max="11009" width="28.28515625" style="210" customWidth="1"/>
    <col min="11010" max="11010" width="32.7109375" style="210" customWidth="1"/>
    <col min="11011" max="11011" width="12.7109375" style="210" bestFit="1" customWidth="1"/>
    <col min="11012" max="11264" width="11.5703125" style="210"/>
    <col min="11265" max="11265" width="28.28515625" style="210" customWidth="1"/>
    <col min="11266" max="11266" width="32.7109375" style="210" customWidth="1"/>
    <col min="11267" max="11267" width="12.7109375" style="210" bestFit="1" customWidth="1"/>
    <col min="11268" max="11520" width="11.5703125" style="210"/>
    <col min="11521" max="11521" width="28.28515625" style="210" customWidth="1"/>
    <col min="11522" max="11522" width="32.7109375" style="210" customWidth="1"/>
    <col min="11523" max="11523" width="12.7109375" style="210" bestFit="1" customWidth="1"/>
    <col min="11524" max="11776" width="11.5703125" style="210"/>
    <col min="11777" max="11777" width="28.28515625" style="210" customWidth="1"/>
    <col min="11778" max="11778" width="32.7109375" style="210" customWidth="1"/>
    <col min="11779" max="11779" width="12.7109375" style="210" bestFit="1" customWidth="1"/>
    <col min="11780" max="12032" width="11.5703125" style="210"/>
    <col min="12033" max="12033" width="28.28515625" style="210" customWidth="1"/>
    <col min="12034" max="12034" width="32.7109375" style="210" customWidth="1"/>
    <col min="12035" max="12035" width="12.7109375" style="210" bestFit="1" customWidth="1"/>
    <col min="12036" max="12288" width="11.5703125" style="210"/>
    <col min="12289" max="12289" width="28.28515625" style="210" customWidth="1"/>
    <col min="12290" max="12290" width="32.7109375" style="210" customWidth="1"/>
    <col min="12291" max="12291" width="12.7109375" style="210" bestFit="1" customWidth="1"/>
    <col min="12292" max="12544" width="11.5703125" style="210"/>
    <col min="12545" max="12545" width="28.28515625" style="210" customWidth="1"/>
    <col min="12546" max="12546" width="32.7109375" style="210" customWidth="1"/>
    <col min="12547" max="12547" width="12.7109375" style="210" bestFit="1" customWidth="1"/>
    <col min="12548" max="12800" width="11.5703125" style="210"/>
    <col min="12801" max="12801" width="28.28515625" style="210" customWidth="1"/>
    <col min="12802" max="12802" width="32.7109375" style="210" customWidth="1"/>
    <col min="12803" max="12803" width="12.7109375" style="210" bestFit="1" customWidth="1"/>
    <col min="12804" max="13056" width="11.5703125" style="210"/>
    <col min="13057" max="13057" width="28.28515625" style="210" customWidth="1"/>
    <col min="13058" max="13058" width="32.7109375" style="210" customWidth="1"/>
    <col min="13059" max="13059" width="12.7109375" style="210" bestFit="1" customWidth="1"/>
    <col min="13060" max="13312" width="11.5703125" style="210"/>
    <col min="13313" max="13313" width="28.28515625" style="210" customWidth="1"/>
    <col min="13314" max="13314" width="32.7109375" style="210" customWidth="1"/>
    <col min="13315" max="13315" width="12.7109375" style="210" bestFit="1" customWidth="1"/>
    <col min="13316" max="13568" width="11.5703125" style="210"/>
    <col min="13569" max="13569" width="28.28515625" style="210" customWidth="1"/>
    <col min="13570" max="13570" width="32.7109375" style="210" customWidth="1"/>
    <col min="13571" max="13571" width="12.7109375" style="210" bestFit="1" customWidth="1"/>
    <col min="13572" max="13824" width="11.5703125" style="210"/>
    <col min="13825" max="13825" width="28.28515625" style="210" customWidth="1"/>
    <col min="13826" max="13826" width="32.7109375" style="210" customWidth="1"/>
    <col min="13827" max="13827" width="12.7109375" style="210" bestFit="1" customWidth="1"/>
    <col min="13828" max="14080" width="11.5703125" style="210"/>
    <col min="14081" max="14081" width="28.28515625" style="210" customWidth="1"/>
    <col min="14082" max="14082" width="32.7109375" style="210" customWidth="1"/>
    <col min="14083" max="14083" width="12.7109375" style="210" bestFit="1" customWidth="1"/>
    <col min="14084" max="14336" width="11.5703125" style="210"/>
    <col min="14337" max="14337" width="28.28515625" style="210" customWidth="1"/>
    <col min="14338" max="14338" width="32.7109375" style="210" customWidth="1"/>
    <col min="14339" max="14339" width="12.7109375" style="210" bestFit="1" customWidth="1"/>
    <col min="14340" max="14592" width="11.5703125" style="210"/>
    <col min="14593" max="14593" width="28.28515625" style="210" customWidth="1"/>
    <col min="14594" max="14594" width="32.7109375" style="210" customWidth="1"/>
    <col min="14595" max="14595" width="12.7109375" style="210" bestFit="1" customWidth="1"/>
    <col min="14596" max="14848" width="11.5703125" style="210"/>
    <col min="14849" max="14849" width="28.28515625" style="210" customWidth="1"/>
    <col min="14850" max="14850" width="32.7109375" style="210" customWidth="1"/>
    <col min="14851" max="14851" width="12.7109375" style="210" bestFit="1" customWidth="1"/>
    <col min="14852" max="15104" width="11.5703125" style="210"/>
    <col min="15105" max="15105" width="28.28515625" style="210" customWidth="1"/>
    <col min="15106" max="15106" width="32.7109375" style="210" customWidth="1"/>
    <col min="15107" max="15107" width="12.7109375" style="210" bestFit="1" customWidth="1"/>
    <col min="15108" max="15360" width="11.5703125" style="210"/>
    <col min="15361" max="15361" width="28.28515625" style="210" customWidth="1"/>
    <col min="15362" max="15362" width="32.7109375" style="210" customWidth="1"/>
    <col min="15363" max="15363" width="12.7109375" style="210" bestFit="1" customWidth="1"/>
    <col min="15364" max="15616" width="11.5703125" style="210"/>
    <col min="15617" max="15617" width="28.28515625" style="210" customWidth="1"/>
    <col min="15618" max="15618" width="32.7109375" style="210" customWidth="1"/>
    <col min="15619" max="15619" width="12.7109375" style="210" bestFit="1" customWidth="1"/>
    <col min="15620" max="15872" width="11.5703125" style="210"/>
    <col min="15873" max="15873" width="28.28515625" style="210" customWidth="1"/>
    <col min="15874" max="15874" width="32.7109375" style="210" customWidth="1"/>
    <col min="15875" max="15875" width="12.7109375" style="210" bestFit="1" customWidth="1"/>
    <col min="15876" max="16128" width="11.5703125" style="210"/>
    <col min="16129" max="16129" width="28.28515625" style="210" customWidth="1"/>
    <col min="16130" max="16130" width="32.7109375" style="210" customWidth="1"/>
    <col min="16131" max="16131" width="12.7109375" style="210" bestFit="1" customWidth="1"/>
    <col min="16132" max="16384" width="11.5703125" style="210"/>
  </cols>
  <sheetData>
    <row r="1" spans="1:5" ht="15.75" x14ac:dyDescent="0.25">
      <c r="A1" s="215" t="s">
        <v>69</v>
      </c>
    </row>
    <row r="3" spans="1:5" x14ac:dyDescent="0.2">
      <c r="A3" s="210" t="s">
        <v>587</v>
      </c>
      <c r="C3" s="230">
        <v>2400000000</v>
      </c>
    </row>
    <row r="4" spans="1:5" x14ac:dyDescent="0.2">
      <c r="A4" s="210" t="s">
        <v>694</v>
      </c>
      <c r="C4" s="231">
        <v>0.3</v>
      </c>
    </row>
    <row r="5" spans="1:5" x14ac:dyDescent="0.2">
      <c r="A5" s="210" t="s">
        <v>695</v>
      </c>
      <c r="C5" s="210">
        <v>30</v>
      </c>
    </row>
    <row r="6" spans="1:5" x14ac:dyDescent="0.2">
      <c r="A6" s="210" t="s">
        <v>696</v>
      </c>
      <c r="C6" s="210">
        <v>60</v>
      </c>
    </row>
    <row r="7" spans="1:5" x14ac:dyDescent="0.2">
      <c r="A7" s="210" t="s">
        <v>697</v>
      </c>
      <c r="C7" s="230">
        <v>360000000</v>
      </c>
    </row>
    <row r="8" spans="1:5" x14ac:dyDescent="0.2">
      <c r="A8" s="210" t="s">
        <v>217</v>
      </c>
      <c r="C8" s="231">
        <v>0.36</v>
      </c>
    </row>
    <row r="10" spans="1:5" x14ac:dyDescent="0.2">
      <c r="A10" s="210" t="s">
        <v>698</v>
      </c>
      <c r="C10" s="230">
        <f>C7*C4</f>
        <v>108000000</v>
      </c>
    </row>
    <row r="11" spans="1:5" x14ac:dyDescent="0.2">
      <c r="A11" s="210" t="s">
        <v>699</v>
      </c>
      <c r="C11" s="230">
        <f>(C7/360*C6)</f>
        <v>60000000</v>
      </c>
    </row>
    <row r="12" spans="1:5" x14ac:dyDescent="0.2">
      <c r="A12" s="210" t="s">
        <v>700</v>
      </c>
      <c r="C12" s="230">
        <f>(1-C4)*C11</f>
        <v>42000000</v>
      </c>
      <c r="E12" s="210" t="s">
        <v>701</v>
      </c>
    </row>
    <row r="13" spans="1:5" x14ac:dyDescent="0.2">
      <c r="A13" s="210" t="s">
        <v>702</v>
      </c>
      <c r="C13" s="230">
        <f>C3/360*C6</f>
        <v>400000000</v>
      </c>
    </row>
    <row r="14" spans="1:5" x14ac:dyDescent="0.2">
      <c r="A14" s="210" t="s">
        <v>703</v>
      </c>
      <c r="C14" s="230">
        <f>(C13-(C3/360*C5))*(1-C4)</f>
        <v>140000000</v>
      </c>
    </row>
    <row r="15" spans="1:5" x14ac:dyDescent="0.2">
      <c r="A15" s="210" t="s">
        <v>704</v>
      </c>
      <c r="C15" s="230">
        <f>(C13-(C3/360*C5)+C12)*C8</f>
        <v>87120000</v>
      </c>
    </row>
    <row r="17" spans="1:1" x14ac:dyDescent="0.2">
      <c r="A17" s="210" t="s">
        <v>705</v>
      </c>
    </row>
    <row r="18" spans="1:1" x14ac:dyDescent="0.2">
      <c r="A18" s="210" t="s">
        <v>706</v>
      </c>
    </row>
    <row r="19" spans="1:1" x14ac:dyDescent="0.2">
      <c r="A19" s="210" t="s">
        <v>707</v>
      </c>
    </row>
  </sheetData>
  <pageMargins left="0.75" right="0.75" top="1" bottom="1" header="0" footer="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2CBF-26DB-4AE6-9823-761FB5DDFE2D}">
  <dimension ref="A1:D17"/>
  <sheetViews>
    <sheetView zoomScale="140" zoomScaleNormal="140" workbookViewId="0">
      <selection activeCell="E23" sqref="E23"/>
    </sheetView>
  </sheetViews>
  <sheetFormatPr baseColWidth="10" defaultRowHeight="12.75" x14ac:dyDescent="0.2"/>
  <cols>
    <col min="1" max="1" width="41.7109375" style="210" customWidth="1"/>
    <col min="2" max="2" width="12.42578125" style="210" customWidth="1"/>
    <col min="3" max="256" width="11.5703125" style="210"/>
    <col min="257" max="257" width="41.7109375" style="210" customWidth="1"/>
    <col min="258" max="258" width="12.42578125" style="210" customWidth="1"/>
    <col min="259" max="512" width="11.5703125" style="210"/>
    <col min="513" max="513" width="41.7109375" style="210" customWidth="1"/>
    <col min="514" max="514" width="12.42578125" style="210" customWidth="1"/>
    <col min="515" max="768" width="11.5703125" style="210"/>
    <col min="769" max="769" width="41.7109375" style="210" customWidth="1"/>
    <col min="770" max="770" width="12.42578125" style="210" customWidth="1"/>
    <col min="771" max="1024" width="11.5703125" style="210"/>
    <col min="1025" max="1025" width="41.7109375" style="210" customWidth="1"/>
    <col min="1026" max="1026" width="12.42578125" style="210" customWidth="1"/>
    <col min="1027" max="1280" width="11.5703125" style="210"/>
    <col min="1281" max="1281" width="41.7109375" style="210" customWidth="1"/>
    <col min="1282" max="1282" width="12.42578125" style="210" customWidth="1"/>
    <col min="1283" max="1536" width="11.5703125" style="210"/>
    <col min="1537" max="1537" width="41.7109375" style="210" customWidth="1"/>
    <col min="1538" max="1538" width="12.42578125" style="210" customWidth="1"/>
    <col min="1539" max="1792" width="11.5703125" style="210"/>
    <col min="1793" max="1793" width="41.7109375" style="210" customWidth="1"/>
    <col min="1794" max="1794" width="12.42578125" style="210" customWidth="1"/>
    <col min="1795" max="2048" width="11.5703125" style="210"/>
    <col min="2049" max="2049" width="41.7109375" style="210" customWidth="1"/>
    <col min="2050" max="2050" width="12.42578125" style="210" customWidth="1"/>
    <col min="2051" max="2304" width="11.5703125" style="210"/>
    <col min="2305" max="2305" width="41.7109375" style="210" customWidth="1"/>
    <col min="2306" max="2306" width="12.42578125" style="210" customWidth="1"/>
    <col min="2307" max="2560" width="11.5703125" style="210"/>
    <col min="2561" max="2561" width="41.7109375" style="210" customWidth="1"/>
    <col min="2562" max="2562" width="12.42578125" style="210" customWidth="1"/>
    <col min="2563" max="2816" width="11.5703125" style="210"/>
    <col min="2817" max="2817" width="41.7109375" style="210" customWidth="1"/>
    <col min="2818" max="2818" width="12.42578125" style="210" customWidth="1"/>
    <col min="2819" max="3072" width="11.5703125" style="210"/>
    <col min="3073" max="3073" width="41.7109375" style="210" customWidth="1"/>
    <col min="3074" max="3074" width="12.42578125" style="210" customWidth="1"/>
    <col min="3075" max="3328" width="11.5703125" style="210"/>
    <col min="3329" max="3329" width="41.7109375" style="210" customWidth="1"/>
    <col min="3330" max="3330" width="12.42578125" style="210" customWidth="1"/>
    <col min="3331" max="3584" width="11.5703125" style="210"/>
    <col min="3585" max="3585" width="41.7109375" style="210" customWidth="1"/>
    <col min="3586" max="3586" width="12.42578125" style="210" customWidth="1"/>
    <col min="3587" max="3840" width="11.5703125" style="210"/>
    <col min="3841" max="3841" width="41.7109375" style="210" customWidth="1"/>
    <col min="3842" max="3842" width="12.42578125" style="210" customWidth="1"/>
    <col min="3843" max="4096" width="11.5703125" style="210"/>
    <col min="4097" max="4097" width="41.7109375" style="210" customWidth="1"/>
    <col min="4098" max="4098" width="12.42578125" style="210" customWidth="1"/>
    <col min="4099" max="4352" width="11.5703125" style="210"/>
    <col min="4353" max="4353" width="41.7109375" style="210" customWidth="1"/>
    <col min="4354" max="4354" width="12.42578125" style="210" customWidth="1"/>
    <col min="4355" max="4608" width="11.5703125" style="210"/>
    <col min="4609" max="4609" width="41.7109375" style="210" customWidth="1"/>
    <col min="4610" max="4610" width="12.42578125" style="210" customWidth="1"/>
    <col min="4611" max="4864" width="11.5703125" style="210"/>
    <col min="4865" max="4865" width="41.7109375" style="210" customWidth="1"/>
    <col min="4866" max="4866" width="12.42578125" style="210" customWidth="1"/>
    <col min="4867" max="5120" width="11.5703125" style="210"/>
    <col min="5121" max="5121" width="41.7109375" style="210" customWidth="1"/>
    <col min="5122" max="5122" width="12.42578125" style="210" customWidth="1"/>
    <col min="5123" max="5376" width="11.5703125" style="210"/>
    <col min="5377" max="5377" width="41.7109375" style="210" customWidth="1"/>
    <col min="5378" max="5378" width="12.42578125" style="210" customWidth="1"/>
    <col min="5379" max="5632" width="11.5703125" style="210"/>
    <col min="5633" max="5633" width="41.7109375" style="210" customWidth="1"/>
    <col min="5634" max="5634" width="12.42578125" style="210" customWidth="1"/>
    <col min="5635" max="5888" width="11.5703125" style="210"/>
    <col min="5889" max="5889" width="41.7109375" style="210" customWidth="1"/>
    <col min="5890" max="5890" width="12.42578125" style="210" customWidth="1"/>
    <col min="5891" max="6144" width="11.5703125" style="210"/>
    <col min="6145" max="6145" width="41.7109375" style="210" customWidth="1"/>
    <col min="6146" max="6146" width="12.42578125" style="210" customWidth="1"/>
    <col min="6147" max="6400" width="11.5703125" style="210"/>
    <col min="6401" max="6401" width="41.7109375" style="210" customWidth="1"/>
    <col min="6402" max="6402" width="12.42578125" style="210" customWidth="1"/>
    <col min="6403" max="6656" width="11.5703125" style="210"/>
    <col min="6657" max="6657" width="41.7109375" style="210" customWidth="1"/>
    <col min="6658" max="6658" width="12.42578125" style="210" customWidth="1"/>
    <col min="6659" max="6912" width="11.5703125" style="210"/>
    <col min="6913" max="6913" width="41.7109375" style="210" customWidth="1"/>
    <col min="6914" max="6914" width="12.42578125" style="210" customWidth="1"/>
    <col min="6915" max="7168" width="11.5703125" style="210"/>
    <col min="7169" max="7169" width="41.7109375" style="210" customWidth="1"/>
    <col min="7170" max="7170" width="12.42578125" style="210" customWidth="1"/>
    <col min="7171" max="7424" width="11.5703125" style="210"/>
    <col min="7425" max="7425" width="41.7109375" style="210" customWidth="1"/>
    <col min="7426" max="7426" width="12.42578125" style="210" customWidth="1"/>
    <col min="7427" max="7680" width="11.5703125" style="210"/>
    <col min="7681" max="7681" width="41.7109375" style="210" customWidth="1"/>
    <col min="7682" max="7682" width="12.42578125" style="210" customWidth="1"/>
    <col min="7683" max="7936" width="11.5703125" style="210"/>
    <col min="7937" max="7937" width="41.7109375" style="210" customWidth="1"/>
    <col min="7938" max="7938" width="12.42578125" style="210" customWidth="1"/>
    <col min="7939" max="8192" width="11.5703125" style="210"/>
    <col min="8193" max="8193" width="41.7109375" style="210" customWidth="1"/>
    <col min="8194" max="8194" width="12.42578125" style="210" customWidth="1"/>
    <col min="8195" max="8448" width="11.5703125" style="210"/>
    <col min="8449" max="8449" width="41.7109375" style="210" customWidth="1"/>
    <col min="8450" max="8450" width="12.42578125" style="210" customWidth="1"/>
    <col min="8451" max="8704" width="11.5703125" style="210"/>
    <col min="8705" max="8705" width="41.7109375" style="210" customWidth="1"/>
    <col min="8706" max="8706" width="12.42578125" style="210" customWidth="1"/>
    <col min="8707" max="8960" width="11.5703125" style="210"/>
    <col min="8961" max="8961" width="41.7109375" style="210" customWidth="1"/>
    <col min="8962" max="8962" width="12.42578125" style="210" customWidth="1"/>
    <col min="8963" max="9216" width="11.5703125" style="210"/>
    <col min="9217" max="9217" width="41.7109375" style="210" customWidth="1"/>
    <col min="9218" max="9218" width="12.42578125" style="210" customWidth="1"/>
    <col min="9219" max="9472" width="11.5703125" style="210"/>
    <col min="9473" max="9473" width="41.7109375" style="210" customWidth="1"/>
    <col min="9474" max="9474" width="12.42578125" style="210" customWidth="1"/>
    <col min="9475" max="9728" width="11.5703125" style="210"/>
    <col min="9729" max="9729" width="41.7109375" style="210" customWidth="1"/>
    <col min="9730" max="9730" width="12.42578125" style="210" customWidth="1"/>
    <col min="9731" max="9984" width="11.5703125" style="210"/>
    <col min="9985" max="9985" width="41.7109375" style="210" customWidth="1"/>
    <col min="9986" max="9986" width="12.42578125" style="210" customWidth="1"/>
    <col min="9987" max="10240" width="11.5703125" style="210"/>
    <col min="10241" max="10241" width="41.7109375" style="210" customWidth="1"/>
    <col min="10242" max="10242" width="12.42578125" style="210" customWidth="1"/>
    <col min="10243" max="10496" width="11.5703125" style="210"/>
    <col min="10497" max="10497" width="41.7109375" style="210" customWidth="1"/>
    <col min="10498" max="10498" width="12.42578125" style="210" customWidth="1"/>
    <col min="10499" max="10752" width="11.5703125" style="210"/>
    <col min="10753" max="10753" width="41.7109375" style="210" customWidth="1"/>
    <col min="10754" max="10754" width="12.42578125" style="210" customWidth="1"/>
    <col min="10755" max="11008" width="11.5703125" style="210"/>
    <col min="11009" max="11009" width="41.7109375" style="210" customWidth="1"/>
    <col min="11010" max="11010" width="12.42578125" style="210" customWidth="1"/>
    <col min="11011" max="11264" width="11.5703125" style="210"/>
    <col min="11265" max="11265" width="41.7109375" style="210" customWidth="1"/>
    <col min="11266" max="11266" width="12.42578125" style="210" customWidth="1"/>
    <col min="11267" max="11520" width="11.5703125" style="210"/>
    <col min="11521" max="11521" width="41.7109375" style="210" customWidth="1"/>
    <col min="11522" max="11522" width="12.42578125" style="210" customWidth="1"/>
    <col min="11523" max="11776" width="11.5703125" style="210"/>
    <col min="11777" max="11777" width="41.7109375" style="210" customWidth="1"/>
    <col min="11778" max="11778" width="12.42578125" style="210" customWidth="1"/>
    <col min="11779" max="12032" width="11.5703125" style="210"/>
    <col min="12033" max="12033" width="41.7109375" style="210" customWidth="1"/>
    <col min="12034" max="12034" width="12.42578125" style="210" customWidth="1"/>
    <col min="12035" max="12288" width="11.5703125" style="210"/>
    <col min="12289" max="12289" width="41.7109375" style="210" customWidth="1"/>
    <col min="12290" max="12290" width="12.42578125" style="210" customWidth="1"/>
    <col min="12291" max="12544" width="11.5703125" style="210"/>
    <col min="12545" max="12545" width="41.7109375" style="210" customWidth="1"/>
    <col min="12546" max="12546" width="12.42578125" style="210" customWidth="1"/>
    <col min="12547" max="12800" width="11.5703125" style="210"/>
    <col min="12801" max="12801" width="41.7109375" style="210" customWidth="1"/>
    <col min="12802" max="12802" width="12.42578125" style="210" customWidth="1"/>
    <col min="12803" max="13056" width="11.5703125" style="210"/>
    <col min="13057" max="13057" width="41.7109375" style="210" customWidth="1"/>
    <col min="13058" max="13058" width="12.42578125" style="210" customWidth="1"/>
    <col min="13059" max="13312" width="11.5703125" style="210"/>
    <col min="13313" max="13313" width="41.7109375" style="210" customWidth="1"/>
    <col min="13314" max="13314" width="12.42578125" style="210" customWidth="1"/>
    <col min="13315" max="13568" width="11.5703125" style="210"/>
    <col min="13569" max="13569" width="41.7109375" style="210" customWidth="1"/>
    <col min="13570" max="13570" width="12.42578125" style="210" customWidth="1"/>
    <col min="13571" max="13824" width="11.5703125" style="210"/>
    <col min="13825" max="13825" width="41.7109375" style="210" customWidth="1"/>
    <col min="13826" max="13826" width="12.42578125" style="210" customWidth="1"/>
    <col min="13827" max="14080" width="11.5703125" style="210"/>
    <col min="14081" max="14081" width="41.7109375" style="210" customWidth="1"/>
    <col min="14082" max="14082" width="12.42578125" style="210" customWidth="1"/>
    <col min="14083" max="14336" width="11.5703125" style="210"/>
    <col min="14337" max="14337" width="41.7109375" style="210" customWidth="1"/>
    <col min="14338" max="14338" width="12.42578125" style="210" customWidth="1"/>
    <col min="14339" max="14592" width="11.5703125" style="210"/>
    <col min="14593" max="14593" width="41.7109375" style="210" customWidth="1"/>
    <col min="14594" max="14594" width="12.42578125" style="210" customWidth="1"/>
    <col min="14595" max="14848" width="11.5703125" style="210"/>
    <col min="14849" max="14849" width="41.7109375" style="210" customWidth="1"/>
    <col min="14850" max="14850" width="12.42578125" style="210" customWidth="1"/>
    <col min="14851" max="15104" width="11.5703125" style="210"/>
    <col min="15105" max="15105" width="41.7109375" style="210" customWidth="1"/>
    <col min="15106" max="15106" width="12.42578125" style="210" customWidth="1"/>
    <col min="15107" max="15360" width="11.5703125" style="210"/>
    <col min="15361" max="15361" width="41.7109375" style="210" customWidth="1"/>
    <col min="15362" max="15362" width="12.42578125" style="210" customWidth="1"/>
    <col min="15363" max="15616" width="11.5703125" style="210"/>
    <col min="15617" max="15617" width="41.7109375" style="210" customWidth="1"/>
    <col min="15618" max="15618" width="12.42578125" style="210" customWidth="1"/>
    <col min="15619" max="15872" width="11.5703125" style="210"/>
    <col min="15873" max="15873" width="41.7109375" style="210" customWidth="1"/>
    <col min="15874" max="15874" width="12.42578125" style="210" customWidth="1"/>
    <col min="15875" max="16128" width="11.5703125" style="210"/>
    <col min="16129" max="16129" width="41.7109375" style="210" customWidth="1"/>
    <col min="16130" max="16130" width="12.42578125" style="210" customWidth="1"/>
    <col min="16131" max="16384" width="11.5703125" style="210"/>
  </cols>
  <sheetData>
    <row r="1" spans="1:4" ht="15.75" x14ac:dyDescent="0.25">
      <c r="A1" s="215" t="s">
        <v>72</v>
      </c>
    </row>
    <row r="3" spans="1:4" x14ac:dyDescent="0.2">
      <c r="A3" s="210" t="s">
        <v>672</v>
      </c>
      <c r="B3" s="230">
        <v>800000</v>
      </c>
    </row>
    <row r="4" spans="1:4" x14ac:dyDescent="0.2">
      <c r="A4" s="210" t="s">
        <v>708</v>
      </c>
      <c r="B4" s="230">
        <f>8%*B3</f>
        <v>64000</v>
      </c>
    </row>
    <row r="5" spans="1:4" x14ac:dyDescent="0.2">
      <c r="A5" s="224" t="s">
        <v>709</v>
      </c>
      <c r="B5" s="285">
        <f>B3-B4</f>
        <v>736000</v>
      </c>
    </row>
    <row r="6" spans="1:4" x14ac:dyDescent="0.2">
      <c r="A6" s="210" t="s">
        <v>710</v>
      </c>
      <c r="B6" s="230">
        <f>4%*B3</f>
        <v>32000</v>
      </c>
    </row>
    <row r="7" spans="1:4" x14ac:dyDescent="0.2">
      <c r="A7" s="210" t="s">
        <v>711</v>
      </c>
      <c r="B7" s="230">
        <f>80%*B3</f>
        <v>640000</v>
      </c>
    </row>
    <row r="8" spans="1:4" x14ac:dyDescent="0.2">
      <c r="A8" s="224" t="s">
        <v>712</v>
      </c>
      <c r="B8" s="285">
        <f>B5-B6-B7</f>
        <v>64000</v>
      </c>
    </row>
    <row r="9" spans="1:4" x14ac:dyDescent="0.2">
      <c r="A9" s="210" t="s">
        <v>713</v>
      </c>
      <c r="B9" s="230">
        <f>30%*B8</f>
        <v>19200</v>
      </c>
    </row>
    <row r="10" spans="1:4" x14ac:dyDescent="0.2">
      <c r="A10" s="210" t="s">
        <v>714</v>
      </c>
      <c r="B10" s="286">
        <f>B8-B9</f>
        <v>44800</v>
      </c>
      <c r="C10" s="210" t="s">
        <v>1</v>
      </c>
      <c r="D10" s="211" t="s">
        <v>715</v>
      </c>
    </row>
    <row r="11" spans="1:4" x14ac:dyDescent="0.2">
      <c r="B11" s="230"/>
    </row>
    <row r="12" spans="1:4" x14ac:dyDescent="0.2">
      <c r="A12" s="210" t="s">
        <v>716</v>
      </c>
      <c r="B12" s="230"/>
    </row>
    <row r="13" spans="1:4" x14ac:dyDescent="0.2">
      <c r="B13" s="230"/>
    </row>
    <row r="14" spans="1:4" x14ac:dyDescent="0.2">
      <c r="A14" s="210" t="s">
        <v>475</v>
      </c>
      <c r="B14" s="230">
        <f>B3/4</f>
        <v>200000</v>
      </c>
    </row>
    <row r="15" spans="1:4" x14ac:dyDescent="0.2">
      <c r="B15" s="230"/>
    </row>
    <row r="16" spans="1:4" x14ac:dyDescent="0.2">
      <c r="B16" s="230"/>
    </row>
    <row r="17" spans="2:2" x14ac:dyDescent="0.2">
      <c r="B17" s="230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F1F3-BFD8-4DCA-B4A1-A2ED55BBF06E}">
  <sheetPr>
    <tabColor rgb="FFFFC000"/>
  </sheetPr>
  <dimension ref="A1"/>
  <sheetViews>
    <sheetView workbookViewId="0">
      <selection activeCell="E23" sqref="E23"/>
    </sheetView>
  </sheetViews>
  <sheetFormatPr baseColWidth="10" defaultColWidth="11.42578125" defaultRowHeight="12.75" x14ac:dyDescent="0.2"/>
  <cols>
    <col min="1" max="16384" width="11.42578125" style="2"/>
  </cols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E796-E8B5-4B9A-A49A-7B2125B4DD35}">
  <dimension ref="A1:L55"/>
  <sheetViews>
    <sheetView zoomScaleNormal="100" workbookViewId="0">
      <pane xSplit="2" ySplit="3" topLeftCell="C4" activePane="bottomRight" state="frozen"/>
      <selection activeCell="E23" sqref="E23"/>
      <selection pane="topRight" activeCell="E23" sqref="E23"/>
      <selection pane="bottomLeft" activeCell="E23" sqref="E23"/>
      <selection pane="bottomRight" activeCell="C3" sqref="C3:G3"/>
    </sheetView>
  </sheetViews>
  <sheetFormatPr baseColWidth="10" defaultColWidth="11.42578125" defaultRowHeight="14.25" x14ac:dyDescent="0.2"/>
  <cols>
    <col min="1" max="1" width="4.85546875" style="288" customWidth="1"/>
    <col min="2" max="2" width="41.7109375" style="288" customWidth="1"/>
    <col min="3" max="3" width="10.28515625" style="288" customWidth="1"/>
    <col min="4" max="4" width="10.28515625" style="288" bestFit="1" customWidth="1"/>
    <col min="5" max="7" width="9.140625" style="288" bestFit="1" customWidth="1"/>
    <col min="8" max="11" width="11.42578125" style="288"/>
    <col min="12" max="12" width="25.42578125" style="288" bestFit="1" customWidth="1"/>
    <col min="13" max="16384" width="11.42578125" style="288"/>
  </cols>
  <sheetData>
    <row r="1" spans="1:7" ht="15" x14ac:dyDescent="0.25">
      <c r="A1" s="287" t="s">
        <v>717</v>
      </c>
    </row>
    <row r="2" spans="1:7" ht="15" x14ac:dyDescent="0.25">
      <c r="A2" s="287" t="s">
        <v>833</v>
      </c>
      <c r="G2" s="289"/>
    </row>
    <row r="3" spans="1:7" x14ac:dyDescent="0.2">
      <c r="A3" s="290" t="s">
        <v>623</v>
      </c>
      <c r="B3" s="291"/>
      <c r="C3" s="292">
        <v>2021</v>
      </c>
      <c r="D3" s="292">
        <v>2022</v>
      </c>
      <c r="E3" s="293">
        <v>2023</v>
      </c>
      <c r="F3" s="293" t="s">
        <v>836</v>
      </c>
      <c r="G3" s="293" t="s">
        <v>835</v>
      </c>
    </row>
    <row r="4" spans="1:7" x14ac:dyDescent="0.2">
      <c r="A4" s="294" t="s">
        <v>718</v>
      </c>
      <c r="B4" s="295"/>
      <c r="C4" s="295"/>
      <c r="D4" s="295"/>
      <c r="E4" s="295"/>
      <c r="F4" s="295"/>
      <c r="G4" s="295"/>
    </row>
    <row r="5" spans="1:7" x14ac:dyDescent="0.2">
      <c r="A5" s="294" t="s">
        <v>719</v>
      </c>
      <c r="B5" s="295"/>
      <c r="C5" s="296"/>
      <c r="D5" s="296"/>
      <c r="E5" s="296"/>
      <c r="F5" s="296"/>
      <c r="G5" s="296"/>
    </row>
    <row r="6" spans="1:7" x14ac:dyDescent="0.2">
      <c r="A6" s="295" t="s">
        <v>720</v>
      </c>
      <c r="B6" s="295"/>
      <c r="C6" s="296">
        <v>16547</v>
      </c>
      <c r="D6" s="296">
        <v>43621.16</v>
      </c>
      <c r="E6" s="296">
        <v>11315.46</v>
      </c>
      <c r="F6" s="296">
        <v>18901.189999999999</v>
      </c>
      <c r="G6" s="296">
        <v>34846.06</v>
      </c>
    </row>
    <row r="7" spans="1:7" x14ac:dyDescent="0.2">
      <c r="A7" s="295" t="s">
        <v>721</v>
      </c>
      <c r="B7" s="295"/>
      <c r="C7" s="296">
        <v>619460</v>
      </c>
      <c r="D7" s="296">
        <v>680414</v>
      </c>
      <c r="E7" s="296">
        <v>944165</v>
      </c>
      <c r="F7" s="296">
        <v>1329986</v>
      </c>
      <c r="G7" s="296">
        <v>1930863.65</v>
      </c>
    </row>
    <row r="8" spans="1:7" x14ac:dyDescent="0.2">
      <c r="A8" s="295" t="s">
        <v>722</v>
      </c>
      <c r="B8" s="295"/>
      <c r="C8" s="296">
        <v>480832</v>
      </c>
      <c r="D8" s="296">
        <v>446599</v>
      </c>
      <c r="E8" s="296">
        <v>428313.04</v>
      </c>
      <c r="F8" s="296">
        <v>430227</v>
      </c>
      <c r="G8" s="296">
        <v>435517.19</v>
      </c>
    </row>
    <row r="9" spans="1:7" x14ac:dyDescent="0.2">
      <c r="A9" s="295" t="s">
        <v>723</v>
      </c>
      <c r="B9" s="295"/>
      <c r="C9" s="296">
        <v>108548</v>
      </c>
      <c r="D9" s="296">
        <v>307340.48</v>
      </c>
      <c r="E9" s="296">
        <v>491124</v>
      </c>
      <c r="F9" s="296">
        <v>314391</v>
      </c>
      <c r="G9" s="296">
        <v>1074209.8500000001</v>
      </c>
    </row>
    <row r="10" spans="1:7" x14ac:dyDescent="0.2">
      <c r="A10" s="295" t="s">
        <v>724</v>
      </c>
      <c r="B10" s="295"/>
      <c r="C10" s="296">
        <v>26353</v>
      </c>
      <c r="D10" s="296">
        <v>0</v>
      </c>
      <c r="E10" s="296">
        <v>10194</v>
      </c>
      <c r="F10" s="296">
        <v>6244.67</v>
      </c>
      <c r="G10" s="296">
        <v>3166.9</v>
      </c>
    </row>
    <row r="11" spans="1:7" x14ac:dyDescent="0.2">
      <c r="A11" s="295" t="s">
        <v>725</v>
      </c>
      <c r="B11" s="295"/>
      <c r="C11" s="296">
        <v>34173</v>
      </c>
      <c r="D11" s="296">
        <v>48988.639999999999</v>
      </c>
      <c r="E11" s="296">
        <v>177031.78</v>
      </c>
      <c r="F11" s="296">
        <v>88903.5</v>
      </c>
      <c r="G11" s="296">
        <v>287919.96000000002</v>
      </c>
    </row>
    <row r="12" spans="1:7" x14ac:dyDescent="0.2">
      <c r="A12" s="295" t="s">
        <v>726</v>
      </c>
      <c r="B12" s="295"/>
      <c r="C12" s="296">
        <v>192528</v>
      </c>
      <c r="D12" s="296">
        <v>213511</v>
      </c>
      <c r="E12" s="296">
        <v>295406</v>
      </c>
      <c r="F12" s="296">
        <v>262290.23</v>
      </c>
      <c r="G12" s="296">
        <v>265830.77</v>
      </c>
    </row>
    <row r="13" spans="1:7" x14ac:dyDescent="0.2">
      <c r="A13" s="295" t="s">
        <v>727</v>
      </c>
      <c r="B13" s="295"/>
      <c r="C13" s="296">
        <v>0</v>
      </c>
      <c r="D13" s="296">
        <v>0</v>
      </c>
      <c r="E13" s="296">
        <v>0</v>
      </c>
      <c r="F13" s="296">
        <v>0</v>
      </c>
      <c r="G13" s="296">
        <v>0</v>
      </c>
    </row>
    <row r="14" spans="1:7" x14ac:dyDescent="0.2">
      <c r="A14" s="295" t="s">
        <v>728</v>
      </c>
      <c r="B14" s="295"/>
      <c r="C14" s="296">
        <v>2111763</v>
      </c>
      <c r="D14" s="296">
        <v>2398186</v>
      </c>
      <c r="E14" s="296">
        <v>1779927.05</v>
      </c>
      <c r="F14" s="296">
        <v>2289369</v>
      </c>
      <c r="G14" s="296">
        <v>2853257.85</v>
      </c>
    </row>
    <row r="15" spans="1:7" x14ac:dyDescent="0.2">
      <c r="A15" s="295" t="s">
        <v>729</v>
      </c>
      <c r="B15" s="295"/>
      <c r="C15" s="296">
        <v>0</v>
      </c>
      <c r="D15" s="296"/>
      <c r="E15" s="296">
        <v>0</v>
      </c>
      <c r="F15" s="296">
        <v>0</v>
      </c>
      <c r="G15" s="296">
        <v>0</v>
      </c>
    </row>
    <row r="16" spans="1:7" x14ac:dyDescent="0.2">
      <c r="A16" s="295" t="s">
        <v>730</v>
      </c>
      <c r="B16" s="295"/>
      <c r="C16" s="296">
        <v>0</v>
      </c>
      <c r="D16" s="296"/>
      <c r="E16" s="296">
        <v>0</v>
      </c>
      <c r="F16" s="296">
        <v>0</v>
      </c>
      <c r="G16" s="296">
        <v>0</v>
      </c>
    </row>
    <row r="17" spans="1:12" x14ac:dyDescent="0.2">
      <c r="A17" s="295" t="s">
        <v>731</v>
      </c>
      <c r="B17" s="295"/>
      <c r="C17" s="296">
        <v>0</v>
      </c>
      <c r="D17" s="296"/>
      <c r="E17" s="296">
        <v>0</v>
      </c>
      <c r="F17" s="296">
        <v>0</v>
      </c>
      <c r="G17" s="296">
        <v>0</v>
      </c>
    </row>
    <row r="18" spans="1:12" x14ac:dyDescent="0.2">
      <c r="A18" s="295" t="s">
        <v>732</v>
      </c>
      <c r="B18" s="295"/>
      <c r="C18" s="296">
        <v>52235</v>
      </c>
      <c r="D18" s="296">
        <v>3852</v>
      </c>
      <c r="E18" s="296">
        <v>304708.08</v>
      </c>
      <c r="F18" s="296">
        <v>312086.78000000003</v>
      </c>
      <c r="G18" s="296">
        <v>0</v>
      </c>
    </row>
    <row r="19" spans="1:12" x14ac:dyDescent="0.2">
      <c r="A19" s="295" t="s">
        <v>733</v>
      </c>
      <c r="B19" s="295"/>
      <c r="C19" s="296">
        <v>696141</v>
      </c>
      <c r="D19" s="296">
        <v>177426</v>
      </c>
      <c r="E19" s="296">
        <v>249626</v>
      </c>
      <c r="F19" s="296">
        <v>84466.32</v>
      </c>
      <c r="G19" s="296">
        <v>101357</v>
      </c>
    </row>
    <row r="20" spans="1:12" x14ac:dyDescent="0.2">
      <c r="A20" s="295" t="s">
        <v>734</v>
      </c>
      <c r="B20" s="295"/>
      <c r="C20" s="296">
        <v>0</v>
      </c>
      <c r="D20" s="296">
        <v>0</v>
      </c>
      <c r="E20" s="296">
        <v>0</v>
      </c>
      <c r="F20" s="296">
        <v>98749</v>
      </c>
      <c r="G20" s="296">
        <v>0</v>
      </c>
    </row>
    <row r="21" spans="1:12" x14ac:dyDescent="0.2">
      <c r="A21" s="295" t="s">
        <v>735</v>
      </c>
      <c r="B21" s="295"/>
      <c r="C21" s="296">
        <v>0</v>
      </c>
      <c r="D21" s="296">
        <v>0</v>
      </c>
      <c r="E21" s="296">
        <v>0</v>
      </c>
      <c r="F21" s="296">
        <v>0</v>
      </c>
      <c r="G21" s="296">
        <v>61767.4</v>
      </c>
    </row>
    <row r="22" spans="1:12" x14ac:dyDescent="0.2">
      <c r="A22" s="294" t="s">
        <v>736</v>
      </c>
      <c r="B22" s="295"/>
      <c r="C22" s="297">
        <f>SUM(C6:C21)</f>
        <v>4338580</v>
      </c>
      <c r="D22" s="297">
        <f>SUM(D6:D21)</f>
        <v>4319938.28</v>
      </c>
      <c r="E22" s="297">
        <f>SUM(E6:E21)</f>
        <v>4691810.41</v>
      </c>
      <c r="F22" s="297">
        <f>SUM(F6:F21)</f>
        <v>5235614.6900000004</v>
      </c>
      <c r="G22" s="297">
        <f>SUM(G6:G21)</f>
        <v>7048736.6300000008</v>
      </c>
    </row>
    <row r="23" spans="1:12" x14ac:dyDescent="0.2">
      <c r="A23" s="294" t="s">
        <v>737</v>
      </c>
      <c r="B23" s="295"/>
      <c r="C23" s="297"/>
      <c r="D23" s="297"/>
      <c r="E23" s="297"/>
      <c r="F23" s="297"/>
      <c r="G23" s="297"/>
    </row>
    <row r="24" spans="1:12" x14ac:dyDescent="0.2">
      <c r="A24" s="295" t="s">
        <v>738</v>
      </c>
      <c r="B24" s="295"/>
      <c r="C24" s="296">
        <v>0</v>
      </c>
      <c r="D24" s="296">
        <v>0</v>
      </c>
      <c r="E24" s="296">
        <v>0</v>
      </c>
      <c r="F24" s="296">
        <v>0</v>
      </c>
      <c r="G24" s="296">
        <v>199773.09</v>
      </c>
    </row>
    <row r="25" spans="1:12" x14ac:dyDescent="0.2">
      <c r="A25" s="295" t="s">
        <v>739</v>
      </c>
      <c r="B25" s="295"/>
      <c r="C25" s="296">
        <v>948102</v>
      </c>
      <c r="D25" s="296">
        <v>852830</v>
      </c>
      <c r="E25" s="296">
        <v>871705.91</v>
      </c>
      <c r="F25" s="296">
        <v>910354.76</v>
      </c>
      <c r="G25" s="296">
        <v>915378.73</v>
      </c>
    </row>
    <row r="26" spans="1:12" x14ac:dyDescent="0.2">
      <c r="A26" s="295" t="s">
        <v>740</v>
      </c>
      <c r="B26" s="295"/>
      <c r="C26" s="296">
        <v>0</v>
      </c>
      <c r="D26" s="296">
        <v>0</v>
      </c>
      <c r="E26" s="296">
        <v>0</v>
      </c>
      <c r="F26" s="296">
        <v>0</v>
      </c>
      <c r="G26" s="296">
        <v>4100</v>
      </c>
    </row>
    <row r="27" spans="1:12" x14ac:dyDescent="0.2">
      <c r="A27" s="295" t="s">
        <v>741</v>
      </c>
      <c r="B27" s="295"/>
      <c r="C27" s="296">
        <v>-423272</v>
      </c>
      <c r="D27" s="296">
        <v>-351063.32</v>
      </c>
      <c r="E27" s="296">
        <v>-406662.27</v>
      </c>
      <c r="F27" s="296">
        <v>-462402.63</v>
      </c>
      <c r="G27" s="296">
        <v>-518142.99099999998</v>
      </c>
    </row>
    <row r="28" spans="1:12" x14ac:dyDescent="0.2">
      <c r="A28" s="294" t="s">
        <v>742</v>
      </c>
      <c r="B28" s="295"/>
      <c r="C28" s="297">
        <f t="shared" ref="C28:F28" si="0">SUM(C24:C27)</f>
        <v>524830</v>
      </c>
      <c r="D28" s="297">
        <f t="shared" si="0"/>
        <v>501766.68</v>
      </c>
      <c r="E28" s="297">
        <f t="shared" si="0"/>
        <v>465043.64</v>
      </c>
      <c r="F28" s="297">
        <f t="shared" si="0"/>
        <v>447952.13</v>
      </c>
      <c r="G28" s="297">
        <f>SUM(G24:G27)</f>
        <v>601108.82900000014</v>
      </c>
    </row>
    <row r="29" spans="1:12" x14ac:dyDescent="0.2">
      <c r="A29" s="294" t="s">
        <v>743</v>
      </c>
      <c r="B29" s="295"/>
      <c r="C29" s="297">
        <f>C22+C28</f>
        <v>4863410</v>
      </c>
      <c r="D29" s="297">
        <f>D22+D28</f>
        <v>4821704.96</v>
      </c>
      <c r="E29" s="297">
        <f>E22+E28</f>
        <v>5156854.05</v>
      </c>
      <c r="F29" s="297">
        <f>F22+F28</f>
        <v>5683566.8200000003</v>
      </c>
      <c r="G29" s="297">
        <f>G22+G28</f>
        <v>7649845.4590000007</v>
      </c>
    </row>
    <row r="30" spans="1:12" x14ac:dyDescent="0.2">
      <c r="A30" s="294" t="s">
        <v>744</v>
      </c>
      <c r="B30" s="295"/>
      <c r="C30" s="296"/>
      <c r="D30" s="296"/>
      <c r="E30" s="296"/>
      <c r="F30" s="296"/>
      <c r="G30" s="296"/>
    </row>
    <row r="31" spans="1:12" x14ac:dyDescent="0.2">
      <c r="A31" s="294" t="s">
        <v>745</v>
      </c>
      <c r="B31" s="295"/>
      <c r="C31" s="296"/>
      <c r="D31" s="296"/>
      <c r="E31" s="296"/>
      <c r="F31" s="296"/>
      <c r="G31" s="296"/>
    </row>
    <row r="32" spans="1:12" ht="15" x14ac:dyDescent="0.25">
      <c r="A32" s="298" t="s">
        <v>746</v>
      </c>
      <c r="B32" s="298"/>
      <c r="C32" s="299">
        <v>1320</v>
      </c>
      <c r="D32" s="299">
        <v>0</v>
      </c>
      <c r="E32" s="299">
        <v>72</v>
      </c>
      <c r="F32" s="299">
        <v>0</v>
      </c>
      <c r="G32" s="299">
        <v>1351</v>
      </c>
      <c r="I32" s="300">
        <v>0.35</v>
      </c>
      <c r="J32" s="301">
        <f>C32</f>
        <v>1320</v>
      </c>
      <c r="K32" s="302">
        <f>J32/J40</f>
        <v>7.3165662024527128E-4</v>
      </c>
      <c r="L32" s="303">
        <f>I32*K32</f>
        <v>2.5607981708584493E-4</v>
      </c>
    </row>
    <row r="33" spans="1:12" x14ac:dyDescent="0.2">
      <c r="A33" s="295" t="s">
        <v>747</v>
      </c>
      <c r="B33" s="295"/>
      <c r="C33" s="296">
        <v>0</v>
      </c>
      <c r="D33" s="296">
        <v>0</v>
      </c>
      <c r="E33" s="296">
        <v>0</v>
      </c>
      <c r="F33" s="296">
        <v>0</v>
      </c>
      <c r="G33" s="296">
        <v>40458.47</v>
      </c>
    </row>
    <row r="34" spans="1:12" x14ac:dyDescent="0.2">
      <c r="A34" s="295" t="s">
        <v>748</v>
      </c>
      <c r="B34" s="295"/>
      <c r="C34" s="296">
        <v>0</v>
      </c>
      <c r="D34" s="296">
        <v>0</v>
      </c>
      <c r="E34" s="296">
        <v>9542</v>
      </c>
      <c r="F34" s="296">
        <v>18837</v>
      </c>
      <c r="G34" s="296">
        <v>-110983.29</v>
      </c>
    </row>
    <row r="35" spans="1:12" x14ac:dyDescent="0.2">
      <c r="A35" s="295" t="s">
        <v>749</v>
      </c>
      <c r="B35" s="295"/>
      <c r="C35" s="296">
        <v>27395</v>
      </c>
      <c r="D35" s="296">
        <v>78375.94</v>
      </c>
      <c r="E35" s="296">
        <v>67085</v>
      </c>
      <c r="F35" s="296">
        <v>77825</v>
      </c>
      <c r="G35" s="296">
        <v>144264.35</v>
      </c>
    </row>
    <row r="36" spans="1:12" x14ac:dyDescent="0.2">
      <c r="A36" s="298" t="s">
        <v>750</v>
      </c>
      <c r="B36" s="298"/>
      <c r="C36" s="299">
        <v>1260323</v>
      </c>
      <c r="D36" s="299">
        <v>1346793</v>
      </c>
      <c r="E36" s="299">
        <v>1194929</v>
      </c>
      <c r="F36" s="299">
        <v>1531863</v>
      </c>
      <c r="G36" s="299">
        <v>2179323.5299999998</v>
      </c>
    </row>
    <row r="37" spans="1:12" x14ac:dyDescent="0.2">
      <c r="A37" s="295" t="s">
        <v>751</v>
      </c>
      <c r="B37" s="295"/>
      <c r="C37" s="296">
        <v>198255</v>
      </c>
      <c r="D37" s="296">
        <v>320099.08</v>
      </c>
      <c r="E37" s="296">
        <v>431766.89</v>
      </c>
      <c r="F37" s="296">
        <v>619593</v>
      </c>
      <c r="G37" s="296">
        <v>906637.36</v>
      </c>
    </row>
    <row r="38" spans="1:12" x14ac:dyDescent="0.2">
      <c r="A38" s="295" t="s">
        <v>752</v>
      </c>
      <c r="B38" s="295"/>
      <c r="C38" s="296">
        <v>0</v>
      </c>
      <c r="D38" s="296">
        <v>7639</v>
      </c>
      <c r="E38" s="296">
        <v>2046.03</v>
      </c>
      <c r="F38" s="296">
        <v>0</v>
      </c>
      <c r="G38" s="296">
        <v>0</v>
      </c>
    </row>
    <row r="39" spans="1:12" ht="15" x14ac:dyDescent="0.25">
      <c r="A39" s="298" t="s">
        <v>753</v>
      </c>
      <c r="B39" s="298"/>
      <c r="C39" s="299">
        <v>1802805</v>
      </c>
      <c r="D39" s="299">
        <f>1566923.68-22262</f>
        <v>1544661.68</v>
      </c>
      <c r="E39" s="299">
        <v>1764011.75</v>
      </c>
      <c r="F39" s="299">
        <v>1381863.81</v>
      </c>
      <c r="G39" s="299">
        <f>1992906.22-24000</f>
        <v>1968906.22</v>
      </c>
      <c r="I39" s="300">
        <v>0.18</v>
      </c>
      <c r="J39" s="304">
        <f>C39</f>
        <v>1802805</v>
      </c>
      <c r="K39" s="302">
        <f>J39/J40</f>
        <v>0.99926834337975468</v>
      </c>
      <c r="L39" s="303">
        <f>I39*K39</f>
        <v>0.17986830180835583</v>
      </c>
    </row>
    <row r="40" spans="1:12" x14ac:dyDescent="0.2">
      <c r="A40" s="295" t="s">
        <v>754</v>
      </c>
      <c r="B40" s="295"/>
      <c r="C40" s="296">
        <v>8785</v>
      </c>
      <c r="D40" s="296">
        <v>31073.07</v>
      </c>
      <c r="E40" s="296">
        <v>0</v>
      </c>
      <c r="F40" s="296">
        <v>5721</v>
      </c>
      <c r="G40" s="296">
        <v>471744.93</v>
      </c>
      <c r="J40" s="304">
        <f>J32+J39</f>
        <v>1804125</v>
      </c>
      <c r="K40" s="305">
        <f>SUM(K32:K39)</f>
        <v>1</v>
      </c>
      <c r="L40" s="303">
        <f>SUM(L32:L39)</f>
        <v>0.18012438162544167</v>
      </c>
    </row>
    <row r="41" spans="1:12" x14ac:dyDescent="0.2">
      <c r="A41" s="295" t="s">
        <v>755</v>
      </c>
      <c r="B41" s="295"/>
      <c r="C41" s="296"/>
      <c r="D41" s="296">
        <v>11498.37</v>
      </c>
      <c r="E41" s="296">
        <v>92528</v>
      </c>
      <c r="F41" s="296">
        <v>166882.32</v>
      </c>
      <c r="G41" s="296">
        <v>0</v>
      </c>
    </row>
    <row r="42" spans="1:12" x14ac:dyDescent="0.2">
      <c r="A42" s="294" t="s">
        <v>756</v>
      </c>
      <c r="B42" s="295"/>
      <c r="C42" s="297">
        <f>SUM(C32:C41)</f>
        <v>3298883</v>
      </c>
      <c r="D42" s="297">
        <f>SUM(D32:D41)</f>
        <v>3340140.14</v>
      </c>
      <c r="E42" s="297">
        <f>SUM(E32:E41)</f>
        <v>3561980.67</v>
      </c>
      <c r="F42" s="297">
        <f>SUM(F32:F41)</f>
        <v>3802585.13</v>
      </c>
      <c r="G42" s="297">
        <f>SUM(G32:G41)</f>
        <v>5601702.5699999994</v>
      </c>
    </row>
    <row r="43" spans="1:12" x14ac:dyDescent="0.2">
      <c r="A43" s="294" t="s">
        <v>757</v>
      </c>
      <c r="B43" s="295"/>
      <c r="C43" s="296"/>
      <c r="D43" s="296"/>
      <c r="E43" s="296"/>
      <c r="F43" s="296"/>
      <c r="G43" s="296"/>
    </row>
    <row r="44" spans="1:12" x14ac:dyDescent="0.2">
      <c r="A44" s="295" t="s">
        <v>758</v>
      </c>
      <c r="B44" s="295"/>
      <c r="C44" s="296"/>
      <c r="D44" s="296"/>
      <c r="E44" s="296"/>
      <c r="F44" s="296"/>
      <c r="G44" s="296"/>
    </row>
    <row r="45" spans="1:12" x14ac:dyDescent="0.2">
      <c r="A45" s="294" t="s">
        <v>759</v>
      </c>
      <c r="B45" s="295"/>
      <c r="C45" s="297">
        <f>C42+C44</f>
        <v>3298883</v>
      </c>
      <c r="D45" s="297">
        <f>D42+D44</f>
        <v>3340140.14</v>
      </c>
      <c r="E45" s="297">
        <f>E42+E44</f>
        <v>3561980.67</v>
      </c>
      <c r="F45" s="297">
        <f>F42+F44</f>
        <v>3802585.13</v>
      </c>
      <c r="G45" s="297">
        <f>G42+G44</f>
        <v>5601702.5699999994</v>
      </c>
    </row>
    <row r="46" spans="1:12" x14ac:dyDescent="0.2">
      <c r="A46" s="294" t="s">
        <v>760</v>
      </c>
      <c r="B46" s="295"/>
      <c r="C46" s="297"/>
      <c r="D46" s="297"/>
      <c r="E46" s="297"/>
      <c r="F46" s="297"/>
      <c r="G46" s="297"/>
    </row>
    <row r="47" spans="1:12" x14ac:dyDescent="0.2">
      <c r="A47" s="295" t="s">
        <v>29</v>
      </c>
      <c r="B47" s="295"/>
      <c r="C47" s="296">
        <v>1338405</v>
      </c>
      <c r="D47" s="296">
        <v>1338405.08</v>
      </c>
      <c r="E47" s="296">
        <v>1338405.08</v>
      </c>
      <c r="F47" s="296">
        <v>1338405.08</v>
      </c>
      <c r="G47" s="296">
        <v>1338405.08</v>
      </c>
    </row>
    <row r="48" spans="1:12" x14ac:dyDescent="0.2">
      <c r="A48" s="295" t="s">
        <v>761</v>
      </c>
      <c r="B48" s="295"/>
      <c r="C48" s="296">
        <v>0</v>
      </c>
      <c r="D48" s="296"/>
      <c r="E48" s="296">
        <v>0</v>
      </c>
      <c r="F48" s="296">
        <v>0</v>
      </c>
      <c r="G48" s="296">
        <v>0</v>
      </c>
    </row>
    <row r="49" spans="1:7" x14ac:dyDescent="0.2">
      <c r="A49" s="295" t="s">
        <v>762</v>
      </c>
      <c r="B49" s="295"/>
      <c r="C49" s="296">
        <v>0</v>
      </c>
      <c r="D49" s="296">
        <v>0</v>
      </c>
      <c r="E49" s="296">
        <v>0</v>
      </c>
      <c r="F49" s="296">
        <v>0</v>
      </c>
      <c r="G49" s="296">
        <v>0</v>
      </c>
    </row>
    <row r="50" spans="1:7" x14ac:dyDescent="0.2">
      <c r="A50" s="295" t="s">
        <v>763</v>
      </c>
      <c r="B50" s="295"/>
      <c r="C50" s="296">
        <v>305544</v>
      </c>
      <c r="D50" s="296">
        <v>63653.06</v>
      </c>
      <c r="E50" s="296">
        <v>120898.4</v>
      </c>
      <c r="F50" s="296">
        <v>254387.73</v>
      </c>
      <c r="G50" s="296">
        <v>567338.07999999996</v>
      </c>
    </row>
    <row r="51" spans="1:7" x14ac:dyDescent="0.2">
      <c r="A51" s="295" t="s">
        <v>764</v>
      </c>
      <c r="B51" s="295"/>
      <c r="C51" s="296">
        <f>EERR!C20</f>
        <v>-79422</v>
      </c>
      <c r="D51" s="296">
        <f>EERR!D20</f>
        <v>79507</v>
      </c>
      <c r="E51" s="296">
        <f>EERR!E20</f>
        <v>135569.64000000013</v>
      </c>
      <c r="F51" s="296">
        <f>EERR!F20</f>
        <v>288188.55</v>
      </c>
      <c r="G51" s="296">
        <f>EERR!G20</f>
        <v>142399.73000000056</v>
      </c>
    </row>
    <row r="52" spans="1:7" x14ac:dyDescent="0.2">
      <c r="A52" s="306" t="s">
        <v>765</v>
      </c>
      <c r="B52" s="298"/>
      <c r="C52" s="307">
        <f>SUM(C47:C51)</f>
        <v>1564527</v>
      </c>
      <c r="D52" s="307">
        <f>SUM(D47:D51)</f>
        <v>1481565.1400000001</v>
      </c>
      <c r="E52" s="307">
        <f>SUM(E47:E51)</f>
        <v>1594873.12</v>
      </c>
      <c r="F52" s="307">
        <f>SUM(F47:F51)</f>
        <v>1880981.36</v>
      </c>
      <c r="G52" s="307">
        <f>SUM(G47:G51)</f>
        <v>2048142.8900000006</v>
      </c>
    </row>
    <row r="53" spans="1:7" x14ac:dyDescent="0.2">
      <c r="A53" s="294" t="s">
        <v>766</v>
      </c>
      <c r="B53" s="295"/>
      <c r="C53" s="297">
        <f>C45+C52</f>
        <v>4863410</v>
      </c>
      <c r="D53" s="297">
        <f>D45+D52</f>
        <v>4821705.28</v>
      </c>
      <c r="E53" s="297">
        <f>E45+E52</f>
        <v>5156853.79</v>
      </c>
      <c r="F53" s="297">
        <f>F45+F52</f>
        <v>5683566.4900000002</v>
      </c>
      <c r="G53" s="297">
        <f>G45+G52</f>
        <v>7649845.46</v>
      </c>
    </row>
    <row r="54" spans="1:7" x14ac:dyDescent="0.2">
      <c r="E54" s="304"/>
      <c r="F54" s="304"/>
    </row>
    <row r="55" spans="1:7" x14ac:dyDescent="0.2">
      <c r="C55" s="304">
        <f>C29-C53</f>
        <v>0</v>
      </c>
      <c r="D55" s="304">
        <f>D29-D53</f>
        <v>-0.32000000029802322</v>
      </c>
      <c r="E55" s="304">
        <f>E29-E53</f>
        <v>0.25999999977648258</v>
      </c>
      <c r="F55" s="304">
        <f>F29-F53</f>
        <v>0.33000000007450581</v>
      </c>
      <c r="G55" s="304">
        <f>G29-G53</f>
        <v>-9.9999923259019852E-4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B76E-8EA7-4145-9850-81FCD20AD414}">
  <dimension ref="A1:N38"/>
  <sheetViews>
    <sheetView zoomScaleNormal="100" workbookViewId="0">
      <pane xSplit="2" ySplit="5" topLeftCell="C6" activePane="bottomRight" state="frozen"/>
      <selection activeCell="E23" sqref="E23"/>
      <selection pane="topRight" activeCell="E23" sqref="E23"/>
      <selection pane="bottomLeft" activeCell="E23" sqref="E23"/>
      <selection pane="bottomRight" activeCell="C5" sqref="C5:G5"/>
    </sheetView>
  </sheetViews>
  <sheetFormatPr baseColWidth="10" defaultColWidth="11.42578125" defaultRowHeight="14.25" x14ac:dyDescent="0.2"/>
  <cols>
    <col min="1" max="1" width="5" style="288" customWidth="1"/>
    <col min="2" max="2" width="41.85546875" style="288" customWidth="1"/>
    <col min="3" max="3" width="11.5703125" style="288" customWidth="1"/>
    <col min="4" max="4" width="10.140625" style="288" bestFit="1" customWidth="1"/>
    <col min="5" max="6" width="11.28515625" style="288" customWidth="1"/>
    <col min="7" max="7" width="11" style="288" customWidth="1"/>
    <col min="8" max="8" width="4.42578125" style="288" customWidth="1"/>
    <col min="9" max="9" width="14.7109375" style="288" bestFit="1" customWidth="1"/>
    <col min="10" max="10" width="13.5703125" style="288" bestFit="1" customWidth="1"/>
    <col min="11" max="16384" width="11.42578125" style="288"/>
  </cols>
  <sheetData>
    <row r="1" spans="1:14" ht="15" x14ac:dyDescent="0.25">
      <c r="A1" s="287" t="s">
        <v>717</v>
      </c>
    </row>
    <row r="2" spans="1:14" ht="15" x14ac:dyDescent="0.25">
      <c r="A2" s="287"/>
      <c r="D2" s="302">
        <f>D9/D8</f>
        <v>0.75888112357260173</v>
      </c>
      <c r="E2" s="302">
        <f>E9/E8</f>
        <v>0.7604995870234379</v>
      </c>
      <c r="F2" s="302">
        <f>F9/F8</f>
        <v>0.76686379077162459</v>
      </c>
      <c r="G2" s="302">
        <f>G9/G8</f>
        <v>0.83405240141438941</v>
      </c>
    </row>
    <row r="3" spans="1:14" x14ac:dyDescent="0.2">
      <c r="C3" s="305">
        <v>0.3</v>
      </c>
      <c r="D3" s="305">
        <v>0.28000000000000003</v>
      </c>
      <c r="E3" s="305">
        <v>0.28000000000000003</v>
      </c>
      <c r="F3" s="305">
        <v>0.29499999999999998</v>
      </c>
      <c r="G3" s="305">
        <v>0.29499999999999998</v>
      </c>
    </row>
    <row r="4" spans="1:14" ht="15" x14ac:dyDescent="0.25">
      <c r="A4" s="287" t="s">
        <v>834</v>
      </c>
      <c r="G4" s="289"/>
    </row>
    <row r="5" spans="1:14" x14ac:dyDescent="0.2">
      <c r="A5" s="308" t="s">
        <v>623</v>
      </c>
      <c r="B5" s="309"/>
      <c r="C5" s="292">
        <v>2021</v>
      </c>
      <c r="D5" s="292">
        <v>2022</v>
      </c>
      <c r="E5" s="293">
        <v>2023</v>
      </c>
      <c r="F5" s="293" t="s">
        <v>836</v>
      </c>
      <c r="G5" s="293" t="s">
        <v>835</v>
      </c>
    </row>
    <row r="6" spans="1:14" x14ac:dyDescent="0.2">
      <c r="A6" s="295" t="s">
        <v>587</v>
      </c>
      <c r="B6" s="295"/>
      <c r="C6" s="310">
        <v>3615728</v>
      </c>
      <c r="D6" s="310">
        <v>4650594</v>
      </c>
      <c r="E6" s="310">
        <v>4431168</v>
      </c>
      <c r="F6" s="310">
        <v>5526975</v>
      </c>
      <c r="G6" s="310">
        <v>7504821.8700000001</v>
      </c>
    </row>
    <row r="7" spans="1:14" x14ac:dyDescent="0.2">
      <c r="A7" s="295" t="s">
        <v>767</v>
      </c>
      <c r="B7" s="295"/>
      <c r="C7" s="310">
        <v>0</v>
      </c>
      <c r="D7" s="310">
        <v>0</v>
      </c>
      <c r="E7" s="310">
        <v>747.08</v>
      </c>
      <c r="F7" s="310">
        <v>0</v>
      </c>
      <c r="G7" s="310">
        <v>2537.35</v>
      </c>
    </row>
    <row r="8" spans="1:14" x14ac:dyDescent="0.2">
      <c r="A8" s="294" t="s">
        <v>768</v>
      </c>
      <c r="B8" s="294"/>
      <c r="C8" s="311">
        <f>C6-C7</f>
        <v>3615728</v>
      </c>
      <c r="D8" s="311">
        <f>D6-D7</f>
        <v>4650594</v>
      </c>
      <c r="E8" s="311">
        <f>E6-E7</f>
        <v>4430420.92</v>
      </c>
      <c r="F8" s="311">
        <f>F6-F7</f>
        <v>5526975</v>
      </c>
      <c r="G8" s="311">
        <f>G6-G7</f>
        <v>7502284.5200000005</v>
      </c>
      <c r="I8" s="312"/>
      <c r="J8" s="312"/>
    </row>
    <row r="9" spans="1:14" ht="15" x14ac:dyDescent="0.25">
      <c r="A9" s="295" t="s">
        <v>769</v>
      </c>
      <c r="B9" s="295"/>
      <c r="C9" s="313">
        <v>2716489</v>
      </c>
      <c r="D9" s="313">
        <v>3529248</v>
      </c>
      <c r="E9" s="313">
        <v>3369333.28</v>
      </c>
      <c r="F9" s="313">
        <v>4238437</v>
      </c>
      <c r="G9" s="313">
        <v>6257298.4199999999</v>
      </c>
      <c r="I9" s="302"/>
      <c r="K9" s="302"/>
      <c r="L9" s="300"/>
      <c r="M9" s="300"/>
      <c r="N9" s="300"/>
    </row>
    <row r="10" spans="1:14" x14ac:dyDescent="0.2">
      <c r="A10" s="294" t="s">
        <v>770</v>
      </c>
      <c r="B10" s="294"/>
      <c r="C10" s="311">
        <f>C8-C9</f>
        <v>899239</v>
      </c>
      <c r="D10" s="311">
        <f>D8-D9</f>
        <v>1121346</v>
      </c>
      <c r="E10" s="311">
        <f>E8-E9</f>
        <v>1061087.6400000001</v>
      </c>
      <c r="F10" s="311">
        <f>F8-F9</f>
        <v>1288538</v>
      </c>
      <c r="G10" s="311">
        <f>G8-G9</f>
        <v>1244986.1000000006</v>
      </c>
    </row>
    <row r="11" spans="1:14" x14ac:dyDescent="0.2">
      <c r="A11" s="295" t="s">
        <v>771</v>
      </c>
      <c r="B11" s="295"/>
      <c r="C11" s="313">
        <v>302459</v>
      </c>
      <c r="D11" s="313">
        <v>306048</v>
      </c>
      <c r="E11" s="313">
        <v>250068</v>
      </c>
      <c r="F11" s="313">
        <v>234760</v>
      </c>
      <c r="G11" s="313">
        <v>290779.65999999997</v>
      </c>
    </row>
    <row r="12" spans="1:14" x14ac:dyDescent="0.2">
      <c r="A12" s="295" t="s">
        <v>772</v>
      </c>
      <c r="B12" s="295"/>
      <c r="C12" s="313">
        <v>448895</v>
      </c>
      <c r="D12" s="313">
        <v>509924</v>
      </c>
      <c r="E12" s="313">
        <v>513599</v>
      </c>
      <c r="F12" s="313">
        <v>497205</v>
      </c>
      <c r="G12" s="313">
        <v>617153.77</v>
      </c>
    </row>
    <row r="13" spans="1:14" x14ac:dyDescent="0.2">
      <c r="A13" s="295" t="s">
        <v>773</v>
      </c>
      <c r="B13" s="295"/>
      <c r="C13" s="313">
        <v>0</v>
      </c>
      <c r="D13" s="313">
        <v>0</v>
      </c>
      <c r="E13" s="313">
        <v>0</v>
      </c>
      <c r="F13" s="313">
        <v>0</v>
      </c>
      <c r="G13" s="313">
        <v>96481.02</v>
      </c>
    </row>
    <row r="14" spans="1:14" x14ac:dyDescent="0.2">
      <c r="A14" s="294" t="s">
        <v>774</v>
      </c>
      <c r="B14" s="294"/>
      <c r="C14" s="314">
        <f>C10-SUM(C11:C13)</f>
        <v>147885</v>
      </c>
      <c r="D14" s="314">
        <f>D10-SUM(D11:D13)</f>
        <v>305374</v>
      </c>
      <c r="E14" s="314">
        <f>E10-SUM(E11:E13)</f>
        <v>297420.64000000013</v>
      </c>
      <c r="F14" s="314">
        <f>F10-SUM(F11:F13)</f>
        <v>556573</v>
      </c>
      <c r="G14" s="314">
        <f>G10-SUM(G11:G13)</f>
        <v>240571.65000000061</v>
      </c>
    </row>
    <row r="15" spans="1:14" x14ac:dyDescent="0.2">
      <c r="A15" s="295" t="s">
        <v>775</v>
      </c>
      <c r="B15" s="295"/>
      <c r="C15" s="313">
        <v>14028</v>
      </c>
      <c r="D15" s="313">
        <v>0</v>
      </c>
      <c r="E15" s="313">
        <v>8990</v>
      </c>
      <c r="F15" s="313">
        <v>0</v>
      </c>
      <c r="G15" s="313">
        <v>0</v>
      </c>
    </row>
    <row r="16" spans="1:14" x14ac:dyDescent="0.2">
      <c r="A16" s="295" t="s">
        <v>776</v>
      </c>
      <c r="B16" s="295"/>
      <c r="C16" s="313"/>
      <c r="D16" s="313">
        <v>0</v>
      </c>
      <c r="E16" s="313">
        <v>0</v>
      </c>
      <c r="F16" s="313">
        <v>0</v>
      </c>
      <c r="G16" s="313">
        <v>250552.77</v>
      </c>
    </row>
    <row r="17" spans="1:13" x14ac:dyDescent="0.2">
      <c r="A17" s="295" t="s">
        <v>777</v>
      </c>
      <c r="B17" s="295"/>
      <c r="C17" s="313"/>
      <c r="D17" s="313">
        <v>85965</v>
      </c>
      <c r="E17" s="313">
        <v>0</v>
      </c>
      <c r="F17" s="313">
        <v>18155.919999999998</v>
      </c>
      <c r="G17" s="313">
        <v>41736.44</v>
      </c>
    </row>
    <row r="18" spans="1:13" x14ac:dyDescent="0.2">
      <c r="A18" s="295" t="s">
        <v>778</v>
      </c>
      <c r="B18" s="295"/>
      <c r="C18" s="313">
        <v>14567</v>
      </c>
      <c r="D18" s="313">
        <v>118464</v>
      </c>
      <c r="E18" s="313">
        <v>308471</v>
      </c>
      <c r="F18" s="313">
        <v>160138.63</v>
      </c>
      <c r="G18" s="313">
        <v>151246.35999999999</v>
      </c>
    </row>
    <row r="19" spans="1:13" x14ac:dyDescent="0.2">
      <c r="A19" s="295" t="s">
        <v>779</v>
      </c>
      <c r="B19" s="295"/>
      <c r="C19" s="313">
        <v>-255902</v>
      </c>
      <c r="D19" s="313">
        <v>-430296</v>
      </c>
      <c r="E19" s="313">
        <v>-479312</v>
      </c>
      <c r="F19" s="313">
        <v>-446679</v>
      </c>
      <c r="G19" s="313">
        <v>-541707.49</v>
      </c>
    </row>
    <row r="20" spans="1:13" ht="15" x14ac:dyDescent="0.25">
      <c r="A20" s="294" t="s">
        <v>780</v>
      </c>
      <c r="B20" s="315"/>
      <c r="C20" s="314">
        <f>C14+SUM(C15:C19)</f>
        <v>-79422</v>
      </c>
      <c r="D20" s="314">
        <f>D14+SUM(D15:D19)</f>
        <v>79507</v>
      </c>
      <c r="E20" s="314">
        <f>E14+SUM(E15:E19)</f>
        <v>135569.64000000013</v>
      </c>
      <c r="F20" s="314">
        <f>F14+SUM(F15:F19)</f>
        <v>288188.55</v>
      </c>
      <c r="G20" s="314">
        <f>G14+SUM(G15:G19)</f>
        <v>142399.73000000056</v>
      </c>
    </row>
    <row r="21" spans="1:13" ht="15" x14ac:dyDescent="0.25">
      <c r="A21" s="294" t="s">
        <v>781</v>
      </c>
      <c r="B21" s="315"/>
      <c r="C21" s="314">
        <f>C3*C20</f>
        <v>-23826.6</v>
      </c>
      <c r="D21" s="314">
        <f>D3*D20</f>
        <v>22261.960000000003</v>
      </c>
      <c r="E21" s="314">
        <f t="shared" ref="E21:G21" si="0">E3*E20</f>
        <v>37959.499200000042</v>
      </c>
      <c r="F21" s="314">
        <f t="shared" si="0"/>
        <v>85015.622249999986</v>
      </c>
      <c r="G21" s="314">
        <f t="shared" si="0"/>
        <v>42007.92035000016</v>
      </c>
    </row>
    <row r="22" spans="1:13" ht="15" x14ac:dyDescent="0.25">
      <c r="A22" s="294" t="s">
        <v>782</v>
      </c>
      <c r="B22" s="315"/>
      <c r="C22" s="314">
        <f>C20-C21</f>
        <v>-55595.4</v>
      </c>
      <c r="D22" s="314">
        <f>D20-D21</f>
        <v>57245.039999999994</v>
      </c>
      <c r="E22" s="314">
        <f t="shared" ref="E22:G22" si="1">E20-E21</f>
        <v>97610.140800000081</v>
      </c>
      <c r="F22" s="314">
        <f t="shared" si="1"/>
        <v>203172.92775</v>
      </c>
      <c r="G22" s="314">
        <f t="shared" si="1"/>
        <v>100391.8096500004</v>
      </c>
    </row>
    <row r="23" spans="1:13" x14ac:dyDescent="0.2">
      <c r="A23" s="316"/>
    </row>
    <row r="24" spans="1:13" ht="15" x14ac:dyDescent="0.25">
      <c r="A24" s="294" t="s">
        <v>783</v>
      </c>
      <c r="B24" s="315"/>
      <c r="C24" s="314">
        <f>C14+SUM(C15:C18)</f>
        <v>176480</v>
      </c>
      <c r="D24" s="314">
        <f>D14+SUM(D15:D18)</f>
        <v>509803</v>
      </c>
      <c r="E24" s="314">
        <f>E14+SUM(E15:E18)</f>
        <v>614881.64000000013</v>
      </c>
      <c r="F24" s="314">
        <f>F14+SUM(F15:F18)</f>
        <v>734867.55</v>
      </c>
      <c r="G24" s="314">
        <f>G14+SUM(G15:G18)</f>
        <v>684107.22000000055</v>
      </c>
    </row>
    <row r="25" spans="1:13" x14ac:dyDescent="0.2">
      <c r="A25" s="316"/>
      <c r="B25" s="316"/>
      <c r="C25" s="316"/>
      <c r="D25" s="316"/>
    </row>
    <row r="26" spans="1:13" ht="15" x14ac:dyDescent="0.25">
      <c r="A26" s="316"/>
      <c r="G26" s="310">
        <v>4706828.2699999912</v>
      </c>
      <c r="I26" s="317"/>
    </row>
    <row r="27" spans="1:13" ht="15" x14ac:dyDescent="0.25">
      <c r="A27" s="316"/>
      <c r="G27" s="302">
        <f>G26/F6</f>
        <v>0.85161019725980147</v>
      </c>
    </row>
    <row r="28" spans="1:13" ht="15" x14ac:dyDescent="0.25">
      <c r="A28" s="316"/>
      <c r="F28" s="302">
        <f>F6/C6-1</f>
        <v>0.52859258218538563</v>
      </c>
    </row>
    <row r="29" spans="1:13" x14ac:dyDescent="0.2">
      <c r="A29" s="316"/>
      <c r="G29" s="310">
        <f>G26/7*12</f>
        <v>8068848.4628571281</v>
      </c>
    </row>
    <row r="30" spans="1:13" x14ac:dyDescent="0.2">
      <c r="A30" s="316"/>
    </row>
    <row r="31" spans="1:13" x14ac:dyDescent="0.2">
      <c r="A31" s="316"/>
      <c r="G31" s="318"/>
    </row>
    <row r="32" spans="1:13" ht="15" x14ac:dyDescent="0.25">
      <c r="A32" s="316"/>
      <c r="B32" s="319" t="s">
        <v>784</v>
      </c>
      <c r="C32" s="292">
        <v>2017</v>
      </c>
      <c r="D32" s="292">
        <v>2018</v>
      </c>
      <c r="E32" s="292">
        <v>2019</v>
      </c>
      <c r="F32" s="292">
        <v>2020</v>
      </c>
      <c r="G32" s="293" t="s">
        <v>785</v>
      </c>
      <c r="I32" s="292">
        <v>2017</v>
      </c>
      <c r="J32" s="292">
        <v>2018</v>
      </c>
      <c r="K32" s="292">
        <v>2019</v>
      </c>
      <c r="L32" s="292">
        <v>2020</v>
      </c>
      <c r="M32" s="293" t="s">
        <v>785</v>
      </c>
    </row>
    <row r="33" spans="1:13" ht="15" x14ac:dyDescent="0.25">
      <c r="A33" s="316"/>
      <c r="B33" s="320" t="s">
        <v>610</v>
      </c>
      <c r="C33" s="321">
        <f>C9</f>
        <v>2716489</v>
      </c>
      <c r="D33" s="321">
        <f>D9</f>
        <v>3529248</v>
      </c>
      <c r="E33" s="321">
        <f t="shared" ref="E33:G33" si="2">E9</f>
        <v>3369333.28</v>
      </c>
      <c r="F33" s="321">
        <f t="shared" si="2"/>
        <v>4238437</v>
      </c>
      <c r="G33" s="321">
        <f t="shared" si="2"/>
        <v>6257298.4199999999</v>
      </c>
      <c r="I33" s="322">
        <f t="shared" ref="I33:M37" si="3">C33/C$38</f>
        <v>0.72950457133880009</v>
      </c>
      <c r="J33" s="322">
        <f t="shared" si="3"/>
        <v>0.73902966716057494</v>
      </c>
      <c r="K33" s="322">
        <f t="shared" si="3"/>
        <v>0.73050849020136166</v>
      </c>
      <c r="L33" s="322">
        <f t="shared" si="3"/>
        <v>0.78242082774837596</v>
      </c>
      <c r="M33" s="322">
        <f t="shared" si="3"/>
        <v>0.80186612169128368</v>
      </c>
    </row>
    <row r="34" spans="1:13" ht="15" x14ac:dyDescent="0.25">
      <c r="A34" s="316"/>
      <c r="B34" s="323" t="s">
        <v>771</v>
      </c>
      <c r="C34" s="324">
        <f t="shared" ref="C34:G36" si="4">C11</f>
        <v>302459</v>
      </c>
      <c r="D34" s="324">
        <f t="shared" si="4"/>
        <v>306048</v>
      </c>
      <c r="E34" s="324">
        <f t="shared" si="4"/>
        <v>250068</v>
      </c>
      <c r="F34" s="324">
        <f t="shared" si="4"/>
        <v>234760</v>
      </c>
      <c r="G34" s="324">
        <f t="shared" si="4"/>
        <v>290779.65999999997</v>
      </c>
      <c r="I34" s="325">
        <f t="shared" si="3"/>
        <v>8.1224412520191372E-2</v>
      </c>
      <c r="J34" s="325">
        <f t="shared" si="3"/>
        <v>6.4086896578296457E-2</v>
      </c>
      <c r="K34" s="325">
        <f t="shared" si="3"/>
        <v>5.4217491101881773E-2</v>
      </c>
      <c r="L34" s="325">
        <f t="shared" si="3"/>
        <v>4.3336992745724126E-2</v>
      </c>
      <c r="M34" s="325">
        <f t="shared" si="3"/>
        <v>3.7263103432249291E-2</v>
      </c>
    </row>
    <row r="35" spans="1:13" ht="15" x14ac:dyDescent="0.25">
      <c r="B35" s="320" t="s">
        <v>772</v>
      </c>
      <c r="C35" s="321">
        <f t="shared" si="4"/>
        <v>448895</v>
      </c>
      <c r="D35" s="321">
        <f t="shared" si="4"/>
        <v>509924</v>
      </c>
      <c r="E35" s="321">
        <f t="shared" si="4"/>
        <v>513599</v>
      </c>
      <c r="F35" s="321">
        <f t="shared" si="4"/>
        <v>497205</v>
      </c>
      <c r="G35" s="321">
        <f t="shared" si="4"/>
        <v>617153.77</v>
      </c>
      <c r="I35" s="322">
        <f t="shared" si="3"/>
        <v>0.12054933944187908</v>
      </c>
      <c r="J35" s="322">
        <f t="shared" si="3"/>
        <v>0.10677882767014078</v>
      </c>
      <c r="K35" s="322">
        <f t="shared" si="3"/>
        <v>0.11135390858660595</v>
      </c>
      <c r="L35" s="322">
        <f t="shared" si="3"/>
        <v>9.1784671486359534E-2</v>
      </c>
      <c r="M35" s="322">
        <f t="shared" si="3"/>
        <v>7.9087597685177133E-2</v>
      </c>
    </row>
    <row r="36" spans="1:13" ht="15" x14ac:dyDescent="0.25">
      <c r="B36" s="323" t="s">
        <v>786</v>
      </c>
      <c r="C36" s="324">
        <f t="shared" si="4"/>
        <v>0</v>
      </c>
      <c r="D36" s="324">
        <f t="shared" si="4"/>
        <v>0</v>
      </c>
      <c r="E36" s="324">
        <f t="shared" si="4"/>
        <v>0</v>
      </c>
      <c r="F36" s="324">
        <f t="shared" si="4"/>
        <v>0</v>
      </c>
      <c r="G36" s="324">
        <f t="shared" si="4"/>
        <v>96481.02</v>
      </c>
      <c r="I36" s="325">
        <f t="shared" si="3"/>
        <v>0</v>
      </c>
      <c r="J36" s="325">
        <f t="shared" si="3"/>
        <v>0</v>
      </c>
      <c r="K36" s="325">
        <f t="shared" si="3"/>
        <v>0</v>
      </c>
      <c r="L36" s="325">
        <f t="shared" si="3"/>
        <v>0</v>
      </c>
      <c r="M36" s="325">
        <f t="shared" si="3"/>
        <v>1.2363939855727573E-2</v>
      </c>
    </row>
    <row r="37" spans="1:13" ht="15" x14ac:dyDescent="0.25">
      <c r="B37" s="320" t="s">
        <v>787</v>
      </c>
      <c r="C37" s="321">
        <f>-C19</f>
        <v>255902</v>
      </c>
      <c r="D37" s="321">
        <f>-D19</f>
        <v>430296</v>
      </c>
      <c r="E37" s="321">
        <f t="shared" ref="E37:G37" si="5">-E19</f>
        <v>479312</v>
      </c>
      <c r="F37" s="321">
        <f t="shared" si="5"/>
        <v>446679</v>
      </c>
      <c r="G37" s="321">
        <f t="shared" si="5"/>
        <v>541707.49</v>
      </c>
      <c r="I37" s="322">
        <f t="shared" si="3"/>
        <v>6.87216766991295E-2</v>
      </c>
      <c r="J37" s="322">
        <f t="shared" si="3"/>
        <v>9.0104608590987859E-2</v>
      </c>
      <c r="K37" s="322">
        <f t="shared" si="3"/>
        <v>0.10392011011015066</v>
      </c>
      <c r="L37" s="322">
        <f t="shared" si="3"/>
        <v>8.245750801954041E-2</v>
      </c>
      <c r="M37" s="322">
        <f t="shared" si="3"/>
        <v>6.9419237335562434E-2</v>
      </c>
    </row>
    <row r="38" spans="1:13" ht="15" x14ac:dyDescent="0.25">
      <c r="B38" s="326" t="s">
        <v>305</v>
      </c>
      <c r="C38" s="327">
        <f>SUM(C33:C37)</f>
        <v>3723745</v>
      </c>
      <c r="D38" s="327">
        <f>SUM(D33:D37)</f>
        <v>4775516</v>
      </c>
      <c r="E38" s="327">
        <f t="shared" ref="E38:G38" si="6">SUM(E33:E37)</f>
        <v>4612312.2799999993</v>
      </c>
      <c r="F38" s="327">
        <f t="shared" si="6"/>
        <v>5417081</v>
      </c>
      <c r="G38" s="327">
        <f t="shared" si="6"/>
        <v>7803420.3599999994</v>
      </c>
      <c r="I38" s="328">
        <f>SUM(I33:I37)</f>
        <v>1</v>
      </c>
      <c r="J38" s="328">
        <f>SUM(J33:J37)</f>
        <v>1</v>
      </c>
      <c r="K38" s="328">
        <f t="shared" ref="K38:M38" si="7">SUM(K33:K37)</f>
        <v>1</v>
      </c>
      <c r="L38" s="328">
        <f t="shared" si="7"/>
        <v>1</v>
      </c>
      <c r="M38" s="328">
        <f t="shared" si="7"/>
        <v>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D3D2-3C87-4120-8940-3B32BEE0D067}">
  <dimension ref="A1:L45"/>
  <sheetViews>
    <sheetView zoomScaleNormal="100" workbookViewId="0">
      <pane ySplit="4" topLeftCell="A5" activePane="bottomLeft" state="frozen"/>
      <selection activeCell="E23" sqref="E23"/>
      <selection pane="bottomLeft" activeCell="H6" sqref="H6:L6"/>
    </sheetView>
  </sheetViews>
  <sheetFormatPr baseColWidth="10" defaultColWidth="11.42578125" defaultRowHeight="14.25" x14ac:dyDescent="0.2"/>
  <cols>
    <col min="1" max="1" width="23" style="332" customWidth="1"/>
    <col min="2" max="4" width="11.42578125" style="332"/>
    <col min="5" max="5" width="15.7109375" style="332" customWidth="1"/>
    <col min="6" max="6" width="13.85546875" style="332" customWidth="1"/>
    <col min="7" max="7" width="15.28515625" style="332" customWidth="1"/>
    <col min="8" max="12" width="10.140625" style="332" bestFit="1" customWidth="1"/>
    <col min="13" max="16384" width="11.42578125" style="332"/>
  </cols>
  <sheetData>
    <row r="1" spans="1:12" ht="23.25" x14ac:dyDescent="0.35">
      <c r="A1" s="329" t="s">
        <v>837</v>
      </c>
      <c r="B1" s="330"/>
      <c r="C1" s="330"/>
      <c r="D1" s="331"/>
    </row>
    <row r="2" spans="1:12" x14ac:dyDescent="0.2">
      <c r="A2" s="439" t="s">
        <v>788</v>
      </c>
      <c r="B2" s="439"/>
      <c r="C2" s="439"/>
      <c r="D2" s="439"/>
    </row>
    <row r="3" spans="1:12" x14ac:dyDescent="0.2">
      <c r="A3" s="439"/>
      <c r="B3" s="439"/>
      <c r="C3" s="439"/>
      <c r="D3" s="439"/>
    </row>
    <row r="4" spans="1:12" x14ac:dyDescent="0.2">
      <c r="A4" s="333" t="s">
        <v>789</v>
      </c>
      <c r="B4" s="330"/>
      <c r="C4" s="330"/>
      <c r="D4" s="330"/>
    </row>
    <row r="5" spans="1:12" x14ac:dyDescent="0.2">
      <c r="A5" s="333"/>
      <c r="B5" s="330"/>
      <c r="C5" s="330"/>
      <c r="D5" s="330"/>
    </row>
    <row r="6" spans="1:12" ht="15" x14ac:dyDescent="0.25">
      <c r="A6" s="333"/>
      <c r="B6" s="440">
        <v>2021</v>
      </c>
      <c r="C6" s="440"/>
      <c r="D6" s="440"/>
      <c r="E6" s="440"/>
      <c r="G6" s="334" t="s">
        <v>406</v>
      </c>
      <c r="H6" s="292">
        <v>2021</v>
      </c>
      <c r="I6" s="292">
        <v>2022</v>
      </c>
      <c r="J6" s="293">
        <v>2023</v>
      </c>
      <c r="K6" s="293" t="s">
        <v>836</v>
      </c>
      <c r="L6" s="293" t="s">
        <v>835</v>
      </c>
    </row>
    <row r="7" spans="1:12" ht="15" x14ac:dyDescent="0.25">
      <c r="A7" s="335" t="s">
        <v>304</v>
      </c>
      <c r="B7" s="336" t="s">
        <v>790</v>
      </c>
      <c r="C7" s="336" t="s">
        <v>791</v>
      </c>
      <c r="D7" s="336" t="s">
        <v>792</v>
      </c>
      <c r="E7" s="336" t="s">
        <v>793</v>
      </c>
      <c r="G7" s="337" t="s">
        <v>794</v>
      </c>
      <c r="H7" s="338"/>
      <c r="I7" s="338"/>
      <c r="J7" s="338"/>
      <c r="K7" s="338"/>
      <c r="L7" s="338"/>
    </row>
    <row r="8" spans="1:12" x14ac:dyDescent="0.2">
      <c r="A8" s="337" t="s">
        <v>795</v>
      </c>
      <c r="B8" s="339"/>
      <c r="C8" s="340"/>
      <c r="D8" s="341"/>
      <c r="E8" s="342"/>
      <c r="G8" s="337" t="s">
        <v>796</v>
      </c>
      <c r="H8" s="338"/>
      <c r="I8" s="338"/>
      <c r="J8" s="338"/>
      <c r="K8" s="338"/>
      <c r="L8" s="338"/>
    </row>
    <row r="9" spans="1:12" ht="15" x14ac:dyDescent="0.25">
      <c r="A9" s="337" t="s">
        <v>797</v>
      </c>
      <c r="B9" s="339"/>
      <c r="C9" s="340">
        <v>0.08</v>
      </c>
      <c r="D9" s="341"/>
      <c r="E9" s="342"/>
      <c r="G9" s="343" t="s">
        <v>798</v>
      </c>
      <c r="H9" s="344"/>
      <c r="I9" s="344"/>
      <c r="J9" s="344"/>
      <c r="K9" s="344"/>
      <c r="L9" s="344"/>
    </row>
    <row r="10" spans="1:12" ht="15" x14ac:dyDescent="0.25">
      <c r="B10" s="345"/>
      <c r="C10" s="346"/>
      <c r="D10" s="347"/>
      <c r="E10" s="348"/>
      <c r="F10" s="332" t="s">
        <v>799</v>
      </c>
      <c r="G10" s="337" t="s">
        <v>800</v>
      </c>
      <c r="H10" s="338"/>
      <c r="I10" s="338"/>
      <c r="J10" s="338"/>
      <c r="K10" s="338"/>
      <c r="L10" s="338"/>
    </row>
    <row r="11" spans="1:12" ht="15" x14ac:dyDescent="0.25">
      <c r="B11" s="346"/>
      <c r="C11" s="346"/>
      <c r="D11" s="346"/>
      <c r="E11" s="349"/>
      <c r="G11" s="343" t="s">
        <v>801</v>
      </c>
      <c r="H11" s="344"/>
      <c r="I11" s="344"/>
      <c r="J11" s="344"/>
      <c r="K11" s="344"/>
      <c r="L11" s="344"/>
    </row>
    <row r="12" spans="1:12" x14ac:dyDescent="0.2">
      <c r="B12" s="346"/>
      <c r="C12" s="346"/>
      <c r="D12" s="346"/>
      <c r="E12" s="346"/>
    </row>
    <row r="13" spans="1:12" x14ac:dyDescent="0.2">
      <c r="A13" s="333"/>
      <c r="B13" s="440">
        <v>2022</v>
      </c>
      <c r="C13" s="440"/>
      <c r="D13" s="440"/>
      <c r="E13" s="440"/>
      <c r="G13" s="332" t="s">
        <v>802</v>
      </c>
      <c r="H13" s="332" t="e">
        <f>H9/H11</f>
        <v>#DIV/0!</v>
      </c>
      <c r="I13" s="332" t="e">
        <f t="shared" ref="I13:L13" si="0">I9/I11</f>
        <v>#DIV/0!</v>
      </c>
      <c r="J13" s="332" t="e">
        <f t="shared" si="0"/>
        <v>#DIV/0!</v>
      </c>
      <c r="K13" s="332" t="e">
        <f t="shared" si="0"/>
        <v>#DIV/0!</v>
      </c>
      <c r="L13" s="332" t="e">
        <f t="shared" si="0"/>
        <v>#DIV/0!</v>
      </c>
    </row>
    <row r="14" spans="1:12" ht="15" x14ac:dyDescent="0.25">
      <c r="A14" s="335" t="s">
        <v>304</v>
      </c>
      <c r="B14" s="335" t="s">
        <v>790</v>
      </c>
      <c r="C14" s="350" t="s">
        <v>791</v>
      </c>
      <c r="D14" s="335" t="s">
        <v>792</v>
      </c>
      <c r="E14" s="335" t="s">
        <v>793</v>
      </c>
      <c r="G14" s="332" t="s">
        <v>803</v>
      </c>
      <c r="H14" s="332" t="e">
        <f>H10/H11</f>
        <v>#DIV/0!</v>
      </c>
      <c r="I14" s="332" t="e">
        <f t="shared" ref="I14:L14" si="1">I10/I11</f>
        <v>#DIV/0!</v>
      </c>
      <c r="J14" s="332" t="e">
        <f t="shared" si="1"/>
        <v>#DIV/0!</v>
      </c>
      <c r="K14" s="332" t="e">
        <f t="shared" si="1"/>
        <v>#DIV/0!</v>
      </c>
      <c r="L14" s="332" t="e">
        <f t="shared" si="1"/>
        <v>#DIV/0!</v>
      </c>
    </row>
    <row r="15" spans="1:12" x14ac:dyDescent="0.2">
      <c r="A15" s="337" t="s">
        <v>795</v>
      </c>
      <c r="B15" s="339"/>
      <c r="C15" s="340"/>
      <c r="D15" s="341"/>
      <c r="E15" s="342"/>
      <c r="G15" s="332" t="s">
        <v>804</v>
      </c>
    </row>
    <row r="16" spans="1:12" x14ac:dyDescent="0.2">
      <c r="A16" s="337" t="s">
        <v>797</v>
      </c>
      <c r="B16" s="339"/>
      <c r="C16" s="340"/>
      <c r="D16" s="341"/>
      <c r="E16" s="342"/>
    </row>
    <row r="17" spans="1:6" ht="15" x14ac:dyDescent="0.25">
      <c r="B17" s="345"/>
      <c r="C17" s="346"/>
      <c r="D17" s="347"/>
      <c r="E17" s="348"/>
      <c r="F17" s="332" t="s">
        <v>799</v>
      </c>
    </row>
    <row r="18" spans="1:6" x14ac:dyDescent="0.2">
      <c r="B18" s="346"/>
      <c r="C18" s="346"/>
      <c r="D18" s="346"/>
      <c r="E18" s="346"/>
    </row>
    <row r="19" spans="1:6" x14ac:dyDescent="0.2">
      <c r="A19" s="333"/>
      <c r="B19" s="440">
        <v>2023</v>
      </c>
      <c r="C19" s="440"/>
      <c r="D19" s="440"/>
      <c r="E19" s="440"/>
    </row>
    <row r="20" spans="1:6" ht="15" x14ac:dyDescent="0.25">
      <c r="A20" s="335" t="s">
        <v>304</v>
      </c>
      <c r="B20" s="335" t="s">
        <v>790</v>
      </c>
      <c r="C20" s="350" t="s">
        <v>791</v>
      </c>
      <c r="D20" s="335" t="s">
        <v>792</v>
      </c>
      <c r="E20" s="335" t="s">
        <v>793</v>
      </c>
    </row>
    <row r="21" spans="1:6" x14ac:dyDescent="0.2">
      <c r="A21" s="337" t="s">
        <v>795</v>
      </c>
      <c r="B21" s="339"/>
      <c r="C21" s="340"/>
      <c r="D21" s="341"/>
      <c r="E21" s="342"/>
    </row>
    <row r="22" spans="1:6" x14ac:dyDescent="0.2">
      <c r="A22" s="337" t="s">
        <v>797</v>
      </c>
      <c r="B22" s="339"/>
      <c r="C22" s="340"/>
      <c r="D22" s="341"/>
      <c r="E22" s="342"/>
    </row>
    <row r="23" spans="1:6" ht="15" x14ac:dyDescent="0.25">
      <c r="B23" s="345"/>
      <c r="C23" s="346"/>
      <c r="D23" s="347"/>
      <c r="E23" s="348"/>
      <c r="F23" s="332" t="s">
        <v>799</v>
      </c>
    </row>
    <row r="24" spans="1:6" x14ac:dyDescent="0.2">
      <c r="B24" s="346"/>
      <c r="C24" s="346"/>
      <c r="D24" s="346"/>
      <c r="E24" s="346"/>
    </row>
    <row r="25" spans="1:6" x14ac:dyDescent="0.2">
      <c r="A25" s="333"/>
      <c r="B25" s="440" t="s">
        <v>836</v>
      </c>
      <c r="C25" s="440"/>
      <c r="D25" s="440"/>
      <c r="E25" s="440"/>
    </row>
    <row r="26" spans="1:6" ht="15" x14ac:dyDescent="0.25">
      <c r="A26" s="335" t="s">
        <v>304</v>
      </c>
      <c r="B26" s="335" t="s">
        <v>790</v>
      </c>
      <c r="C26" s="350" t="s">
        <v>791</v>
      </c>
      <c r="D26" s="335" t="s">
        <v>792</v>
      </c>
      <c r="E26" s="335" t="s">
        <v>793</v>
      </c>
    </row>
    <row r="27" spans="1:6" x14ac:dyDescent="0.2">
      <c r="A27" s="337" t="s">
        <v>795</v>
      </c>
      <c r="B27" s="339"/>
      <c r="C27" s="340"/>
      <c r="D27" s="341"/>
      <c r="E27" s="342"/>
    </row>
    <row r="28" spans="1:6" x14ac:dyDescent="0.2">
      <c r="A28" s="337" t="s">
        <v>797</v>
      </c>
      <c r="B28" s="339"/>
      <c r="C28" s="340"/>
      <c r="D28" s="341"/>
      <c r="E28" s="342"/>
    </row>
    <row r="29" spans="1:6" ht="15" x14ac:dyDescent="0.25">
      <c r="B29" s="345"/>
      <c r="C29" s="346"/>
      <c r="D29" s="347"/>
      <c r="E29" s="348"/>
      <c r="F29" s="332" t="s">
        <v>799</v>
      </c>
    </row>
    <row r="30" spans="1:6" x14ac:dyDescent="0.2">
      <c r="B30" s="346"/>
      <c r="C30" s="346"/>
      <c r="D30" s="346"/>
      <c r="E30" s="346"/>
    </row>
    <row r="31" spans="1:6" x14ac:dyDescent="0.2">
      <c r="A31" s="333"/>
      <c r="B31" s="440" t="s">
        <v>835</v>
      </c>
      <c r="C31" s="440"/>
      <c r="D31" s="440"/>
      <c r="E31" s="440"/>
    </row>
    <row r="32" spans="1:6" ht="15" x14ac:dyDescent="0.25">
      <c r="A32" s="335" t="s">
        <v>304</v>
      </c>
      <c r="B32" s="335" t="s">
        <v>790</v>
      </c>
      <c r="C32" s="350" t="s">
        <v>791</v>
      </c>
      <c r="D32" s="335" t="s">
        <v>792</v>
      </c>
      <c r="E32" s="335" t="s">
        <v>793</v>
      </c>
    </row>
    <row r="33" spans="1:6" x14ac:dyDescent="0.2">
      <c r="A33" s="337" t="s">
        <v>795</v>
      </c>
      <c r="B33" s="339"/>
      <c r="C33" s="340"/>
      <c r="D33" s="341"/>
      <c r="E33" s="342"/>
    </row>
    <row r="34" spans="1:6" x14ac:dyDescent="0.2">
      <c r="A34" s="337" t="s">
        <v>797</v>
      </c>
      <c r="B34" s="339"/>
      <c r="C34" s="340"/>
      <c r="D34" s="341"/>
      <c r="E34" s="342"/>
    </row>
    <row r="35" spans="1:6" ht="15" x14ac:dyDescent="0.25">
      <c r="B35" s="345"/>
      <c r="C35" s="346"/>
      <c r="D35" s="347"/>
      <c r="E35" s="348"/>
      <c r="F35" s="332" t="s">
        <v>799</v>
      </c>
    </row>
    <row r="36" spans="1:6" x14ac:dyDescent="0.2">
      <c r="B36" s="346"/>
      <c r="C36" s="346"/>
      <c r="D36" s="346"/>
      <c r="E36" s="346"/>
    </row>
    <row r="37" spans="1:6" x14ac:dyDescent="0.2">
      <c r="B37" s="346"/>
      <c r="C37" s="346"/>
      <c r="D37" s="346"/>
      <c r="E37" s="346"/>
    </row>
    <row r="38" spans="1:6" ht="15" x14ac:dyDescent="0.25">
      <c r="A38" s="351" t="s">
        <v>623</v>
      </c>
      <c r="B38" s="292">
        <v>2021</v>
      </c>
      <c r="C38" s="292">
        <v>2022</v>
      </c>
      <c r="D38" s="293">
        <v>2023</v>
      </c>
      <c r="E38" s="293" t="s">
        <v>836</v>
      </c>
      <c r="F38" s="293" t="s">
        <v>835</v>
      </c>
    </row>
    <row r="39" spans="1:6" ht="15" x14ac:dyDescent="0.25">
      <c r="A39" s="343" t="s">
        <v>799</v>
      </c>
      <c r="B39" s="342"/>
      <c r="C39" s="342"/>
      <c r="D39" s="342"/>
      <c r="E39" s="342"/>
      <c r="F39" s="342"/>
    </row>
    <row r="40" spans="1:6" ht="15" x14ac:dyDescent="0.25">
      <c r="A40" s="343" t="s">
        <v>805</v>
      </c>
      <c r="B40" s="352"/>
      <c r="C40" s="352"/>
      <c r="D40" s="352"/>
      <c r="E40" s="352"/>
      <c r="F40" s="352"/>
    </row>
    <row r="41" spans="1:6" ht="15" x14ac:dyDescent="0.25">
      <c r="A41" s="343" t="s">
        <v>806</v>
      </c>
      <c r="B41" s="341"/>
      <c r="C41" s="341"/>
      <c r="D41" s="341"/>
      <c r="E41" s="341"/>
      <c r="F41" s="341"/>
    </row>
    <row r="42" spans="1:6" ht="15" x14ac:dyDescent="0.25">
      <c r="A42" s="343" t="s">
        <v>807</v>
      </c>
      <c r="B42" s="353"/>
      <c r="C42" s="353"/>
      <c r="D42" s="353"/>
      <c r="E42" s="353"/>
      <c r="F42" s="353"/>
    </row>
    <row r="43" spans="1:6" ht="15" x14ac:dyDescent="0.25">
      <c r="A43" s="343" t="s">
        <v>808</v>
      </c>
      <c r="B43" s="353"/>
      <c r="C43" s="353"/>
      <c r="D43" s="353"/>
      <c r="E43" s="353"/>
      <c r="F43" s="353"/>
    </row>
    <row r="44" spans="1:6" ht="15" x14ac:dyDescent="0.25">
      <c r="A44" s="343" t="s">
        <v>809</v>
      </c>
      <c r="B44" s="354"/>
      <c r="C44" s="354"/>
      <c r="D44" s="354"/>
      <c r="E44" s="354"/>
      <c r="F44" s="354"/>
    </row>
    <row r="45" spans="1:6" ht="15" x14ac:dyDescent="0.25">
      <c r="A45" s="355" t="s">
        <v>217</v>
      </c>
      <c r="B45" s="328"/>
      <c r="C45" s="328"/>
      <c r="D45" s="328"/>
      <c r="E45" s="328"/>
      <c r="F45" s="328"/>
    </row>
  </sheetData>
  <mergeCells count="6">
    <mergeCell ref="B31:E31"/>
    <mergeCell ref="A2:D3"/>
    <mergeCell ref="B6:E6"/>
    <mergeCell ref="B13:E13"/>
    <mergeCell ref="B19:E19"/>
    <mergeCell ref="B25:E25"/>
  </mergeCells>
  <conditionalFormatting sqref="A13:B13">
    <cfRule type="cellIs" dxfId="6" priority="7" operator="lessThan">
      <formula>0</formula>
    </cfRule>
  </conditionalFormatting>
  <conditionalFormatting sqref="A19:B19">
    <cfRule type="cellIs" dxfId="5" priority="6" operator="lessThan">
      <formula>0</formula>
    </cfRule>
  </conditionalFormatting>
  <conditionalFormatting sqref="A25:B25">
    <cfRule type="cellIs" dxfId="4" priority="5" operator="lessThan">
      <formula>0</formula>
    </cfRule>
  </conditionalFormatting>
  <conditionalFormatting sqref="A31:B31">
    <cfRule type="cellIs" dxfId="3" priority="4" operator="lessThan">
      <formula>0</formula>
    </cfRule>
  </conditionalFormatting>
  <conditionalFormatting sqref="A1:D1 A4:D5 A6:B6">
    <cfRule type="cellIs" dxfId="2" priority="8" operator="lessThan">
      <formula>0</formula>
    </cfRule>
  </conditionalFormatting>
  <conditionalFormatting sqref="B38:F38">
    <cfRule type="cellIs" dxfId="1" priority="2" operator="lessThan">
      <formula>0</formula>
    </cfRule>
  </conditionalFormatting>
  <conditionalFormatting sqref="H6:L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38</vt:i4>
      </vt:variant>
      <vt:variant>
        <vt:lpstr>Rangos con nombre</vt:lpstr>
      </vt:variant>
      <vt:variant>
        <vt:i4>1</vt:i4>
      </vt:variant>
    </vt:vector>
  </HeadingPairs>
  <TitlesOfParts>
    <vt:vector size="39" baseType="lpstr">
      <vt:lpstr>NOTA</vt:lpstr>
      <vt:lpstr>Anexo</vt:lpstr>
      <vt:lpstr>Formulas 01</vt:lpstr>
      <vt:lpstr>Formulas 02</vt:lpstr>
      <vt:lpstr>Formulas EXCEL</vt:lpstr>
      <vt:lpstr>Marco Teorico</vt:lpstr>
      <vt:lpstr>P01</vt:lpstr>
      <vt:lpstr>P02</vt:lpstr>
      <vt:lpstr>P03</vt:lpstr>
      <vt:lpstr>Evaluación créditos</vt:lpstr>
      <vt:lpstr>Sist Francés</vt:lpstr>
      <vt:lpstr>Sist Alemán</vt:lpstr>
      <vt:lpstr>Sist. Americano</vt:lpstr>
      <vt:lpstr>Caso Real</vt:lpstr>
      <vt:lpstr>Decision Prestamo</vt:lpstr>
      <vt:lpstr>Cto Efectivo Credito</vt:lpstr>
      <vt:lpstr>Amort Prest</vt:lpstr>
      <vt:lpstr>Cambio en tasa</vt:lpstr>
      <vt:lpstr>Perpetuidad</vt:lpstr>
      <vt:lpstr>C01</vt:lpstr>
      <vt:lpstr>C02</vt:lpstr>
      <vt:lpstr>C03</vt:lpstr>
      <vt:lpstr>C04</vt:lpstr>
      <vt:lpstr>C05</vt:lpstr>
      <vt:lpstr>Capital Trabajo</vt:lpstr>
      <vt:lpstr>Plantilla CT</vt:lpstr>
      <vt:lpstr>Caso Canguro</vt:lpstr>
      <vt:lpstr>Ciclo Conversion Efectivo</vt:lpstr>
      <vt:lpstr>Ciclo Operativo Caja</vt:lpstr>
      <vt:lpstr>CT 01</vt:lpstr>
      <vt:lpstr>CT 02</vt:lpstr>
      <vt:lpstr>CT 03</vt:lpstr>
      <vt:lpstr>CT 04</vt:lpstr>
      <vt:lpstr>CT 05</vt:lpstr>
      <vt:lpstr>CPPC</vt:lpstr>
      <vt:lpstr>ESF</vt:lpstr>
      <vt:lpstr>EERR</vt:lpstr>
      <vt:lpstr>Calculo CPPC</vt:lpstr>
      <vt:lpstr>'Formulas 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S4-202</cp:lastModifiedBy>
  <dcterms:created xsi:type="dcterms:W3CDTF">2020-06-08T14:09:21Z</dcterms:created>
  <dcterms:modified xsi:type="dcterms:W3CDTF">2025-12-04T00:44:29Z</dcterms:modified>
</cp:coreProperties>
</file>