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4-202\Downloads\"/>
    </mc:Choice>
  </mc:AlternateContent>
  <xr:revisionPtr revIDLastSave="0" documentId="13_ncr:1_{AD8C0C37-1946-4A81-A856-099A565EB5E1}" xr6:coauthVersionLast="47" xr6:coauthVersionMax="47" xr10:uidLastSave="{00000000-0000-0000-0000-000000000000}"/>
  <bookViews>
    <workbookView xWindow="-120" yWindow="-120" windowWidth="15600" windowHeight="11040" firstSheet="3" activeTab="7" xr2:uid="{00000000-000D-0000-FFFF-FFFF00000000}"/>
  </bookViews>
  <sheets>
    <sheet name="Caso 01" sheetId="27" r:id="rId1"/>
    <sheet name="Caso 02" sheetId="28" r:id="rId2"/>
    <sheet name="Caso 03" sheetId="24" r:id="rId3"/>
    <sheet name="Caso 04" sheetId="29" r:id="rId4"/>
    <sheet name="Caso 05" sheetId="17" r:id="rId5"/>
    <sheet name="Caso 06" sheetId="20" r:id="rId6"/>
    <sheet name="Caso 07" sheetId="19" r:id="rId7"/>
    <sheet name="Caso 08" sheetId="18" r:id="rId8"/>
    <sheet name="Caso 09" sheetId="21" r:id="rId9"/>
    <sheet name="Caso 10" sheetId="22" r:id="rId10"/>
    <sheet name="Caso 11" sheetId="23" r:id="rId11"/>
    <sheet name="Caso 12" sheetId="30" r:id="rId12"/>
    <sheet name="Caso 13" sheetId="31" r:id="rId13"/>
  </sheets>
  <definedNames>
    <definedName name="HTML_CodePage" hidden="1">1252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6" i="18" l="1"/>
  <c r="C29" i="18"/>
  <c r="C28" i="18"/>
  <c r="C27" i="18"/>
  <c r="C31" i="18"/>
  <c r="C32" i="18" s="1"/>
  <c r="H23" i="18"/>
  <c r="H18" i="18"/>
  <c r="H17" i="18"/>
  <c r="H22" i="18"/>
  <c r="H20" i="18"/>
  <c r="H19" i="18"/>
  <c r="E21" i="18"/>
  <c r="E20" i="18"/>
  <c r="B34" i="17"/>
  <c r="B36" i="17"/>
  <c r="B37" i="17" s="1"/>
  <c r="B32" i="17"/>
  <c r="B31" i="17"/>
  <c r="B30" i="17"/>
  <c r="B29" i="17"/>
  <c r="J17" i="17"/>
  <c r="J8" i="17"/>
  <c r="J12" i="17" s="1"/>
  <c r="J14" i="17" s="1"/>
  <c r="B23" i="29"/>
  <c r="J25" i="29"/>
  <c r="J22" i="29"/>
  <c r="J21" i="29"/>
  <c r="J20" i="29"/>
  <c r="J17" i="29"/>
  <c r="J18" i="29" s="1"/>
  <c r="J12" i="29"/>
  <c r="J13" i="29"/>
  <c r="J11" i="29"/>
  <c r="J6" i="29"/>
  <c r="J4" i="29"/>
  <c r="J3" i="29"/>
  <c r="F23" i="24"/>
  <c r="E22" i="24"/>
  <c r="E20" i="24"/>
  <c r="B21" i="24"/>
  <c r="B22" i="24"/>
  <c r="J17" i="24"/>
  <c r="J10" i="24"/>
  <c r="J9" i="24"/>
  <c r="J6" i="24"/>
  <c r="C15" i="28"/>
  <c r="I10" i="28"/>
  <c r="I9" i="28"/>
  <c r="I5" i="28"/>
  <c r="I4" i="28"/>
  <c r="Q6" i="27"/>
  <c r="Q5" i="27"/>
  <c r="Q4" i="27"/>
  <c r="Q7" i="27"/>
  <c r="P7" i="27"/>
  <c r="P6" i="27"/>
  <c r="P5" i="27"/>
  <c r="P4" i="27"/>
  <c r="I12" i="27"/>
  <c r="O7" i="27"/>
  <c r="O6" i="27"/>
  <c r="O5" i="27"/>
  <c r="O4" i="27"/>
  <c r="N6" i="27"/>
  <c r="N5" i="27"/>
  <c r="N4" i="27"/>
  <c r="M7" i="27"/>
  <c r="M6" i="27"/>
  <c r="M5" i="27"/>
  <c r="M4" i="27"/>
  <c r="K7" i="27"/>
  <c r="K6" i="27"/>
  <c r="K5" i="27"/>
  <c r="K4" i="27"/>
  <c r="I7" i="27"/>
  <c r="J3" i="24"/>
  <c r="J4" i="24"/>
</calcChain>
</file>

<file path=xl/sharedStrings.xml><?xml version="1.0" encoding="utf-8"?>
<sst xmlns="http://schemas.openxmlformats.org/spreadsheetml/2006/main" count="177" uniqueCount="100">
  <si>
    <t>Caso  01:</t>
  </si>
  <si>
    <t>Caso 02:</t>
  </si>
  <si>
    <t>Caso 03:</t>
  </si>
  <si>
    <t>Caso 04</t>
  </si>
  <si>
    <t>Caso 05:</t>
  </si>
  <si>
    <t>Caso 06:</t>
  </si>
  <si>
    <t>Caso 07:</t>
  </si>
  <si>
    <t xml:space="preserve">Caso 08: </t>
  </si>
  <si>
    <t>Caso 09:</t>
  </si>
  <si>
    <t>Caso 10:</t>
  </si>
  <si>
    <t>Caso 11.</t>
  </si>
  <si>
    <t>Caso 12:</t>
  </si>
  <si>
    <t>Caso 13:</t>
  </si>
  <si>
    <t>SOLUCION:</t>
  </si>
  <si>
    <t>METODO DE CALCULO DE PUNTO DE EQUILIBRIO DE VARIOS PRODUCTOS</t>
  </si>
  <si>
    <t>1) Calcular la participación (%) de las ventas de cada producto</t>
  </si>
  <si>
    <t>VV unit</t>
  </si>
  <si>
    <t>CV unit</t>
  </si>
  <si>
    <t>2) Calcular el MC unit de cada producto</t>
  </si>
  <si>
    <t>3) Calcular el margen de contribución ponderado (MCP) por producto</t>
  </si>
  <si>
    <t>4) Calcular el punto (PE) en unidades totales</t>
  </si>
  <si>
    <t>PE total unid = CF Total / MCP total</t>
  </si>
  <si>
    <t>5) Calcular el punto de equilibrio en unidades de cada producto</t>
  </si>
  <si>
    <t>PE cada producto unid = PE Total und * % ventas</t>
  </si>
  <si>
    <t>MC unit</t>
  </si>
  <si>
    <t>CF total</t>
  </si>
  <si>
    <t>Producto</t>
  </si>
  <si>
    <t>A</t>
  </si>
  <si>
    <t>B</t>
  </si>
  <si>
    <t>C</t>
  </si>
  <si>
    <t>Vtas Unid</t>
  </si>
  <si>
    <t>Total</t>
  </si>
  <si>
    <t>VV total</t>
  </si>
  <si>
    <t>CV Unit</t>
  </si>
  <si>
    <t>VV %</t>
  </si>
  <si>
    <t>MC unit = VV unit - CV unit</t>
  </si>
  <si>
    <t>MC pond</t>
  </si>
  <si>
    <t>PE Empresa = CF total / MCP total</t>
  </si>
  <si>
    <t>PEE =</t>
  </si>
  <si>
    <t>unidades</t>
  </si>
  <si>
    <t>PE unid</t>
  </si>
  <si>
    <t>PE S/</t>
  </si>
  <si>
    <t>CF totales</t>
  </si>
  <si>
    <t>Utilidad S/ =</t>
  </si>
  <si>
    <t>a)</t>
  </si>
  <si>
    <t>b)</t>
  </si>
  <si>
    <t>Utilidad = (UV - UEQ)*MC unit</t>
  </si>
  <si>
    <t>5,000 = (UV - 125)*80</t>
  </si>
  <si>
    <t>UV =</t>
  </si>
  <si>
    <t>c)</t>
  </si>
  <si>
    <t>LOS CAMBIOS EN LOS COSTOS DE LOS MATERIALES GENERA UN MAYOR VALOR EN UNIDADES Y VALORES</t>
  </si>
  <si>
    <t>EN EQUILIBRIO</t>
  </si>
  <si>
    <t>ENTONCES SE TIENE QUE HACER UN MAYOR ESFUERZO EN LAS VENTAS</t>
  </si>
  <si>
    <t>Ventas Unid</t>
  </si>
  <si>
    <t>Utilidad</t>
  </si>
  <si>
    <t>112,500 = (UV - 13000)*11.25</t>
  </si>
  <si>
    <t>UV</t>
  </si>
  <si>
    <t>Ventas</t>
  </si>
  <si>
    <t>d)</t>
  </si>
  <si>
    <t>Publicidad</t>
  </si>
  <si>
    <t>CF</t>
  </si>
  <si>
    <t>{=135000 + P</t>
  </si>
  <si>
    <t>PE Unid</t>
  </si>
  <si>
    <t>´(135000+P)/11.25</t>
  </si>
  <si>
    <t>60000 = (22000 - (135000+ P)/11.25)*11.25</t>
  </si>
  <si>
    <t>Costo prov externo</t>
  </si>
  <si>
    <t>por unidad</t>
  </si>
  <si>
    <t>Estructura de costos actuales de produccion</t>
  </si>
  <si>
    <t>Concepto</t>
  </si>
  <si>
    <t>CMD</t>
  </si>
  <si>
    <t>S/</t>
  </si>
  <si>
    <t>CPD</t>
  </si>
  <si>
    <t>CIF var</t>
  </si>
  <si>
    <t>CIF fijo</t>
  </si>
  <si>
    <t>No desaparece</t>
  </si>
  <si>
    <t>Si desaparece</t>
  </si>
  <si>
    <t>CIF fijo Jefe</t>
  </si>
  <si>
    <t>Total costo</t>
  </si>
  <si>
    <t>Unid prod</t>
  </si>
  <si>
    <t>Cto unit</t>
  </si>
  <si>
    <t>Decision;</t>
  </si>
  <si>
    <t>Costo final</t>
  </si>
  <si>
    <t>CONCLUSION.</t>
  </si>
  <si>
    <t>No conviene tercerizar porque esl costo unitario</t>
  </si>
  <si>
    <t>de compra seria mayor</t>
  </si>
  <si>
    <t>LO QUE SE HACE ES HACER UN ESTADO DE RESULTADOS</t>
  </si>
  <si>
    <t>PARA LA SITUACION INICIAL Y LUEGO INCLUIR EL NUEVO PEDIDO Y CALCULAR EL RESULTADO FINAL</t>
  </si>
  <si>
    <t>CONCLUSION:</t>
  </si>
  <si>
    <t>ACEPTAMOS EL PEDIDO PORQUE GENERA</t>
  </si>
  <si>
    <t>UNA UTILIDAD ADICIONAL DE S/ 76,667</t>
  </si>
  <si>
    <t>Produccion</t>
  </si>
  <si>
    <t>OCD</t>
  </si>
  <si>
    <t>CTOTAL</t>
  </si>
  <si>
    <t>TIEMPO EXTRA</t>
  </si>
  <si>
    <t>OTRO TURNO</t>
  </si>
  <si>
    <t>Total costos</t>
  </si>
  <si>
    <t>DECISION:</t>
  </si>
  <si>
    <t>SE ACEPTA EL PEDIDO PERO SE PRODUCE</t>
  </si>
  <si>
    <t>MEDIANTE OTRO TURNO PORQUE NOS DA</t>
  </si>
  <si>
    <t>MAYOR UTILIDAD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</si>
</sst>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#,##0\ &quot;Pta&quot;;[Red]\-#,##0\ &quot;Pta&quot;"/>
    <numFmt numFmtId="165" formatCode="#,##0.0"/>
    <numFmt numFmtId="166" formatCode="0.0"/>
    <numFmt numFmtId="167" formatCode="0.000"/>
    <numFmt numFmtId="168" formatCode="#,##0_ ;[Red]\-#,##0\ "/>
    <numFmt numFmtId="169" formatCode="#,##0.00_ ;[Red]\-#,##0.00\ "/>
    <numFmt numFmtId="170" formatCode="0.0%"/>
  </numFmts>
  <fonts count="7" x14ac:knownFonts="1">
    <font>
      <sz val="11"/>
      <color theme="1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0"/>
    <xf numFmtId="0" fontId="2" fillId="0" borderId="0"/>
    <xf numFmtId="0" fontId="5" fillId="0" borderId="0"/>
    <xf numFmtId="0" fontId="2" fillId="0" borderId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6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3" fontId="0" fillId="2" borderId="0" xfId="0" applyNumberFormat="1" applyFill="1" applyAlignment="1">
      <alignment horizontal="center"/>
    </xf>
    <xf numFmtId="10" fontId="5" fillId="2" borderId="0" xfId="8" applyNumberFormat="1" applyFont="1" applyFill="1" applyAlignment="1">
      <alignment horizontal="center"/>
    </xf>
    <xf numFmtId="166" fontId="0" fillId="2" borderId="0" xfId="0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3" fontId="0" fillId="2" borderId="0" xfId="0" applyNumberFormat="1" applyFill="1"/>
    <xf numFmtId="168" fontId="0" fillId="2" borderId="0" xfId="0" applyNumberFormat="1" applyFill="1"/>
    <xf numFmtId="168" fontId="0" fillId="2" borderId="0" xfId="0" applyNumberFormat="1" applyFill="1" applyAlignment="1">
      <alignment horizontal="center"/>
    </xf>
    <xf numFmtId="169" fontId="5" fillId="2" borderId="0" xfId="8" applyNumberFormat="1" applyFont="1" applyFill="1" applyAlignment="1">
      <alignment horizontal="center"/>
    </xf>
    <xf numFmtId="169" fontId="0" fillId="2" borderId="0" xfId="0" applyNumberFormat="1" applyFill="1"/>
    <xf numFmtId="170" fontId="0" fillId="2" borderId="0" xfId="0" applyNumberFormat="1" applyFill="1" applyAlignment="1">
      <alignment horizontal="center"/>
    </xf>
    <xf numFmtId="170" fontId="0" fillId="2" borderId="0" xfId="0" applyNumberFormat="1" applyFill="1"/>
    <xf numFmtId="169" fontId="0" fillId="2" borderId="0" xfId="0" applyNumberFormat="1" applyFill="1" applyAlignment="1">
      <alignment horizontal="center"/>
    </xf>
  </cellXfs>
  <cellStyles count="12">
    <cellStyle name="Millares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2 3" xfId="4" xr:uid="{00000000-0005-0000-0000-000004000000}"/>
    <cellStyle name="Normal 3" xfId="5" xr:uid="{00000000-0005-0000-0000-000005000000}"/>
    <cellStyle name="Normal 4" xfId="6" xr:uid="{00000000-0005-0000-0000-000006000000}"/>
    <cellStyle name="Normal 5" xfId="7" xr:uid="{00000000-0005-0000-0000-000007000000}"/>
    <cellStyle name="Porcentaje" xfId="8" builtinId="5"/>
    <cellStyle name="Porcentaje 2" xfId="9" xr:uid="{00000000-0005-0000-0000-000009000000}"/>
    <cellStyle name="Porcentual 2" xfId="10" xr:uid="{00000000-0005-0000-0000-00000A000000}"/>
    <cellStyle name="Porcentual 3" xfId="11" xr:uid="{00000000-0005-0000-0000-00000B000000}"/>
  </cellStyles>
  <dxfs count="0"/>
  <tableStyles count="1" defaultTableStyle="TableStyleMedium9" defaultPivotStyle="PivotStyleLight16">
    <tableStyle name="Invisible" pivot="0" table="0" count="0" xr9:uid="{1D513B05-764C-443D-B144-47F855A6754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1</xdr:row>
      <xdr:rowOff>0</xdr:rowOff>
    </xdr:from>
    <xdr:to>
      <xdr:col>6</xdr:col>
      <xdr:colOff>853440</xdr:colOff>
      <xdr:row>14</xdr:row>
      <xdr:rowOff>0</xdr:rowOff>
    </xdr:to>
    <xdr:pic>
      <xdr:nvPicPr>
        <xdr:cNvPr id="11286" name="Imagen 1">
          <a:extLst>
            <a:ext uri="{FF2B5EF4-FFF2-40B4-BE49-F238E27FC236}">
              <a16:creationId xmlns:a16="http://schemas.microsoft.com/office/drawing/2014/main" id="{64349281-D318-44C0-8AB3-25409F216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175260"/>
          <a:ext cx="5875020" cy="2278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1</xdr:row>
      <xdr:rowOff>0</xdr:rowOff>
    </xdr:from>
    <xdr:to>
      <xdr:col>6</xdr:col>
      <xdr:colOff>861060</xdr:colOff>
      <xdr:row>10</xdr:row>
      <xdr:rowOff>0</xdr:rowOff>
    </xdr:to>
    <xdr:pic>
      <xdr:nvPicPr>
        <xdr:cNvPr id="12316" name="Imagen 1">
          <a:extLst>
            <a:ext uri="{FF2B5EF4-FFF2-40B4-BE49-F238E27FC236}">
              <a16:creationId xmlns:a16="http://schemas.microsoft.com/office/drawing/2014/main" id="{5BFA5B49-6876-4262-AF83-AB4901239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" y="175260"/>
          <a:ext cx="5875020" cy="1577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444500</xdr:colOff>
      <xdr:row>9</xdr:row>
      <xdr:rowOff>86042</xdr:rowOff>
    </xdr:from>
    <xdr:to>
      <xdr:col>5</xdr:col>
      <xdr:colOff>619663</xdr:colOff>
      <xdr:row>11</xdr:row>
      <xdr:rowOff>163005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3DA098E9-3812-481C-8FEB-4054B88DDB70}"/>
            </a:ext>
          </a:extLst>
        </xdr:cNvPr>
        <xdr:cNvSpPr txBox="1">
          <a:spLocks noChangeArrowheads="1"/>
        </xdr:cNvSpPr>
      </xdr:nvSpPr>
      <xdr:spPr bwMode="auto">
        <a:xfrm>
          <a:off x="1285875" y="1737042"/>
          <a:ext cx="3540663" cy="442088"/>
        </a:xfrm>
        <a:prstGeom prst="rect">
          <a:avLst/>
        </a:prstGeom>
        <a:solidFill>
          <a:srgbClr val="FFFF00"/>
        </a:solidFill>
        <a:ln w="9525">
          <a:solidFill>
            <a:schemeClr val="tx1"/>
          </a:solidFill>
          <a:miter lim="800000"/>
          <a:headEnd/>
          <a:tailEnd/>
        </a:ln>
        <a:scene3d>
          <a:camera prst="orthographicFront"/>
          <a:lightRig rig="threePt" dir="t"/>
        </a:scene3d>
        <a:sp3d>
          <a:bevelT w="165100" prst="coolSlant"/>
        </a:sp3d>
      </xdr:spPr>
      <xdr:txBody>
        <a:bodyPr wrap="square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hangingPunct="1">
            <a:buClr>
              <a:schemeClr val="accent2"/>
            </a:buClr>
            <a:buFont typeface="Wingdings" panose="05000000000000000000" pitchFamily="2" charset="2"/>
            <a:buNone/>
          </a:pPr>
          <a:r>
            <a:rPr lang="es-PE" altLang="es-ES" sz="2094" b="1"/>
            <a:t>UTILIDAD = (UV – UEQ) * MCu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1</xdr:row>
      <xdr:rowOff>0</xdr:rowOff>
    </xdr:from>
    <xdr:to>
      <xdr:col>7</xdr:col>
      <xdr:colOff>556260</xdr:colOff>
      <xdr:row>16</xdr:row>
      <xdr:rowOff>99060</xdr:rowOff>
    </xdr:to>
    <xdr:pic>
      <xdr:nvPicPr>
        <xdr:cNvPr id="10264" name="Imagen 1">
          <a:extLst>
            <a:ext uri="{FF2B5EF4-FFF2-40B4-BE49-F238E27FC236}">
              <a16:creationId xmlns:a16="http://schemas.microsoft.com/office/drawing/2014/main" id="{0CB5D6BD-8B89-4250-8FE9-67DF267CF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" y="175260"/>
          <a:ext cx="6408420" cy="2727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43295</xdr:colOff>
      <xdr:row>0</xdr:row>
      <xdr:rowOff>181841</xdr:rowOff>
    </xdr:from>
    <xdr:to>
      <xdr:col>7</xdr:col>
      <xdr:colOff>155863</xdr:colOff>
      <xdr:row>20</xdr:row>
      <xdr:rowOff>52301</xdr:rowOff>
    </xdr:to>
    <xdr:pic>
      <xdr:nvPicPr>
        <xdr:cNvPr id="13335" name="Imagen 1">
          <a:extLst>
            <a:ext uri="{FF2B5EF4-FFF2-40B4-BE49-F238E27FC236}">
              <a16:creationId xmlns:a16="http://schemas.microsoft.com/office/drawing/2014/main" id="{AAC37E9A-50B6-4172-BA35-04EB87093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95" y="181841"/>
          <a:ext cx="6070023" cy="35159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180975</xdr:rowOff>
    </xdr:from>
    <xdr:to>
      <xdr:col>7</xdr:col>
      <xdr:colOff>741045</xdr:colOff>
      <xdr:row>21</xdr:row>
      <xdr:rowOff>120015</xdr:rowOff>
    </xdr:to>
    <xdr:pic>
      <xdr:nvPicPr>
        <xdr:cNvPr id="2075" name="Imagen 1">
          <a:extLst>
            <a:ext uri="{FF2B5EF4-FFF2-40B4-BE49-F238E27FC236}">
              <a16:creationId xmlns:a16="http://schemas.microsoft.com/office/drawing/2014/main" id="{4F81B4F3-26E8-49FF-8E5F-819EBA8A9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80975"/>
          <a:ext cx="6484620" cy="3749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617220</xdr:colOff>
      <xdr:row>19</xdr:row>
      <xdr:rowOff>129540</xdr:rowOff>
    </xdr:to>
    <xdr:pic>
      <xdr:nvPicPr>
        <xdr:cNvPr id="5148" name="Imagen 1">
          <a:extLst>
            <a:ext uri="{FF2B5EF4-FFF2-40B4-BE49-F238E27FC236}">
              <a16:creationId xmlns:a16="http://schemas.microsoft.com/office/drawing/2014/main" id="{62D9ACF4-6F3E-4028-9F30-DBF231277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260"/>
          <a:ext cx="6484620" cy="3284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175260</xdr:rowOff>
    </xdr:from>
    <xdr:to>
      <xdr:col>7</xdr:col>
      <xdr:colOff>617220</xdr:colOff>
      <xdr:row>18</xdr:row>
      <xdr:rowOff>167640</xdr:rowOff>
    </xdr:to>
    <xdr:pic>
      <xdr:nvPicPr>
        <xdr:cNvPr id="4125" name="Imagen 1">
          <a:extLst>
            <a:ext uri="{FF2B5EF4-FFF2-40B4-BE49-F238E27FC236}">
              <a16:creationId xmlns:a16="http://schemas.microsoft.com/office/drawing/2014/main" id="{18DD1C21-A82D-48FC-A11E-A3079ED0B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260"/>
          <a:ext cx="6484620" cy="3147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</xdr:colOff>
      <xdr:row>1</xdr:row>
      <xdr:rowOff>7620</xdr:rowOff>
    </xdr:from>
    <xdr:to>
      <xdr:col>7</xdr:col>
      <xdr:colOff>828675</xdr:colOff>
      <xdr:row>13</xdr:row>
      <xdr:rowOff>83820</xdr:rowOff>
    </xdr:to>
    <xdr:pic>
      <xdr:nvPicPr>
        <xdr:cNvPr id="1056" name="Imagen 1">
          <a:extLst>
            <a:ext uri="{FF2B5EF4-FFF2-40B4-BE49-F238E27FC236}">
              <a16:creationId xmlns:a16="http://schemas.microsoft.com/office/drawing/2014/main" id="{19C55EEA-CB2D-4F77-9395-B2FF99E82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" y="198120"/>
          <a:ext cx="6637020" cy="224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1</xdr:row>
      <xdr:rowOff>83820</xdr:rowOff>
    </xdr:from>
    <xdr:to>
      <xdr:col>8</xdr:col>
      <xdr:colOff>213360</xdr:colOff>
      <xdr:row>17</xdr:row>
      <xdr:rowOff>91440</xdr:rowOff>
    </xdr:to>
    <xdr:pic>
      <xdr:nvPicPr>
        <xdr:cNvPr id="3103" name="Imagen 1">
          <a:extLst>
            <a:ext uri="{FF2B5EF4-FFF2-40B4-BE49-F238E27FC236}">
              <a16:creationId xmlns:a16="http://schemas.microsoft.com/office/drawing/2014/main" id="{1C055E8D-4C6E-4721-BF50-0880ECF24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259080"/>
          <a:ext cx="6873240" cy="2811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617220</xdr:colOff>
      <xdr:row>14</xdr:row>
      <xdr:rowOff>0</xdr:rowOff>
    </xdr:to>
    <xdr:pic>
      <xdr:nvPicPr>
        <xdr:cNvPr id="6170" name="Imagen 1">
          <a:extLst>
            <a:ext uri="{FF2B5EF4-FFF2-40B4-BE49-F238E27FC236}">
              <a16:creationId xmlns:a16="http://schemas.microsoft.com/office/drawing/2014/main" id="{3594E44B-25A1-4FEB-A79B-F516A9615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260"/>
          <a:ext cx="6484620" cy="2278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617220</xdr:colOff>
      <xdr:row>12</xdr:row>
      <xdr:rowOff>30480</xdr:rowOff>
    </xdr:to>
    <xdr:pic>
      <xdr:nvPicPr>
        <xdr:cNvPr id="7194" name="Imagen 1">
          <a:extLst>
            <a:ext uri="{FF2B5EF4-FFF2-40B4-BE49-F238E27FC236}">
              <a16:creationId xmlns:a16="http://schemas.microsoft.com/office/drawing/2014/main" id="{89E7A304-2C18-4B89-85B6-ECCF53ED9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260"/>
          <a:ext cx="6484620" cy="1958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1</xdr:row>
      <xdr:rowOff>38100</xdr:rowOff>
    </xdr:from>
    <xdr:to>
      <xdr:col>7</xdr:col>
      <xdr:colOff>91440</xdr:colOff>
      <xdr:row>20</xdr:row>
      <xdr:rowOff>83820</xdr:rowOff>
    </xdr:to>
    <xdr:pic>
      <xdr:nvPicPr>
        <xdr:cNvPr id="14355" name="Picture 2">
          <a:extLst>
            <a:ext uri="{FF2B5EF4-FFF2-40B4-BE49-F238E27FC236}">
              <a16:creationId xmlns:a16="http://schemas.microsoft.com/office/drawing/2014/main" id="{C370B900-714A-42B8-8C8A-BC8A11953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54" t="36508" r="23251" b="19444"/>
        <a:stretch>
          <a:fillRect/>
        </a:stretch>
      </xdr:blipFill>
      <xdr:spPr bwMode="auto">
        <a:xfrm>
          <a:off x="15240" y="213360"/>
          <a:ext cx="5943600" cy="3375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1</xdr:row>
      <xdr:rowOff>38100</xdr:rowOff>
    </xdr:from>
    <xdr:to>
      <xdr:col>7</xdr:col>
      <xdr:colOff>632460</xdr:colOff>
      <xdr:row>22</xdr:row>
      <xdr:rowOff>53340</xdr:rowOff>
    </xdr:to>
    <xdr:pic>
      <xdr:nvPicPr>
        <xdr:cNvPr id="15379" name="Picture 2">
          <a:extLst>
            <a:ext uri="{FF2B5EF4-FFF2-40B4-BE49-F238E27FC236}">
              <a16:creationId xmlns:a16="http://schemas.microsoft.com/office/drawing/2014/main" id="{C9ACBE40-A897-4ECB-9F1A-5AA4774DD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211" t="36310" r="23586" b="19246"/>
        <a:stretch>
          <a:fillRect/>
        </a:stretch>
      </xdr:blipFill>
      <xdr:spPr bwMode="auto">
        <a:xfrm>
          <a:off x="68580" y="213360"/>
          <a:ext cx="6431280" cy="3695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opLeftCell="F1" workbookViewId="0">
      <selection activeCell="Q9" sqref="Q9"/>
    </sheetView>
  </sheetViews>
  <sheetFormatPr baseColWidth="10" defaultColWidth="11" defaultRowHeight="14.25" x14ac:dyDescent="0.2"/>
  <cols>
    <col min="1" max="6" width="11" style="2"/>
    <col min="7" max="7" width="12.125" style="2" customWidth="1"/>
    <col min="8" max="9" width="11" style="2"/>
    <col min="10" max="10" width="8.625" style="2" customWidth="1"/>
    <col min="11" max="11" width="8.375" style="2" bestFit="1" customWidth="1"/>
    <col min="12" max="12" width="8.625" style="2" bestFit="1" customWidth="1"/>
    <col min="13" max="13" width="7.25" style="2" bestFit="1" customWidth="1"/>
    <col min="14" max="14" width="10.875" style="2" customWidth="1"/>
    <col min="15" max="15" width="8" style="2" bestFit="1" customWidth="1"/>
    <col min="16" max="16384" width="11" style="2"/>
  </cols>
  <sheetData>
    <row r="1" spans="1:17" ht="15" x14ac:dyDescent="0.25">
      <c r="A1" s="1" t="s">
        <v>0</v>
      </c>
      <c r="H1" s="1" t="s">
        <v>13</v>
      </c>
      <c r="K1" s="2" t="s">
        <v>35</v>
      </c>
    </row>
    <row r="2" spans="1:17" x14ac:dyDescent="0.2">
      <c r="I2" s="3"/>
      <c r="J2" s="3"/>
      <c r="K2" s="3"/>
      <c r="L2" s="3"/>
      <c r="M2" s="3"/>
      <c r="N2" s="3"/>
      <c r="O2" s="3"/>
      <c r="P2" s="3"/>
    </row>
    <row r="3" spans="1:17" x14ac:dyDescent="0.2">
      <c r="H3" s="2" t="s">
        <v>26</v>
      </c>
      <c r="I3" s="4" t="s">
        <v>30</v>
      </c>
      <c r="J3" s="6" t="s">
        <v>16</v>
      </c>
      <c r="K3" s="6" t="s">
        <v>32</v>
      </c>
      <c r="L3" s="5" t="s">
        <v>33</v>
      </c>
      <c r="M3" s="6" t="s">
        <v>34</v>
      </c>
      <c r="N3" s="7" t="s">
        <v>24</v>
      </c>
      <c r="O3" s="7" t="s">
        <v>36</v>
      </c>
      <c r="P3" s="8" t="s">
        <v>40</v>
      </c>
      <c r="Q3" s="8" t="s">
        <v>41</v>
      </c>
    </row>
    <row r="4" spans="1:17" x14ac:dyDescent="0.2">
      <c r="H4" s="2" t="s">
        <v>27</v>
      </c>
      <c r="I4" s="4">
        <v>10000</v>
      </c>
      <c r="J4" s="6">
        <v>10</v>
      </c>
      <c r="K4" s="11">
        <f>I4*J4</f>
        <v>100000</v>
      </c>
      <c r="L4" s="12">
        <v>4</v>
      </c>
      <c r="M4" s="14">
        <f>K4/$K$7</f>
        <v>0.25</v>
      </c>
      <c r="N4" s="12">
        <f>J4-L4</f>
        <v>6</v>
      </c>
      <c r="O4" s="16">
        <f>M4*N4</f>
        <v>1.5</v>
      </c>
      <c r="P4" s="8">
        <f>M4*$I$12</f>
        <v>6470.5882352941171</v>
      </c>
      <c r="Q4" s="8">
        <f>P4*J4</f>
        <v>64705.882352941175</v>
      </c>
    </row>
    <row r="5" spans="1:17" x14ac:dyDescent="0.2">
      <c r="H5" s="2" t="s">
        <v>28</v>
      </c>
      <c r="I5" s="4">
        <v>28000</v>
      </c>
      <c r="J5" s="6">
        <v>5</v>
      </c>
      <c r="K5" s="11">
        <f t="shared" ref="K5:K6" si="0">I5*J5</f>
        <v>140000</v>
      </c>
      <c r="L5" s="12">
        <v>3</v>
      </c>
      <c r="M5" s="14">
        <f t="shared" ref="M5:M6" si="1">K5/$K$7</f>
        <v>0.35</v>
      </c>
      <c r="N5" s="12">
        <f t="shared" ref="N5:N6" si="2">J5-L5</f>
        <v>2</v>
      </c>
      <c r="O5" s="16">
        <f t="shared" ref="O5:O6" si="3">M5*N5</f>
        <v>0.7</v>
      </c>
      <c r="P5" s="8">
        <f t="shared" ref="P5:P6" si="4">M5*$I$12</f>
        <v>9058.823529411764</v>
      </c>
      <c r="Q5" s="8">
        <f t="shared" ref="Q5:Q6" si="5">P5*J5</f>
        <v>45294.117647058818</v>
      </c>
    </row>
    <row r="6" spans="1:17" x14ac:dyDescent="0.2">
      <c r="H6" s="2" t="s">
        <v>29</v>
      </c>
      <c r="I6" s="4">
        <v>20000</v>
      </c>
      <c r="J6" s="6">
        <v>8</v>
      </c>
      <c r="K6" s="11">
        <f t="shared" si="0"/>
        <v>160000</v>
      </c>
      <c r="L6" s="12">
        <v>5</v>
      </c>
      <c r="M6" s="14">
        <f t="shared" si="1"/>
        <v>0.4</v>
      </c>
      <c r="N6" s="12">
        <f t="shared" si="2"/>
        <v>3</v>
      </c>
      <c r="O6" s="16">
        <f t="shared" si="3"/>
        <v>1.2000000000000002</v>
      </c>
      <c r="P6" s="8">
        <f t="shared" si="4"/>
        <v>10352.941176470587</v>
      </c>
      <c r="Q6" s="8">
        <f t="shared" si="5"/>
        <v>82823.529411764699</v>
      </c>
    </row>
    <row r="7" spans="1:17" x14ac:dyDescent="0.2">
      <c r="H7" s="2" t="s">
        <v>31</v>
      </c>
      <c r="I7" s="4">
        <f>SUM(I4:I6)</f>
        <v>58000</v>
      </c>
      <c r="K7" s="10">
        <f>SUM(K4:K6)</f>
        <v>400000</v>
      </c>
      <c r="L7" s="13"/>
      <c r="M7" s="15">
        <f>SUM(M4:M6)</f>
        <v>1</v>
      </c>
      <c r="O7" s="16">
        <f>SUM(O4:O6)</f>
        <v>3.4000000000000004</v>
      </c>
      <c r="P7" s="8">
        <f>SUM(P4:P6)</f>
        <v>25882.352941176468</v>
      </c>
      <c r="Q7" s="8">
        <f>SUM(Q4:Q6)</f>
        <v>192823.5294117647</v>
      </c>
    </row>
    <row r="9" spans="1:17" x14ac:dyDescent="0.2">
      <c r="I9" s="4"/>
    </row>
    <row r="10" spans="1:17" x14ac:dyDescent="0.2">
      <c r="H10" s="2" t="s">
        <v>37</v>
      </c>
    </row>
    <row r="11" spans="1:17" x14ac:dyDescent="0.2">
      <c r="I11" s="3"/>
      <c r="J11" s="3"/>
      <c r="K11" s="3"/>
      <c r="L11" s="3"/>
      <c r="M11" s="3"/>
      <c r="N11" s="3"/>
      <c r="O11" s="3"/>
      <c r="P11" s="3"/>
    </row>
    <row r="12" spans="1:17" x14ac:dyDescent="0.2">
      <c r="H12" s="2" t="s">
        <v>38</v>
      </c>
      <c r="I12" s="4">
        <f>88000/O7</f>
        <v>25882.352941176468</v>
      </c>
      <c r="J12" s="6" t="s">
        <v>39</v>
      </c>
      <c r="K12" s="6"/>
      <c r="L12" s="5"/>
      <c r="M12" s="6"/>
      <c r="N12" s="7"/>
      <c r="O12" s="4"/>
      <c r="P12" s="8"/>
    </row>
    <row r="13" spans="1:17" x14ac:dyDescent="0.2">
      <c r="I13" s="4"/>
      <c r="J13" s="6"/>
      <c r="K13" s="6"/>
      <c r="L13" s="5"/>
      <c r="M13" s="6"/>
      <c r="N13" s="7"/>
      <c r="O13" s="4"/>
      <c r="P13" s="8"/>
    </row>
    <row r="14" spans="1:17" x14ac:dyDescent="0.2">
      <c r="I14" s="4"/>
      <c r="J14" s="6"/>
      <c r="K14" s="6"/>
      <c r="L14" s="5"/>
      <c r="M14" s="6"/>
      <c r="N14" s="7"/>
      <c r="O14" s="4"/>
      <c r="P14" s="8"/>
    </row>
    <row r="15" spans="1:17" x14ac:dyDescent="0.2">
      <c r="I15" s="4"/>
      <c r="J15" s="6"/>
      <c r="K15" s="6"/>
      <c r="L15" s="5"/>
      <c r="M15" s="6"/>
      <c r="N15" s="7"/>
      <c r="O15" s="4"/>
      <c r="P15" s="8"/>
    </row>
    <row r="16" spans="1:17" ht="15" x14ac:dyDescent="0.25">
      <c r="A16" s="1" t="s">
        <v>14</v>
      </c>
    </row>
    <row r="17" spans="1:9" x14ac:dyDescent="0.2">
      <c r="A17" s="2" t="s">
        <v>15</v>
      </c>
      <c r="I17" s="4"/>
    </row>
    <row r="18" spans="1:9" x14ac:dyDescent="0.2">
      <c r="A18" s="2" t="s">
        <v>18</v>
      </c>
    </row>
    <row r="19" spans="1:9" x14ac:dyDescent="0.2">
      <c r="A19" s="2" t="s">
        <v>19</v>
      </c>
    </row>
    <row r="20" spans="1:9" x14ac:dyDescent="0.2">
      <c r="A20" s="2" t="s">
        <v>20</v>
      </c>
    </row>
    <row r="22" spans="1:9" x14ac:dyDescent="0.2">
      <c r="B22" s="2" t="s">
        <v>21</v>
      </c>
    </row>
    <row r="24" spans="1:9" x14ac:dyDescent="0.2">
      <c r="A24" s="2" t="s">
        <v>22</v>
      </c>
    </row>
    <row r="26" spans="1:9" x14ac:dyDescent="0.2">
      <c r="B26" s="2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zoomScale="120" zoomScaleNormal="120" workbookViewId="0">
      <selection activeCell="B16" sqref="B16"/>
    </sheetView>
  </sheetViews>
  <sheetFormatPr baseColWidth="10" defaultColWidth="11" defaultRowHeight="14.25" x14ac:dyDescent="0.2"/>
  <cols>
    <col min="1" max="6" width="11" style="2"/>
    <col min="7" max="7" width="12.25" style="2" customWidth="1"/>
    <col min="8" max="8" width="11" style="2"/>
    <col min="9" max="9" width="15.5" style="2" bestFit="1" customWidth="1"/>
    <col min="10" max="16384" width="11" style="2"/>
  </cols>
  <sheetData>
    <row r="1" spans="1:10" ht="15" x14ac:dyDescent="0.25">
      <c r="A1" s="1" t="s">
        <v>1</v>
      </c>
      <c r="H1" s="1" t="s">
        <v>13</v>
      </c>
    </row>
    <row r="2" spans="1:10" x14ac:dyDescent="0.2">
      <c r="I2" s="9"/>
    </row>
    <row r="3" spans="1:10" x14ac:dyDescent="0.2">
      <c r="H3" s="2" t="s">
        <v>16</v>
      </c>
      <c r="I3" s="9">
        <v>4000</v>
      </c>
    </row>
    <row r="4" spans="1:10" x14ac:dyDescent="0.2">
      <c r="H4" s="2" t="s">
        <v>17</v>
      </c>
      <c r="I4" s="9">
        <f>400+1600+800</f>
        <v>2800</v>
      </c>
    </row>
    <row r="5" spans="1:10" x14ac:dyDescent="0.2">
      <c r="H5" s="2" t="s">
        <v>24</v>
      </c>
      <c r="I5" s="9">
        <f>I3-I4</f>
        <v>1200</v>
      </c>
    </row>
    <row r="6" spans="1:10" x14ac:dyDescent="0.2">
      <c r="I6" s="9"/>
    </row>
    <row r="7" spans="1:10" x14ac:dyDescent="0.2">
      <c r="H7" s="2" t="s">
        <v>42</v>
      </c>
      <c r="I7" s="9">
        <v>40320000</v>
      </c>
    </row>
    <row r="8" spans="1:10" x14ac:dyDescent="0.2">
      <c r="I8" s="9"/>
    </row>
    <row r="9" spans="1:10" x14ac:dyDescent="0.2">
      <c r="H9" s="2" t="s">
        <v>40</v>
      </c>
      <c r="I9" s="10">
        <f>I7/I5</f>
        <v>33600</v>
      </c>
      <c r="J9" s="2" t="s">
        <v>39</v>
      </c>
    </row>
    <row r="10" spans="1:10" x14ac:dyDescent="0.2">
      <c r="H10" s="2" t="s">
        <v>41</v>
      </c>
      <c r="I10" s="10">
        <f>I9*I3</f>
        <v>134400000</v>
      </c>
    </row>
    <row r="12" spans="1:10" x14ac:dyDescent="0.2">
      <c r="I12" s="9"/>
    </row>
    <row r="15" spans="1:10" x14ac:dyDescent="0.2">
      <c r="B15" s="2" t="s">
        <v>43</v>
      </c>
      <c r="C15" s="10">
        <f>(36000-I9)*I5</f>
        <v>2880000</v>
      </c>
    </row>
    <row r="20" spans="9:9" x14ac:dyDescent="0.2">
      <c r="I20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"/>
  <sheetViews>
    <sheetView topLeftCell="A12" zoomScale="110" zoomScaleNormal="110" workbookViewId="0">
      <selection activeCell="A28" sqref="A28"/>
    </sheetView>
  </sheetViews>
  <sheetFormatPr baseColWidth="10" defaultColWidth="11" defaultRowHeight="14.25" x14ac:dyDescent="0.2"/>
  <cols>
    <col min="1" max="16384" width="11" style="2"/>
  </cols>
  <sheetData>
    <row r="1" spans="1:10" ht="15" x14ac:dyDescent="0.25">
      <c r="A1" s="1" t="s">
        <v>2</v>
      </c>
      <c r="I1" s="1" t="s">
        <v>13</v>
      </c>
    </row>
    <row r="2" spans="1:10" x14ac:dyDescent="0.2">
      <c r="I2" s="2" t="s">
        <v>16</v>
      </c>
      <c r="J2" s="2">
        <v>200</v>
      </c>
    </row>
    <row r="3" spans="1:10" x14ac:dyDescent="0.2">
      <c r="I3" s="2" t="s">
        <v>17</v>
      </c>
      <c r="J3" s="2">
        <f>10+5+10+38+37+10%*J2</f>
        <v>120</v>
      </c>
    </row>
    <row r="4" spans="1:10" x14ac:dyDescent="0.2">
      <c r="I4" s="2" t="s">
        <v>24</v>
      </c>
      <c r="J4" s="2">
        <f>J2-J3</f>
        <v>80</v>
      </c>
    </row>
    <row r="6" spans="1:10" x14ac:dyDescent="0.2">
      <c r="I6" s="2" t="s">
        <v>25</v>
      </c>
      <c r="J6" s="10">
        <f>4000+1000+1000+300+900+800+2000</f>
        <v>10000</v>
      </c>
    </row>
    <row r="8" spans="1:10" x14ac:dyDescent="0.2">
      <c r="I8" s="2" t="s">
        <v>44</v>
      </c>
    </row>
    <row r="9" spans="1:10" x14ac:dyDescent="0.2">
      <c r="I9" s="2" t="s">
        <v>40</v>
      </c>
      <c r="J9" s="2">
        <f>J6/J4</f>
        <v>125</v>
      </c>
    </row>
    <row r="10" spans="1:10" x14ac:dyDescent="0.2">
      <c r="I10" s="2" t="s">
        <v>41</v>
      </c>
      <c r="J10" s="10">
        <f>J9*J2</f>
        <v>25000</v>
      </c>
    </row>
    <row r="12" spans="1:10" x14ac:dyDescent="0.2">
      <c r="I12" s="2" t="s">
        <v>45</v>
      </c>
    </row>
    <row r="13" spans="1:10" x14ac:dyDescent="0.2">
      <c r="I13" s="2" t="s">
        <v>46</v>
      </c>
    </row>
    <row r="15" spans="1:10" x14ac:dyDescent="0.2">
      <c r="I15" s="2" t="s">
        <v>47</v>
      </c>
    </row>
    <row r="17" spans="1:10" x14ac:dyDescent="0.2">
      <c r="I17" s="2" t="s">
        <v>48</v>
      </c>
      <c r="J17" s="2">
        <f>5000/80+125</f>
        <v>187.5</v>
      </c>
    </row>
    <row r="18" spans="1:10" x14ac:dyDescent="0.2">
      <c r="I18" s="2" t="s">
        <v>48</v>
      </c>
      <c r="J18" s="2">
        <v>188</v>
      </c>
    </row>
    <row r="19" spans="1:10" x14ac:dyDescent="0.2">
      <c r="A19" s="2" t="s">
        <v>49</v>
      </c>
    </row>
    <row r="20" spans="1:10" x14ac:dyDescent="0.2">
      <c r="A20" s="2" t="s">
        <v>16</v>
      </c>
      <c r="B20" s="2">
        <v>200</v>
      </c>
      <c r="D20" s="2" t="s">
        <v>25</v>
      </c>
      <c r="E20" s="10">
        <f>J6</f>
        <v>10000</v>
      </c>
    </row>
    <row r="21" spans="1:10" x14ac:dyDescent="0.2">
      <c r="A21" s="2" t="s">
        <v>17</v>
      </c>
      <c r="B21" s="2">
        <f>10*1.15+5+10*1.2+38+37+10%*J2</f>
        <v>123.5</v>
      </c>
    </row>
    <row r="22" spans="1:10" x14ac:dyDescent="0.2">
      <c r="A22" s="2" t="s">
        <v>24</v>
      </c>
      <c r="B22" s="2">
        <f>B20-B21</f>
        <v>76.5</v>
      </c>
      <c r="D22" s="2" t="s">
        <v>40</v>
      </c>
      <c r="E22" s="2">
        <f>E20/B22</f>
        <v>130.718954248366</v>
      </c>
      <c r="F22" s="2">
        <v>131</v>
      </c>
    </row>
    <row r="23" spans="1:10" x14ac:dyDescent="0.2">
      <c r="D23" s="2" t="s">
        <v>41</v>
      </c>
      <c r="E23" s="10"/>
      <c r="F23" s="2">
        <f>F22*B20</f>
        <v>26200</v>
      </c>
    </row>
    <row r="24" spans="1:10" x14ac:dyDescent="0.2">
      <c r="B24" s="10"/>
    </row>
    <row r="25" spans="1:10" x14ac:dyDescent="0.2">
      <c r="A25" s="2" t="s">
        <v>50</v>
      </c>
    </row>
    <row r="26" spans="1:10" x14ac:dyDescent="0.2">
      <c r="A26" s="2" t="s">
        <v>51</v>
      </c>
    </row>
    <row r="27" spans="1:10" x14ac:dyDescent="0.2">
      <c r="A27" s="2" t="s">
        <v>52</v>
      </c>
    </row>
    <row r="28" spans="1:10" x14ac:dyDescent="0.2">
      <c r="B28" s="1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8"/>
  <sheetViews>
    <sheetView topLeftCell="A10" zoomScale="110" zoomScaleNormal="110" workbookViewId="0">
      <selection activeCell="D29" sqref="D29"/>
    </sheetView>
  </sheetViews>
  <sheetFormatPr baseColWidth="10" defaultColWidth="11" defaultRowHeight="14.25" x14ac:dyDescent="0.2"/>
  <cols>
    <col min="1" max="4" width="11" style="2"/>
    <col min="5" max="5" width="12" style="2" bestFit="1" customWidth="1"/>
    <col min="6" max="7" width="11" style="2"/>
    <col min="8" max="8" width="6.625" style="2" customWidth="1"/>
    <col min="9" max="16384" width="11" style="2"/>
  </cols>
  <sheetData>
    <row r="1" spans="1:10" ht="15" x14ac:dyDescent="0.25">
      <c r="A1" s="1" t="s">
        <v>3</v>
      </c>
      <c r="I1" s="2" t="s">
        <v>13</v>
      </c>
    </row>
    <row r="2" spans="1:10" x14ac:dyDescent="0.2">
      <c r="I2" s="2" t="s">
        <v>16</v>
      </c>
      <c r="J2" s="13">
        <v>25</v>
      </c>
    </row>
    <row r="3" spans="1:10" x14ac:dyDescent="0.2">
      <c r="I3" s="2" t="s">
        <v>17</v>
      </c>
      <c r="J3" s="13">
        <f>8+3.25+2.5</f>
        <v>13.75</v>
      </c>
    </row>
    <row r="4" spans="1:10" x14ac:dyDescent="0.2">
      <c r="I4" s="2" t="s">
        <v>24</v>
      </c>
      <c r="J4" s="13">
        <f>J2-J3</f>
        <v>11.25</v>
      </c>
    </row>
    <row r="6" spans="1:10" x14ac:dyDescent="0.2">
      <c r="I6" s="2" t="s">
        <v>42</v>
      </c>
      <c r="J6" s="10">
        <f>25000+40000+70000</f>
        <v>135000</v>
      </c>
    </row>
    <row r="8" spans="1:10" x14ac:dyDescent="0.2">
      <c r="I8" s="2" t="s">
        <v>44</v>
      </c>
      <c r="J8" s="2" t="s">
        <v>45</v>
      </c>
    </row>
    <row r="9" spans="1:10" x14ac:dyDescent="0.2">
      <c r="I9" s="2" t="s">
        <v>53</v>
      </c>
      <c r="J9" s="9">
        <v>22000</v>
      </c>
    </row>
    <row r="11" spans="1:10" x14ac:dyDescent="0.2">
      <c r="I11" s="2" t="s">
        <v>40</v>
      </c>
      <c r="J11" s="9">
        <f>J6/J4</f>
        <v>12000</v>
      </c>
    </row>
    <row r="12" spans="1:10" x14ac:dyDescent="0.2">
      <c r="I12" s="2" t="s">
        <v>41</v>
      </c>
      <c r="J12" s="2">
        <f>J11*J2</f>
        <v>300000</v>
      </c>
    </row>
    <row r="13" spans="1:10" x14ac:dyDescent="0.2">
      <c r="I13" s="2" t="s">
        <v>54</v>
      </c>
      <c r="J13" s="9">
        <f>(J9-J11)*J4</f>
        <v>112500</v>
      </c>
    </row>
    <row r="15" spans="1:10" x14ac:dyDescent="0.2">
      <c r="I15" s="2" t="s">
        <v>49</v>
      </c>
    </row>
    <row r="16" spans="1:10" x14ac:dyDescent="0.2">
      <c r="I16" s="2" t="s">
        <v>16</v>
      </c>
      <c r="J16" s="13">
        <v>25</v>
      </c>
    </row>
    <row r="17" spans="1:10" x14ac:dyDescent="0.2">
      <c r="I17" s="2" t="s">
        <v>17</v>
      </c>
      <c r="J17" s="13">
        <f>8+3.25+2.5</f>
        <v>13.75</v>
      </c>
    </row>
    <row r="18" spans="1:10" x14ac:dyDescent="0.2">
      <c r="I18" s="2" t="s">
        <v>24</v>
      </c>
      <c r="J18" s="13">
        <f>J16-J17</f>
        <v>11.25</v>
      </c>
    </row>
    <row r="20" spans="1:10" x14ac:dyDescent="0.2">
      <c r="I20" s="2" t="s">
        <v>42</v>
      </c>
      <c r="J20" s="10">
        <f>25000+40000+70000+11250</f>
        <v>146250</v>
      </c>
    </row>
    <row r="21" spans="1:10" x14ac:dyDescent="0.2">
      <c r="I21" s="2" t="s">
        <v>40</v>
      </c>
      <c r="J21" s="9">
        <f>J20/J18</f>
        <v>13000</v>
      </c>
    </row>
    <row r="22" spans="1:10" x14ac:dyDescent="0.2">
      <c r="A22" s="2" t="s">
        <v>49</v>
      </c>
      <c r="D22" s="2" t="s">
        <v>58</v>
      </c>
      <c r="I22" s="2" t="s">
        <v>41</v>
      </c>
      <c r="J22" s="10">
        <f>J21*J16</f>
        <v>325000</v>
      </c>
    </row>
    <row r="23" spans="1:10" x14ac:dyDescent="0.2">
      <c r="A23" s="2" t="s">
        <v>57</v>
      </c>
      <c r="B23" s="10">
        <f>J25*J16</f>
        <v>575000</v>
      </c>
      <c r="D23" s="2" t="s">
        <v>59</v>
      </c>
      <c r="E23" s="9">
        <v>11250</v>
      </c>
    </row>
    <row r="24" spans="1:10" x14ac:dyDescent="0.2">
      <c r="D24" s="2" t="s">
        <v>60</v>
      </c>
      <c r="E24" s="2" t="s">
        <v>61</v>
      </c>
      <c r="I24" s="2" t="s">
        <v>55</v>
      </c>
    </row>
    <row r="25" spans="1:10" x14ac:dyDescent="0.2">
      <c r="I25" s="2" t="s">
        <v>56</v>
      </c>
      <c r="J25" s="10">
        <f>112500/11.25+13000</f>
        <v>23000</v>
      </c>
    </row>
    <row r="26" spans="1:10" x14ac:dyDescent="0.2">
      <c r="D26" s="2" t="s">
        <v>62</v>
      </c>
      <c r="E26" s="2" t="s">
        <v>63</v>
      </c>
    </row>
    <row r="28" spans="1:10" x14ac:dyDescent="0.2">
      <c r="D28" s="2" t="s">
        <v>64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8"/>
  <sheetViews>
    <sheetView workbookViewId="0">
      <selection activeCell="D7" sqref="D7"/>
    </sheetView>
  </sheetViews>
  <sheetFormatPr baseColWidth="10" defaultColWidth="11" defaultRowHeight="14.25" x14ac:dyDescent="0.2"/>
  <cols>
    <col min="1" max="16384" width="11" style="2"/>
  </cols>
  <sheetData>
    <row r="1" spans="1:12" ht="15" x14ac:dyDescent="0.25">
      <c r="A1" s="1" t="s">
        <v>4</v>
      </c>
      <c r="I1" s="2" t="s">
        <v>13</v>
      </c>
    </row>
    <row r="2" spans="1:12" x14ac:dyDescent="0.2">
      <c r="I2" s="2" t="s">
        <v>65</v>
      </c>
      <c r="K2" s="2">
        <v>4.0999999999999996</v>
      </c>
      <c r="L2" s="2" t="s">
        <v>66</v>
      </c>
    </row>
    <row r="4" spans="1:12" x14ac:dyDescent="0.2">
      <c r="I4" s="2" t="s">
        <v>67</v>
      </c>
    </row>
    <row r="5" spans="1:12" x14ac:dyDescent="0.2">
      <c r="I5" s="2" t="s">
        <v>68</v>
      </c>
      <c r="J5" s="3" t="s">
        <v>70</v>
      </c>
    </row>
    <row r="6" spans="1:12" x14ac:dyDescent="0.2">
      <c r="I6" s="2" t="s">
        <v>69</v>
      </c>
      <c r="J6" s="4">
        <v>180000</v>
      </c>
      <c r="K6" s="2" t="s">
        <v>75</v>
      </c>
    </row>
    <row r="7" spans="1:12" x14ac:dyDescent="0.2">
      <c r="I7" s="2" t="s">
        <v>71</v>
      </c>
      <c r="J7" s="4">
        <v>165000</v>
      </c>
      <c r="K7" s="2" t="s">
        <v>75</v>
      </c>
    </row>
    <row r="8" spans="1:12" x14ac:dyDescent="0.2">
      <c r="I8" s="2" t="s">
        <v>72</v>
      </c>
      <c r="J8" s="11">
        <f>25%*420000</f>
        <v>105000</v>
      </c>
      <c r="K8" s="2" t="s">
        <v>75</v>
      </c>
    </row>
    <row r="9" spans="1:12" x14ac:dyDescent="0.2">
      <c r="I9" s="2" t="s">
        <v>73</v>
      </c>
      <c r="J9" s="11">
        <v>165000</v>
      </c>
      <c r="K9" s="2" t="s">
        <v>74</v>
      </c>
    </row>
    <row r="10" spans="1:12" x14ac:dyDescent="0.2">
      <c r="I10" s="2" t="s">
        <v>72</v>
      </c>
      <c r="J10" s="11">
        <v>100000</v>
      </c>
      <c r="K10" s="2" t="s">
        <v>75</v>
      </c>
    </row>
    <row r="11" spans="1:12" x14ac:dyDescent="0.2">
      <c r="I11" s="2" t="s">
        <v>76</v>
      </c>
      <c r="J11" s="11">
        <v>50000</v>
      </c>
      <c r="K11" s="2" t="s">
        <v>74</v>
      </c>
    </row>
    <row r="12" spans="1:12" x14ac:dyDescent="0.2">
      <c r="I12" s="2" t="s">
        <v>77</v>
      </c>
      <c r="J12" s="4">
        <f>SUM(J6:J11)</f>
        <v>765000</v>
      </c>
    </row>
    <row r="13" spans="1:12" x14ac:dyDescent="0.2">
      <c r="I13" s="2" t="s">
        <v>78</v>
      </c>
      <c r="J13" s="4">
        <v>150000</v>
      </c>
    </row>
    <row r="14" spans="1:12" x14ac:dyDescent="0.2">
      <c r="I14" s="2" t="s">
        <v>79</v>
      </c>
      <c r="J14" s="3">
        <f>J12/J13</f>
        <v>5.0999999999999996</v>
      </c>
    </row>
    <row r="16" spans="1:12" x14ac:dyDescent="0.2">
      <c r="I16" s="2" t="s">
        <v>80</v>
      </c>
    </row>
    <row r="17" spans="1:10" x14ac:dyDescent="0.2">
      <c r="I17" s="2" t="s">
        <v>81</v>
      </c>
      <c r="J17" s="2">
        <f>K2+(J9+J11)/J13</f>
        <v>5.5333333333333332</v>
      </c>
    </row>
    <row r="19" spans="1:10" x14ac:dyDescent="0.2">
      <c r="I19" s="2" t="s">
        <v>82</v>
      </c>
    </row>
    <row r="20" spans="1:10" x14ac:dyDescent="0.2">
      <c r="I20" s="2" t="s">
        <v>83</v>
      </c>
    </row>
    <row r="21" spans="1:10" x14ac:dyDescent="0.2">
      <c r="I21" s="2" t="s">
        <v>84</v>
      </c>
    </row>
    <row r="24" spans="1:10" x14ac:dyDescent="0.2">
      <c r="A24" s="2" t="s">
        <v>45</v>
      </c>
    </row>
    <row r="25" spans="1:10" x14ac:dyDescent="0.2">
      <c r="A25" s="2" t="s">
        <v>85</v>
      </c>
    </row>
    <row r="26" spans="1:10" x14ac:dyDescent="0.2">
      <c r="A26" s="2" t="s">
        <v>86</v>
      </c>
    </row>
    <row r="28" spans="1:10" x14ac:dyDescent="0.2">
      <c r="A28" s="2" t="s">
        <v>68</v>
      </c>
      <c r="B28" s="3" t="s">
        <v>70</v>
      </c>
    </row>
    <row r="29" spans="1:10" x14ac:dyDescent="0.2">
      <c r="A29" s="2" t="s">
        <v>32</v>
      </c>
      <c r="B29" s="4">
        <f>50000*6</f>
        <v>300000</v>
      </c>
    </row>
    <row r="30" spans="1:10" x14ac:dyDescent="0.2">
      <c r="A30" s="2" t="s">
        <v>69</v>
      </c>
      <c r="B30" s="4">
        <f>180000/150000*50000</f>
        <v>60000</v>
      </c>
    </row>
    <row r="31" spans="1:10" x14ac:dyDescent="0.2">
      <c r="A31" s="2" t="s">
        <v>71</v>
      </c>
      <c r="B31" s="4">
        <f>165000/150000*50000</f>
        <v>55000.000000000007</v>
      </c>
    </row>
    <row r="32" spans="1:10" x14ac:dyDescent="0.2">
      <c r="A32" s="2" t="s">
        <v>72</v>
      </c>
      <c r="B32" s="11">
        <f>(25%*420000)/150000*50000</f>
        <v>35000</v>
      </c>
    </row>
    <row r="33" spans="1:4" x14ac:dyDescent="0.2">
      <c r="A33" s="2" t="s">
        <v>73</v>
      </c>
      <c r="B33" s="11">
        <v>40000</v>
      </c>
    </row>
    <row r="34" spans="1:4" x14ac:dyDescent="0.2">
      <c r="A34" s="2" t="s">
        <v>72</v>
      </c>
      <c r="B34" s="11">
        <f>100000/150000*50000</f>
        <v>33333.333333333328</v>
      </c>
    </row>
    <row r="35" spans="1:4" x14ac:dyDescent="0.2">
      <c r="A35" s="2" t="s">
        <v>76</v>
      </c>
      <c r="B35" s="11">
        <v>0</v>
      </c>
      <c r="D35" s="2" t="s">
        <v>87</v>
      </c>
    </row>
    <row r="36" spans="1:4" x14ac:dyDescent="0.2">
      <c r="A36" s="2" t="s">
        <v>77</v>
      </c>
      <c r="B36" s="4">
        <f>SUM(B30:B35)</f>
        <v>223333.33333333331</v>
      </c>
      <c r="D36" s="2" t="s">
        <v>88</v>
      </c>
    </row>
    <row r="37" spans="1:4" x14ac:dyDescent="0.2">
      <c r="A37" s="2" t="s">
        <v>54</v>
      </c>
      <c r="B37" s="4">
        <f>B29-B36</f>
        <v>76666.666666666686</v>
      </c>
      <c r="D37" s="2" t="s">
        <v>89</v>
      </c>
    </row>
    <row r="38" spans="1:4" x14ac:dyDescent="0.2">
      <c r="B38" s="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A2" sqref="A2"/>
    </sheetView>
  </sheetViews>
  <sheetFormatPr baseColWidth="10" defaultColWidth="11" defaultRowHeight="14.25" x14ac:dyDescent="0.2"/>
  <cols>
    <col min="1" max="16384" width="11" style="2"/>
  </cols>
  <sheetData>
    <row r="1" spans="1:1" ht="15" x14ac:dyDescent="0.25">
      <c r="A1" s="1" t="s">
        <v>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A2" sqref="A2"/>
    </sheetView>
  </sheetViews>
  <sheetFormatPr baseColWidth="10" defaultColWidth="11" defaultRowHeight="14.25" x14ac:dyDescent="0.2"/>
  <cols>
    <col min="1" max="16384" width="11" style="2"/>
  </cols>
  <sheetData>
    <row r="1" spans="1:1" ht="15" x14ac:dyDescent="0.25">
      <c r="A1" s="1" t="s">
        <v>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4"/>
  <sheetViews>
    <sheetView tabSelected="1" topLeftCell="A13" workbookViewId="0">
      <selection activeCell="E32" sqref="E32"/>
    </sheetView>
  </sheetViews>
  <sheetFormatPr baseColWidth="10" defaultColWidth="11" defaultRowHeight="14.25" x14ac:dyDescent="0.2"/>
  <cols>
    <col min="1" max="16384" width="11" style="2"/>
  </cols>
  <sheetData>
    <row r="1" spans="1:8" ht="15" x14ac:dyDescent="0.25">
      <c r="A1" s="1" t="s">
        <v>7</v>
      </c>
    </row>
    <row r="15" spans="1:8" x14ac:dyDescent="0.2">
      <c r="A15" s="2" t="s">
        <v>13</v>
      </c>
      <c r="G15" s="2" t="s">
        <v>93</v>
      </c>
    </row>
    <row r="16" spans="1:8" x14ac:dyDescent="0.2">
      <c r="A16" s="2" t="s">
        <v>90</v>
      </c>
      <c r="B16" s="9">
        <v>15000</v>
      </c>
      <c r="D16" s="2" t="s">
        <v>69</v>
      </c>
      <c r="E16" s="9">
        <v>75000</v>
      </c>
      <c r="G16" s="2" t="s">
        <v>68</v>
      </c>
      <c r="H16" s="10" t="s">
        <v>70</v>
      </c>
    </row>
    <row r="17" spans="1:8" x14ac:dyDescent="0.2">
      <c r="A17" s="2" t="s">
        <v>16</v>
      </c>
      <c r="B17" s="2">
        <v>25</v>
      </c>
      <c r="D17" s="2" t="s">
        <v>71</v>
      </c>
      <c r="E17" s="9">
        <v>97500</v>
      </c>
      <c r="G17" s="2" t="s">
        <v>57</v>
      </c>
      <c r="H17" s="10">
        <f>5000*20</f>
        <v>100000</v>
      </c>
    </row>
    <row r="18" spans="1:8" x14ac:dyDescent="0.2">
      <c r="D18" s="2" t="s">
        <v>91</v>
      </c>
      <c r="E18" s="9">
        <v>52500</v>
      </c>
      <c r="G18" s="2" t="s">
        <v>69</v>
      </c>
      <c r="H18" s="10">
        <f>E16/B16*5000</f>
        <v>25000</v>
      </c>
    </row>
    <row r="19" spans="1:8" x14ac:dyDescent="0.2">
      <c r="D19" s="2" t="s">
        <v>60</v>
      </c>
      <c r="E19" s="9">
        <v>90000</v>
      </c>
      <c r="G19" s="2" t="s">
        <v>71</v>
      </c>
      <c r="H19" s="10">
        <f>E17/B16*5000*1.4</f>
        <v>45500</v>
      </c>
    </row>
    <row r="20" spans="1:8" x14ac:dyDescent="0.2">
      <c r="D20" s="2" t="s">
        <v>92</v>
      </c>
      <c r="E20" s="9">
        <f>SUM(E16:E19)</f>
        <v>315000</v>
      </c>
      <c r="G20" s="2" t="s">
        <v>91</v>
      </c>
      <c r="H20" s="10">
        <f>E18/B16*5000*1.3</f>
        <v>22750</v>
      </c>
    </row>
    <row r="21" spans="1:8" x14ac:dyDescent="0.2">
      <c r="D21" s="2" t="s">
        <v>79</v>
      </c>
      <c r="E21" s="13">
        <f>E20/B16</f>
        <v>21</v>
      </c>
      <c r="G21" s="2" t="s">
        <v>60</v>
      </c>
      <c r="H21" s="10">
        <v>5000</v>
      </c>
    </row>
    <row r="22" spans="1:8" x14ac:dyDescent="0.2">
      <c r="G22" s="2" t="s">
        <v>95</v>
      </c>
      <c r="H22" s="10">
        <f>SUM(H18:H21)</f>
        <v>98250</v>
      </c>
    </row>
    <row r="23" spans="1:8" x14ac:dyDescent="0.2">
      <c r="G23" s="2" t="s">
        <v>54</v>
      </c>
      <c r="H23" s="10">
        <f>H17-H22</f>
        <v>1750</v>
      </c>
    </row>
    <row r="24" spans="1:8" x14ac:dyDescent="0.2">
      <c r="B24" s="2" t="s">
        <v>94</v>
      </c>
      <c r="H24" s="10"/>
    </row>
    <row r="25" spans="1:8" x14ac:dyDescent="0.2">
      <c r="B25" s="2" t="s">
        <v>68</v>
      </c>
      <c r="C25" s="10" t="s">
        <v>70</v>
      </c>
      <c r="H25" s="10"/>
    </row>
    <row r="26" spans="1:8" x14ac:dyDescent="0.2">
      <c r="B26" s="2" t="s">
        <v>57</v>
      </c>
      <c r="C26" s="10">
        <f>5000*20</f>
        <v>100000</v>
      </c>
      <c r="H26" s="10"/>
    </row>
    <row r="27" spans="1:8" x14ac:dyDescent="0.2">
      <c r="B27" s="2" t="s">
        <v>69</v>
      </c>
      <c r="C27" s="10">
        <f>H18</f>
        <v>25000</v>
      </c>
    </row>
    <row r="28" spans="1:8" x14ac:dyDescent="0.2">
      <c r="B28" s="2" t="s">
        <v>71</v>
      </c>
      <c r="C28" s="10">
        <f>E17/B16*5000*1.2</f>
        <v>39000</v>
      </c>
      <c r="E28" s="2" t="s">
        <v>96</v>
      </c>
    </row>
    <row r="29" spans="1:8" x14ac:dyDescent="0.2">
      <c r="B29" s="2" t="s">
        <v>91</v>
      </c>
      <c r="C29" s="10">
        <f>H20</f>
        <v>22750</v>
      </c>
      <c r="E29" s="2" t="s">
        <v>97</v>
      </c>
    </row>
    <row r="30" spans="1:8" x14ac:dyDescent="0.2">
      <c r="B30" s="2" t="s">
        <v>60</v>
      </c>
      <c r="C30" s="10">
        <v>10000</v>
      </c>
      <c r="E30" s="2" t="s">
        <v>98</v>
      </c>
    </row>
    <row r="31" spans="1:8" x14ac:dyDescent="0.2">
      <c r="B31" s="2" t="s">
        <v>95</v>
      </c>
      <c r="C31" s="10">
        <f>SUM(C27:C30)</f>
        <v>96750</v>
      </c>
      <c r="E31" s="2" t="s">
        <v>99</v>
      </c>
    </row>
    <row r="32" spans="1:8" x14ac:dyDescent="0.2">
      <c r="B32" s="2" t="s">
        <v>54</v>
      </c>
      <c r="C32" s="10">
        <f>C26-C31</f>
        <v>3250</v>
      </c>
    </row>
    <row r="33" spans="3:3" x14ac:dyDescent="0.2">
      <c r="C33" s="10"/>
    </row>
    <row r="34" spans="3:3" x14ac:dyDescent="0.2">
      <c r="C34" s="10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>
      <selection activeCell="A2" sqref="A2"/>
    </sheetView>
  </sheetViews>
  <sheetFormatPr baseColWidth="10" defaultColWidth="11" defaultRowHeight="14.25" x14ac:dyDescent="0.2"/>
  <cols>
    <col min="1" max="16384" width="11" style="2"/>
  </cols>
  <sheetData>
    <row r="1" spans="1:1" ht="15" x14ac:dyDescent="0.25">
      <c r="A1" s="1" t="s">
        <v>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A2" sqref="A2"/>
    </sheetView>
  </sheetViews>
  <sheetFormatPr baseColWidth="10" defaultColWidth="11" defaultRowHeight="14.25" x14ac:dyDescent="0.2"/>
  <cols>
    <col min="1" max="16384" width="11" style="2"/>
  </cols>
  <sheetData>
    <row r="1" spans="1:1" ht="15" x14ac:dyDescent="0.25">
      <c r="A1" s="1" t="s">
        <v>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>
      <selection activeCell="A2" sqref="A2"/>
    </sheetView>
  </sheetViews>
  <sheetFormatPr baseColWidth="10" defaultColWidth="11" defaultRowHeight="14.25" x14ac:dyDescent="0.2"/>
  <cols>
    <col min="1" max="16384" width="11" style="2"/>
  </cols>
  <sheetData>
    <row r="1" spans="1:1" ht="15" x14ac:dyDescent="0.25">
      <c r="A1" s="1" t="s">
        <v>10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I7" sqref="I7"/>
    </sheetView>
  </sheetViews>
  <sheetFormatPr baseColWidth="10" defaultColWidth="11" defaultRowHeight="14.25" x14ac:dyDescent="0.2"/>
  <cols>
    <col min="1" max="16384" width="11" style="2"/>
  </cols>
  <sheetData>
    <row r="1" spans="1:1" ht="15" x14ac:dyDescent="0.25">
      <c r="A1" s="1" t="s">
        <v>11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>
      <selection activeCell="A2" sqref="A2"/>
    </sheetView>
  </sheetViews>
  <sheetFormatPr baseColWidth="10" defaultColWidth="11" defaultRowHeight="14.25" x14ac:dyDescent="0.2"/>
  <cols>
    <col min="1" max="16384" width="11" style="2"/>
  </cols>
  <sheetData>
    <row r="1" spans="1:1" ht="15" x14ac:dyDescent="0.25">
      <c r="A1" s="1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Caso 01</vt:lpstr>
      <vt:lpstr>Caso 02</vt:lpstr>
      <vt:lpstr>Caso 03</vt:lpstr>
      <vt:lpstr>Caso 04</vt:lpstr>
      <vt:lpstr>Caso 05</vt:lpstr>
      <vt:lpstr>Caso 06</vt:lpstr>
      <vt:lpstr>Caso 07</vt:lpstr>
      <vt:lpstr>Caso 08</vt:lpstr>
      <vt:lpstr>Caso 09</vt:lpstr>
      <vt:lpstr>Caso 10</vt:lpstr>
      <vt:lpstr>Caso 11</vt:lpstr>
      <vt:lpstr>Caso 12</vt:lpstr>
      <vt:lpstr>Caso 13</vt:lpstr>
    </vt:vector>
  </TitlesOfParts>
  <Company>www.intercambiosvirtuales.org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ORIA</dc:creator>
  <cp:lastModifiedBy>S4-202</cp:lastModifiedBy>
  <dcterms:created xsi:type="dcterms:W3CDTF">2010-10-23T16:17:03Z</dcterms:created>
  <dcterms:modified xsi:type="dcterms:W3CDTF">2025-11-18T00:56:27Z</dcterms:modified>
</cp:coreProperties>
</file>