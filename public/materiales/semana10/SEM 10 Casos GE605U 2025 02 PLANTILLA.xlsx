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IIS UNI 2025 01\GE605U 2025 01\Semana 10\"/>
    </mc:Choice>
  </mc:AlternateContent>
  <xr:revisionPtr revIDLastSave="0" documentId="13_ncr:1_{AD7D6FB1-AA38-40D3-B590-27DF6D962E34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Apuntes" sheetId="32" r:id="rId1"/>
    <sheet name="Caso 01" sheetId="27" r:id="rId2"/>
    <sheet name="Caso 02" sheetId="28" r:id="rId3"/>
    <sheet name="Caso 03" sheetId="24" r:id="rId4"/>
    <sheet name="Caso 04" sheetId="33" r:id="rId5"/>
    <sheet name="Caso 05" sheetId="34" r:id="rId6"/>
  </sheets>
  <definedNames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</definedNames>
  <calcPr calcId="191029"/>
</workbook>
</file>

<file path=xl/calcChain.xml><?xml version="1.0" encoding="utf-8"?>
<calcChain xmlns="http://schemas.openxmlformats.org/spreadsheetml/2006/main">
  <c r="M39" i="32" l="1"/>
  <c r="I39" i="32"/>
  <c r="E39" i="32"/>
  <c r="M38" i="32"/>
  <c r="M37" i="32"/>
  <c r="M36" i="32"/>
  <c r="L38" i="32"/>
  <c r="L37" i="32"/>
  <c r="L36" i="32"/>
  <c r="M5" i="28" l="1"/>
  <c r="K6" i="28"/>
  <c r="M6" i="28" s="1"/>
  <c r="K5" i="28"/>
  <c r="K4" i="28"/>
  <c r="M4" i="28" s="1"/>
  <c r="M7" i="28" s="1"/>
  <c r="K35" i="27"/>
  <c r="L10" i="27"/>
  <c r="N10" i="27" s="1"/>
  <c r="L24" i="27" s="1"/>
  <c r="L9" i="27"/>
  <c r="N9" i="27" s="1"/>
  <c r="L5" i="27"/>
  <c r="K5" i="27"/>
  <c r="H38" i="32"/>
  <c r="H37" i="32"/>
  <c r="J37" i="32" s="1"/>
  <c r="H36" i="32"/>
  <c r="I36" i="32" s="1"/>
  <c r="D38" i="32"/>
  <c r="F38" i="32" s="1"/>
  <c r="D37" i="32"/>
  <c r="E37" i="32" s="1"/>
  <c r="D36" i="32"/>
  <c r="F36" i="32" s="1"/>
  <c r="L20" i="27" l="1"/>
  <c r="M20" i="27" s="1"/>
  <c r="L19" i="27"/>
  <c r="L32" i="27"/>
  <c r="M32" i="27" s="1"/>
  <c r="O32" i="27" s="1"/>
  <c r="M24" i="27"/>
  <c r="O24" i="27" s="1"/>
  <c r="L25" i="27"/>
  <c r="M25" i="27" s="1"/>
  <c r="O25" i="27" s="1"/>
  <c r="I38" i="32"/>
  <c r="J38" i="32"/>
  <c r="E36" i="32"/>
  <c r="J36" i="32"/>
  <c r="I37" i="32"/>
  <c r="E38" i="32"/>
  <c r="F37" i="32"/>
  <c r="O26" i="27" l="1"/>
  <c r="L31" i="27"/>
  <c r="M31" i="27" s="1"/>
  <c r="O31" i="27" s="1"/>
  <c r="O33" i="27" s="1"/>
  <c r="M19" i="27"/>
  <c r="O20" i="27"/>
  <c r="L41" i="27"/>
  <c r="N41" i="27" s="1"/>
  <c r="P41" i="27" s="1"/>
  <c r="O19" i="27" l="1"/>
  <c r="O21" i="27" s="1"/>
  <c r="O27" i="27" s="1"/>
  <c r="K36" i="27" s="1"/>
  <c r="L40" i="27"/>
  <c r="N40" i="27" s="1"/>
  <c r="P40" i="27" s="1"/>
  <c r="P42" i="27" s="1"/>
</calcChain>
</file>

<file path=xl/sharedStrings.xml><?xml version="1.0" encoding="utf-8"?>
<sst xmlns="http://schemas.openxmlformats.org/spreadsheetml/2006/main" count="116" uniqueCount="81">
  <si>
    <t>Caso  01:</t>
  </si>
  <si>
    <t>Caso 02:</t>
  </si>
  <si>
    <t>Caso 03:</t>
  </si>
  <si>
    <t>PERIODO A PRESUPUESTAR</t>
  </si>
  <si>
    <t>PRESPUESTO ORIGINAL</t>
  </si>
  <si>
    <t>El saldo inicial de un periodo es el saldo final del periodo anterior</t>
  </si>
  <si>
    <t>PREMISAS DEL PRESUPUESTO:</t>
  </si>
  <si>
    <t>Los valores monetarios para el presupuesto no consideran IGV</t>
  </si>
  <si>
    <t>Los valores de las unidades reflejan la estacionalidad del negocio</t>
  </si>
  <si>
    <t>En caso de montos en moneda extranjera utilizar un tipo de cambio en función de la operación y tomado de las proyecciones del MEF</t>
  </si>
  <si>
    <t>Las proyecciones estrategicas se basan de la formulación de los proyectos estratégicos en el Plan Estrategico</t>
  </si>
  <si>
    <t>PRESUPUESTO DE VENTAS</t>
  </si>
  <si>
    <t>Proyección de las unidades a vender por mes por cada tipo de producto y en cada mercado</t>
  </si>
  <si>
    <t>Proyección del precio unitario por cada producto en cada mercado y en función de una política de precios (el precio no puede ser unico para todo el año)</t>
  </si>
  <si>
    <t>Presupuesto de ventas sería en unidades y en valor de ventas totales por mes y por artículo</t>
  </si>
  <si>
    <t>En el caso de empresas de Producción, se realiza el PRESUPUESTO DE PRODUCCION, tomando la cifra de ventas y la política de inventarios</t>
  </si>
  <si>
    <t>se hace el presupuesto de producción en unidades y luego en costos y consumo de recursos sean directos o indirectos</t>
  </si>
  <si>
    <t>Politica de inventarios de productos terminados</t>
  </si>
  <si>
    <t>Cobertura de 15 día de ventas del mes siguiente</t>
  </si>
  <si>
    <t>Producto</t>
  </si>
  <si>
    <t>PA</t>
  </si>
  <si>
    <t>PB</t>
  </si>
  <si>
    <t>PC</t>
  </si>
  <si>
    <t>Inv Inicial</t>
  </si>
  <si>
    <t>Ventas</t>
  </si>
  <si>
    <t>Inv Final</t>
  </si>
  <si>
    <t>Producción</t>
  </si>
  <si>
    <t>Formula: IIPT + PT - V = IFPT</t>
  </si>
  <si>
    <t>PT = IFPT + V - IIPT</t>
  </si>
  <si>
    <t>Caso 04:</t>
  </si>
  <si>
    <t>Caso 05:</t>
  </si>
  <si>
    <t>FECHA DE INICIO DE LA FORMULACION PRESUPUESTAL:</t>
  </si>
  <si>
    <t>Concepto</t>
  </si>
  <si>
    <t>Ventas unid</t>
  </si>
  <si>
    <t>Valor venta</t>
  </si>
  <si>
    <t>Venta Total</t>
  </si>
  <si>
    <t>Alfa</t>
  </si>
  <si>
    <t>Beta</t>
  </si>
  <si>
    <t>PRESUPUESTO DE PRODUCCION EN UNIDADES</t>
  </si>
  <si>
    <t>Produccion</t>
  </si>
  <si>
    <t>IIPT + CPT - IFPT = CV</t>
  </si>
  <si>
    <t>CPT =IFPT+CV-IIPT</t>
  </si>
  <si>
    <t>PROD = IFPT + VENTAS - IIPT</t>
  </si>
  <si>
    <t>PRESUPUESTO DEL CONSUMO DE MATERIALES DE LA PRODUCCION</t>
  </si>
  <si>
    <t>PARA ALFA</t>
  </si>
  <si>
    <t>A</t>
  </si>
  <si>
    <t>B</t>
  </si>
  <si>
    <t>Materiales</t>
  </si>
  <si>
    <t>Cantidad</t>
  </si>
  <si>
    <t>Consumo total</t>
  </si>
  <si>
    <t>Cto Unit</t>
  </si>
  <si>
    <t>CMD Total</t>
  </si>
  <si>
    <t>PARA BETA</t>
  </si>
  <si>
    <t>COSTO TOTAL PRESUPUESTO DE MATERIALES DIRECTOS</t>
  </si>
  <si>
    <t>PRESUPUESTO DE MANO DE OBRA DIRECTA</t>
  </si>
  <si>
    <t>Horas</t>
  </si>
  <si>
    <t>Total Hrs</t>
  </si>
  <si>
    <t>Tasa hora</t>
  </si>
  <si>
    <t>CMOD</t>
  </si>
  <si>
    <t>CIF</t>
  </si>
  <si>
    <t>Costo Prod</t>
  </si>
  <si>
    <t>PRESUPUESTO DE COMPRAS DE MATERIALES</t>
  </si>
  <si>
    <t>Material</t>
  </si>
  <si>
    <t>Consumo</t>
  </si>
  <si>
    <t>Compras</t>
  </si>
  <si>
    <t>Costo Unit</t>
  </si>
  <si>
    <t>Compras S/</t>
  </si>
  <si>
    <t>POR MES DEL 2025 Y POR AÑOS DEL 2026, 2027, 2028</t>
  </si>
  <si>
    <t>Necesitamos los saldos iniciales del 2025</t>
  </si>
  <si>
    <t>Tenemos que proyectar los saldos iniciales del 2025</t>
  </si>
  <si>
    <t>NOTA:</t>
  </si>
  <si>
    <t>VERIFICAR SI LA PRODUCCION ES FACTIBLE</t>
  </si>
  <si>
    <t>SOLUCION:</t>
  </si>
  <si>
    <t>Mes</t>
  </si>
  <si>
    <t>Enero</t>
  </si>
  <si>
    <t>Febrero</t>
  </si>
  <si>
    <t>Marzo</t>
  </si>
  <si>
    <t>Valor Ven Tot</t>
  </si>
  <si>
    <t>VV unit</t>
  </si>
  <si>
    <t>Partiendo por lo menos de los saldos del 11/24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</si>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</sst>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Pta&quot;;[Red]\-#,##0\ &quot;Pta&quot;"/>
    <numFmt numFmtId="165" formatCode="#,##0_ ;[Red]\-#,##0\ "/>
  </numFmts>
  <fonts count="7" x14ac:knownFonts="1"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0"/>
    <xf numFmtId="0" fontId="2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6" fillId="2" borderId="0" xfId="0" applyFont="1" applyFill="1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6" fillId="0" borderId="0" xfId="0" applyFont="1"/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/>
  </cellXfs>
  <cellStyles count="11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2 3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Porcentaje 2" xfId="8" xr:uid="{00000000-0005-0000-0000-000008000000}"/>
    <cellStyle name="Porcentual 2" xfId="9" xr:uid="{00000000-0005-0000-0000-000009000000}"/>
    <cellStyle name="Porcentual 3" xfId="10" xr:uid="{00000000-0005-0000-0000-00000A000000}"/>
  </cellStyles>
  <dxfs count="0"/>
  <tableStyles count="1" defaultTableStyle="TableStyleMedium9" defaultPivotStyle="PivotStyleLight16">
    <tableStyle name="Invisible" pivot="0" table="0" count="0" xr9:uid="{736AB73F-75A8-44BD-9BA4-ABC2321464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5</xdr:row>
      <xdr:rowOff>19050</xdr:rowOff>
    </xdr:from>
    <xdr:to>
      <xdr:col>12</xdr:col>
      <xdr:colOff>790575</xdr:colOff>
      <xdr:row>6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E2C4AD6-D80C-49F0-9C05-D491AD465ECC}"/>
            </a:ext>
          </a:extLst>
        </xdr:cNvPr>
        <xdr:cNvSpPr/>
      </xdr:nvSpPr>
      <xdr:spPr>
        <a:xfrm>
          <a:off x="942975" y="923925"/>
          <a:ext cx="9906000" cy="17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1</xdr:col>
      <xdr:colOff>228600</xdr:colOff>
      <xdr:row>4</xdr:row>
      <xdr:rowOff>38100</xdr:rowOff>
    </xdr:from>
    <xdr:to>
      <xdr:col>1</xdr:col>
      <xdr:colOff>238125</xdr:colOff>
      <xdr:row>7</xdr:row>
      <xdr:rowOff>9525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416596DD-F049-4209-9591-AA7ED95C6CC1}"/>
            </a:ext>
          </a:extLst>
        </xdr:cNvPr>
        <xdr:cNvCxnSpPr/>
      </xdr:nvCxnSpPr>
      <xdr:spPr>
        <a:xfrm flipH="1">
          <a:off x="1066800" y="762000"/>
          <a:ext cx="9525" cy="514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657225</xdr:colOff>
      <xdr:row>7</xdr:row>
      <xdr:rowOff>10391</xdr:rowOff>
    </xdr:from>
    <xdr:ext cx="722634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BA848B18-3BB2-46E9-9663-C4FF0F3CDDED}"/>
            </a:ext>
          </a:extLst>
        </xdr:cNvPr>
        <xdr:cNvSpPr txBox="1"/>
      </xdr:nvSpPr>
      <xdr:spPr>
        <a:xfrm>
          <a:off x="657225" y="1241314"/>
          <a:ext cx="7226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07/11/25</a:t>
          </a:r>
        </a:p>
      </xdr:txBody>
    </xdr:sp>
    <xdr:clientData/>
  </xdr:oneCellAnchor>
  <xdr:twoCellAnchor>
    <xdr:from>
      <xdr:col>3</xdr:col>
      <xdr:colOff>552450</xdr:colOff>
      <xdr:row>4</xdr:row>
      <xdr:rowOff>9525</xdr:rowOff>
    </xdr:from>
    <xdr:to>
      <xdr:col>3</xdr:col>
      <xdr:colOff>561975</xdr:colOff>
      <xdr:row>6</xdr:row>
      <xdr:rowOff>161925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FC93F447-D7E2-465E-B57B-289016E7140D}"/>
            </a:ext>
          </a:extLst>
        </xdr:cNvPr>
        <xdr:cNvCxnSpPr/>
      </xdr:nvCxnSpPr>
      <xdr:spPr>
        <a:xfrm flipH="1">
          <a:off x="3067050" y="733425"/>
          <a:ext cx="9525" cy="514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152400</xdr:colOff>
      <xdr:row>6</xdr:row>
      <xdr:rowOff>133350</xdr:rowOff>
    </xdr:from>
    <xdr:ext cx="722634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D1F6EFA-C549-48E4-BB69-412D9BA7E549}"/>
            </a:ext>
          </a:extLst>
        </xdr:cNvPr>
        <xdr:cNvSpPr txBox="1"/>
      </xdr:nvSpPr>
      <xdr:spPr>
        <a:xfrm>
          <a:off x="2719754" y="1188427"/>
          <a:ext cx="7226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01/12/25</a:t>
          </a:r>
        </a:p>
      </xdr:txBody>
    </xdr:sp>
    <xdr:clientData/>
  </xdr:oneCellAnchor>
  <xdr:twoCellAnchor>
    <xdr:from>
      <xdr:col>7</xdr:col>
      <xdr:colOff>600075</xdr:colOff>
      <xdr:row>4</xdr:row>
      <xdr:rowOff>28575</xdr:rowOff>
    </xdr:from>
    <xdr:to>
      <xdr:col>7</xdr:col>
      <xdr:colOff>609600</xdr:colOff>
      <xdr:row>7</xdr:row>
      <xdr:rowOff>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0988EC6-9CA3-4C83-A8B1-00C52E41B996}"/>
            </a:ext>
          </a:extLst>
        </xdr:cNvPr>
        <xdr:cNvCxnSpPr/>
      </xdr:nvCxnSpPr>
      <xdr:spPr>
        <a:xfrm flipH="1">
          <a:off x="6467475" y="752475"/>
          <a:ext cx="9525" cy="514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7</xdr:col>
      <xdr:colOff>200025</xdr:colOff>
      <xdr:row>6</xdr:row>
      <xdr:rowOff>152400</xdr:rowOff>
    </xdr:from>
    <xdr:ext cx="722634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7489D0A-45A3-45DA-88EE-AC686FDB45FE}"/>
            </a:ext>
          </a:extLst>
        </xdr:cNvPr>
        <xdr:cNvSpPr txBox="1"/>
      </xdr:nvSpPr>
      <xdr:spPr>
        <a:xfrm>
          <a:off x="6079548" y="1243445"/>
          <a:ext cx="7226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31/12/25</a:t>
          </a:r>
        </a:p>
      </xdr:txBody>
    </xdr:sp>
    <xdr:clientData/>
  </xdr:oneCellAnchor>
  <xdr:twoCellAnchor>
    <xdr:from>
      <xdr:col>9</xdr:col>
      <xdr:colOff>9525</xdr:colOff>
      <xdr:row>4</xdr:row>
      <xdr:rowOff>0</xdr:rowOff>
    </xdr:from>
    <xdr:to>
      <xdr:col>9</xdr:col>
      <xdr:colOff>19050</xdr:colOff>
      <xdr:row>6</xdr:row>
      <xdr:rowOff>152400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E73146BB-1315-4830-92AD-D2C602A29AD6}"/>
            </a:ext>
          </a:extLst>
        </xdr:cNvPr>
        <xdr:cNvCxnSpPr/>
      </xdr:nvCxnSpPr>
      <xdr:spPr>
        <a:xfrm flipH="1">
          <a:off x="7553325" y="723900"/>
          <a:ext cx="9525" cy="514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3</xdr:row>
      <xdr:rowOff>161925</xdr:rowOff>
    </xdr:from>
    <xdr:to>
      <xdr:col>10</xdr:col>
      <xdr:colOff>66675</xdr:colOff>
      <xdr:row>6</xdr:row>
      <xdr:rowOff>133350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3184409F-C76A-4820-B736-55ADF547DC4E}"/>
            </a:ext>
          </a:extLst>
        </xdr:cNvPr>
        <xdr:cNvCxnSpPr/>
      </xdr:nvCxnSpPr>
      <xdr:spPr>
        <a:xfrm flipH="1">
          <a:off x="8439150" y="704850"/>
          <a:ext cx="9525" cy="514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3</xdr:row>
      <xdr:rowOff>171450</xdr:rowOff>
    </xdr:from>
    <xdr:to>
      <xdr:col>11</xdr:col>
      <xdr:colOff>161925</xdr:colOff>
      <xdr:row>6</xdr:row>
      <xdr:rowOff>142875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C256FA51-D527-4490-8D0C-CE498E356457}"/>
            </a:ext>
          </a:extLst>
        </xdr:cNvPr>
        <xdr:cNvCxnSpPr/>
      </xdr:nvCxnSpPr>
      <xdr:spPr>
        <a:xfrm flipH="1">
          <a:off x="9372600" y="714375"/>
          <a:ext cx="9525" cy="514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8</xdr:col>
      <xdr:colOff>600075</xdr:colOff>
      <xdr:row>6</xdr:row>
      <xdr:rowOff>133350</xdr:rowOff>
    </xdr:from>
    <xdr:ext cx="470642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7A7F7FB1-B0A6-44D7-80DE-2F4690E95495}"/>
            </a:ext>
          </a:extLst>
        </xdr:cNvPr>
        <xdr:cNvSpPr txBox="1"/>
      </xdr:nvSpPr>
      <xdr:spPr>
        <a:xfrm>
          <a:off x="7319530" y="1224395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2026</a:t>
          </a:r>
        </a:p>
      </xdr:txBody>
    </xdr:sp>
    <xdr:clientData/>
  </xdr:oneCellAnchor>
  <xdr:oneCellAnchor>
    <xdr:from>
      <xdr:col>9</xdr:col>
      <xdr:colOff>676275</xdr:colOff>
      <xdr:row>6</xdr:row>
      <xdr:rowOff>104775</xdr:rowOff>
    </xdr:from>
    <xdr:ext cx="470642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71E476CF-3B65-469B-9DEB-D39B17831263}"/>
            </a:ext>
          </a:extLst>
        </xdr:cNvPr>
        <xdr:cNvSpPr txBox="1"/>
      </xdr:nvSpPr>
      <xdr:spPr>
        <a:xfrm>
          <a:off x="8235661" y="1195820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2027</a:t>
          </a:r>
        </a:p>
      </xdr:txBody>
    </xdr:sp>
    <xdr:clientData/>
  </xdr:oneCellAnchor>
  <xdr:oneCellAnchor>
    <xdr:from>
      <xdr:col>10</xdr:col>
      <xdr:colOff>771525</xdr:colOff>
      <xdr:row>6</xdr:row>
      <xdr:rowOff>85725</xdr:rowOff>
    </xdr:from>
    <xdr:ext cx="470642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4E716FEB-8310-4721-A8AC-79AB255F63A8}"/>
            </a:ext>
          </a:extLst>
        </xdr:cNvPr>
        <xdr:cNvSpPr txBox="1"/>
      </xdr:nvSpPr>
      <xdr:spPr>
        <a:xfrm>
          <a:off x="9170843" y="1176770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2028</a:t>
          </a:r>
        </a:p>
      </xdr:txBody>
    </xdr:sp>
    <xdr:clientData/>
  </xdr:oneCellAnchor>
  <xdr:twoCellAnchor>
    <xdr:from>
      <xdr:col>3</xdr:col>
      <xdr:colOff>552450</xdr:colOff>
      <xdr:row>9</xdr:row>
      <xdr:rowOff>66675</xdr:rowOff>
    </xdr:from>
    <xdr:to>
      <xdr:col>11</xdr:col>
      <xdr:colOff>266700</xdr:colOff>
      <xdr:row>9</xdr:row>
      <xdr:rowOff>95250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69C70582-116E-47FB-BEC2-84A3C14BFB89}"/>
            </a:ext>
          </a:extLst>
        </xdr:cNvPr>
        <xdr:cNvCxnSpPr/>
      </xdr:nvCxnSpPr>
      <xdr:spPr>
        <a:xfrm flipV="1">
          <a:off x="3067050" y="1695450"/>
          <a:ext cx="6419850" cy="28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542925</xdr:colOff>
      <xdr:row>8</xdr:row>
      <xdr:rowOff>142875</xdr:rowOff>
    </xdr:from>
    <xdr:to>
      <xdr:col>3</xdr:col>
      <xdr:colOff>542925</xdr:colOff>
      <xdr:row>10</xdr:row>
      <xdr:rowOff>114300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F4613960-E76F-4336-830B-87E31798295F}"/>
            </a:ext>
          </a:extLst>
        </xdr:cNvPr>
        <xdr:cNvCxnSpPr/>
      </xdr:nvCxnSpPr>
      <xdr:spPr>
        <a:xfrm>
          <a:off x="3057525" y="1590675"/>
          <a:ext cx="0" cy="333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142875</xdr:colOff>
      <xdr:row>8</xdr:row>
      <xdr:rowOff>114300</xdr:rowOff>
    </xdr:from>
    <xdr:to>
      <xdr:col>11</xdr:col>
      <xdr:colOff>142875</xdr:colOff>
      <xdr:row>10</xdr:row>
      <xdr:rowOff>85725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B4EC1288-5ADC-4368-AF27-3999F7DC0DEE}"/>
            </a:ext>
          </a:extLst>
        </xdr:cNvPr>
        <xdr:cNvCxnSpPr/>
      </xdr:nvCxnSpPr>
      <xdr:spPr>
        <a:xfrm>
          <a:off x="9363075" y="1562100"/>
          <a:ext cx="0" cy="333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609600</xdr:colOff>
      <xdr:row>8</xdr:row>
      <xdr:rowOff>76200</xdr:rowOff>
    </xdr:from>
    <xdr:to>
      <xdr:col>7</xdr:col>
      <xdr:colOff>609600</xdr:colOff>
      <xdr:row>10</xdr:row>
      <xdr:rowOff>47625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7D491D16-1726-43B1-AA93-52FA1AAB1480}"/>
            </a:ext>
          </a:extLst>
        </xdr:cNvPr>
        <xdr:cNvCxnSpPr/>
      </xdr:nvCxnSpPr>
      <xdr:spPr>
        <a:xfrm>
          <a:off x="6477000" y="1524000"/>
          <a:ext cx="0" cy="333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247650</xdr:colOff>
      <xdr:row>9</xdr:row>
      <xdr:rowOff>19050</xdr:rowOff>
    </xdr:from>
    <xdr:to>
      <xdr:col>3</xdr:col>
      <xdr:colOff>419100</xdr:colOff>
      <xdr:row>9</xdr:row>
      <xdr:rowOff>19050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D3B78E7E-B2E5-417A-BFC7-C8534691D5AD}"/>
            </a:ext>
          </a:extLst>
        </xdr:cNvPr>
        <xdr:cNvCxnSpPr/>
      </xdr:nvCxnSpPr>
      <xdr:spPr>
        <a:xfrm>
          <a:off x="1085850" y="1647825"/>
          <a:ext cx="1847850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276225</xdr:colOff>
      <xdr:row>3</xdr:row>
      <xdr:rowOff>171450</xdr:rowOff>
    </xdr:from>
    <xdr:to>
      <xdr:col>12</xdr:col>
      <xdr:colOff>285750</xdr:colOff>
      <xdr:row>6</xdr:row>
      <xdr:rowOff>142875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5DC0BDDD-227A-457C-92D3-3CD7AFBA0022}"/>
            </a:ext>
          </a:extLst>
        </xdr:cNvPr>
        <xdr:cNvCxnSpPr/>
      </xdr:nvCxnSpPr>
      <xdr:spPr>
        <a:xfrm flipH="1">
          <a:off x="10334625" y="714375"/>
          <a:ext cx="9525" cy="514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57150</xdr:colOff>
      <xdr:row>6</xdr:row>
      <xdr:rowOff>85725</xdr:rowOff>
    </xdr:from>
    <xdr:ext cx="470642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2648A075-5326-4647-A3B1-6E5D35C988EA}"/>
            </a:ext>
          </a:extLst>
        </xdr:cNvPr>
        <xdr:cNvSpPr txBox="1"/>
      </xdr:nvSpPr>
      <xdr:spPr>
        <a:xfrm>
          <a:off x="10136332" y="1176770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2029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8</xdr:col>
      <xdr:colOff>190500</xdr:colOff>
      <xdr:row>53</xdr:row>
      <xdr:rowOff>28575</xdr:rowOff>
    </xdr:to>
    <xdr:pic>
      <xdr:nvPicPr>
        <xdr:cNvPr id="11342" name="Imagen 3">
          <a:extLst>
            <a:ext uri="{FF2B5EF4-FFF2-40B4-BE49-F238E27FC236}">
              <a16:creationId xmlns:a16="http://schemas.microsoft.com/office/drawing/2014/main" id="{E9EEF8A0-9621-4F7E-A245-D96AC2C47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0"/>
          <a:ext cx="6838950" cy="943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53</xdr:row>
      <xdr:rowOff>161925</xdr:rowOff>
    </xdr:from>
    <xdr:to>
      <xdr:col>8</xdr:col>
      <xdr:colOff>209550</xdr:colOff>
      <xdr:row>69</xdr:row>
      <xdr:rowOff>152400</xdr:rowOff>
    </xdr:to>
    <xdr:pic>
      <xdr:nvPicPr>
        <xdr:cNvPr id="11343" name="Imagen 4">
          <a:extLst>
            <a:ext uri="{FF2B5EF4-FFF2-40B4-BE49-F238E27FC236}">
              <a16:creationId xmlns:a16="http://schemas.microsoft.com/office/drawing/2014/main" id="{289E844A-4146-4EDB-B6B4-8D21DEF9B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763125"/>
          <a:ext cx="6838950" cy="288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9525</xdr:rowOff>
    </xdr:from>
    <xdr:to>
      <xdr:col>8</xdr:col>
      <xdr:colOff>180975</xdr:colOff>
      <xdr:row>38</xdr:row>
      <xdr:rowOff>85725</xdr:rowOff>
    </xdr:to>
    <xdr:pic>
      <xdr:nvPicPr>
        <xdr:cNvPr id="12327" name="Imagen 1">
          <a:extLst>
            <a:ext uri="{FF2B5EF4-FFF2-40B4-BE49-F238E27FC236}">
              <a16:creationId xmlns:a16="http://schemas.microsoft.com/office/drawing/2014/main" id="{1615AEDE-2055-4200-AC43-34DF92299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00025"/>
          <a:ext cx="6838950" cy="6772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8</xdr:col>
      <xdr:colOff>190500</xdr:colOff>
      <xdr:row>43</xdr:row>
      <xdr:rowOff>19050</xdr:rowOff>
    </xdr:to>
    <xdr:pic>
      <xdr:nvPicPr>
        <xdr:cNvPr id="10281" name="Imagen 1">
          <a:extLst>
            <a:ext uri="{FF2B5EF4-FFF2-40B4-BE49-F238E27FC236}">
              <a16:creationId xmlns:a16="http://schemas.microsoft.com/office/drawing/2014/main" id="{731B6B4D-9EFE-498D-B50F-20B47AFF3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0"/>
          <a:ext cx="6838950" cy="762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542925</xdr:colOff>
      <xdr:row>24</xdr:row>
      <xdr:rowOff>133350</xdr:rowOff>
    </xdr:to>
    <xdr:pic>
      <xdr:nvPicPr>
        <xdr:cNvPr id="17430" name="Imagen 1">
          <a:extLst>
            <a:ext uri="{FF2B5EF4-FFF2-40B4-BE49-F238E27FC236}">
              <a16:creationId xmlns:a16="http://schemas.microsoft.com/office/drawing/2014/main" id="{28CABC2E-71E0-4AE7-9C6C-9A6A297BE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5572125" cy="429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6</xdr:col>
      <xdr:colOff>552450</xdr:colOff>
      <xdr:row>47</xdr:row>
      <xdr:rowOff>47625</xdr:rowOff>
    </xdr:to>
    <xdr:pic>
      <xdr:nvPicPr>
        <xdr:cNvPr id="17431" name="Imagen 2">
          <a:extLst>
            <a:ext uri="{FF2B5EF4-FFF2-40B4-BE49-F238E27FC236}">
              <a16:creationId xmlns:a16="http://schemas.microsoft.com/office/drawing/2014/main" id="{A81A8E64-6779-4DEB-8B1B-C760A87FB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3900"/>
          <a:ext cx="5581650" cy="402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6</xdr:col>
      <xdr:colOff>542925</xdr:colOff>
      <xdr:row>62</xdr:row>
      <xdr:rowOff>57150</xdr:rowOff>
    </xdr:to>
    <xdr:pic>
      <xdr:nvPicPr>
        <xdr:cNvPr id="17432" name="Imagen 3">
          <a:extLst>
            <a:ext uri="{FF2B5EF4-FFF2-40B4-BE49-F238E27FC236}">
              <a16:creationId xmlns:a16="http://schemas.microsoft.com/office/drawing/2014/main" id="{ADC7755A-5849-4F59-A2F6-95EA1F1D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96325"/>
          <a:ext cx="5572125" cy="259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438150</xdr:colOff>
      <xdr:row>23</xdr:row>
      <xdr:rowOff>95250</xdr:rowOff>
    </xdr:to>
    <xdr:pic>
      <xdr:nvPicPr>
        <xdr:cNvPr id="18445" name="Imagen 1">
          <a:extLst>
            <a:ext uri="{FF2B5EF4-FFF2-40B4-BE49-F238E27FC236}">
              <a16:creationId xmlns:a16="http://schemas.microsoft.com/office/drawing/2014/main" id="{3EAAA8DF-347F-46A5-BBB1-E8344DED7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5467350" cy="407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6</xdr:col>
      <xdr:colOff>571500</xdr:colOff>
      <xdr:row>39</xdr:row>
      <xdr:rowOff>161925</xdr:rowOff>
    </xdr:to>
    <xdr:pic>
      <xdr:nvPicPr>
        <xdr:cNvPr id="18446" name="Imagen 2">
          <a:extLst>
            <a:ext uri="{FF2B5EF4-FFF2-40B4-BE49-F238E27FC236}">
              <a16:creationId xmlns:a16="http://schemas.microsoft.com/office/drawing/2014/main" id="{8E1751F4-D261-4E70-AF79-55ABB7FB5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2925"/>
          <a:ext cx="5600700" cy="287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topLeftCell="B28" zoomScale="130" zoomScaleNormal="130" workbookViewId="0">
      <selection activeCell="B42" sqref="B42"/>
    </sheetView>
  </sheetViews>
  <sheetFormatPr baseColWidth="10" defaultRowHeight="14.25" x14ac:dyDescent="0.2"/>
  <sheetData>
    <row r="1" spans="1:6" ht="15" x14ac:dyDescent="0.25">
      <c r="A1" s="11" t="s">
        <v>3</v>
      </c>
    </row>
    <row r="2" spans="1:6" x14ac:dyDescent="0.2">
      <c r="A2" t="s">
        <v>4</v>
      </c>
      <c r="D2" t="s">
        <v>67</v>
      </c>
    </row>
    <row r="3" spans="1:6" x14ac:dyDescent="0.2">
      <c r="A3" t="s">
        <v>31</v>
      </c>
      <c r="F3" s="3">
        <v>45460</v>
      </c>
    </row>
    <row r="12" spans="1:6" x14ac:dyDescent="0.2">
      <c r="D12" t="s">
        <v>68</v>
      </c>
    </row>
    <row r="13" spans="1:6" x14ac:dyDescent="0.2">
      <c r="D13" t="s">
        <v>69</v>
      </c>
    </row>
    <row r="14" spans="1:6" x14ac:dyDescent="0.2">
      <c r="D14" t="s">
        <v>79</v>
      </c>
    </row>
    <row r="16" spans="1:6" x14ac:dyDescent="0.2">
      <c r="B16" t="s">
        <v>5</v>
      </c>
    </row>
    <row r="18" spans="1:5" ht="15" x14ac:dyDescent="0.25">
      <c r="A18" s="11" t="s">
        <v>6</v>
      </c>
    </row>
    <row r="19" spans="1:5" x14ac:dyDescent="0.2">
      <c r="A19" t="s">
        <v>7</v>
      </c>
    </row>
    <row r="20" spans="1:5" x14ac:dyDescent="0.2">
      <c r="A20" t="s">
        <v>8</v>
      </c>
    </row>
    <row r="21" spans="1:5" x14ac:dyDescent="0.2">
      <c r="A21" t="s">
        <v>9</v>
      </c>
    </row>
    <row r="22" spans="1:5" x14ac:dyDescent="0.2">
      <c r="A22" t="s">
        <v>10</v>
      </c>
    </row>
    <row r="24" spans="1:5" ht="15" x14ac:dyDescent="0.25">
      <c r="A24" s="11" t="s">
        <v>11</v>
      </c>
    </row>
    <row r="25" spans="1:5" x14ac:dyDescent="0.2">
      <c r="A25" t="s">
        <v>12</v>
      </c>
    </row>
    <row r="26" spans="1:5" x14ac:dyDescent="0.2">
      <c r="A26" t="s">
        <v>13</v>
      </c>
    </row>
    <row r="27" spans="1:5" x14ac:dyDescent="0.2">
      <c r="A27" t="s">
        <v>14</v>
      </c>
    </row>
    <row r="29" spans="1:5" x14ac:dyDescent="0.2">
      <c r="A29" t="s">
        <v>15</v>
      </c>
    </row>
    <row r="30" spans="1:5" x14ac:dyDescent="0.2">
      <c r="A30" t="s">
        <v>16</v>
      </c>
    </row>
    <row r="32" spans="1:5" x14ac:dyDescent="0.2">
      <c r="A32" t="s">
        <v>17</v>
      </c>
      <c r="E32" t="s">
        <v>18</v>
      </c>
    </row>
    <row r="34" spans="1:15" x14ac:dyDescent="0.2">
      <c r="B34" s="12">
        <v>46023</v>
      </c>
      <c r="C34" s="13"/>
      <c r="D34" s="13"/>
      <c r="E34" s="13"/>
      <c r="F34" s="12">
        <v>46054</v>
      </c>
      <c r="G34" s="13"/>
      <c r="H34" s="13"/>
      <c r="I34" s="13"/>
      <c r="J34" s="12">
        <v>46082</v>
      </c>
      <c r="K34" s="13"/>
      <c r="L34" s="13"/>
      <c r="M34" s="13"/>
      <c r="O34" t="s">
        <v>80</v>
      </c>
    </row>
    <row r="35" spans="1:15" x14ac:dyDescent="0.2">
      <c r="A35" t="s">
        <v>19</v>
      </c>
      <c r="B35" t="s">
        <v>23</v>
      </c>
      <c r="C35" s="4" t="s">
        <v>24</v>
      </c>
      <c r="D35" s="4" t="s">
        <v>25</v>
      </c>
      <c r="E35" s="4" t="s">
        <v>26</v>
      </c>
      <c r="F35" s="4" t="s">
        <v>23</v>
      </c>
      <c r="G35" s="4" t="s">
        <v>24</v>
      </c>
      <c r="H35" s="4" t="s">
        <v>25</v>
      </c>
      <c r="I35" s="4" t="s">
        <v>26</v>
      </c>
      <c r="J35" s="4" t="s">
        <v>23</v>
      </c>
      <c r="K35" s="4" t="s">
        <v>24</v>
      </c>
      <c r="L35" s="4" t="s">
        <v>25</v>
      </c>
      <c r="M35" s="4" t="s">
        <v>26</v>
      </c>
      <c r="O35" s="4" t="s">
        <v>24</v>
      </c>
    </row>
    <row r="36" spans="1:15" x14ac:dyDescent="0.2">
      <c r="A36" t="s">
        <v>20</v>
      </c>
      <c r="B36" s="5">
        <v>1000</v>
      </c>
      <c r="C36" s="5">
        <v>15000</v>
      </c>
      <c r="D36" s="6">
        <f>ROUNDUP(G36/28*15,0)</f>
        <v>5090</v>
      </c>
      <c r="E36" s="7">
        <f>D36+C36-B36</f>
        <v>19090</v>
      </c>
      <c r="F36" s="6">
        <f>D36</f>
        <v>5090</v>
      </c>
      <c r="G36" s="5">
        <v>9500</v>
      </c>
      <c r="H36" s="6">
        <f>ROUNDUP(K36/31*15,0)</f>
        <v>5807</v>
      </c>
      <c r="I36" s="7">
        <f>H36+G36-F36</f>
        <v>10217</v>
      </c>
      <c r="J36" s="6">
        <f>H36</f>
        <v>5807</v>
      </c>
      <c r="K36" s="5">
        <v>12000</v>
      </c>
      <c r="L36" s="6">
        <f>ROUNDUP(O36/31*15,0)</f>
        <v>4839</v>
      </c>
      <c r="M36" s="7">
        <f>L36+K36-J36</f>
        <v>11032</v>
      </c>
      <c r="O36" s="14">
        <v>10000</v>
      </c>
    </row>
    <row r="37" spans="1:15" x14ac:dyDescent="0.2">
      <c r="A37" t="s">
        <v>21</v>
      </c>
      <c r="B37" s="5">
        <v>5000</v>
      </c>
      <c r="C37" s="5">
        <v>8000</v>
      </c>
      <c r="D37" s="6">
        <f>ROUNDUP(G37/28*15,0)</f>
        <v>4018</v>
      </c>
      <c r="E37" s="7">
        <f>D37+C37-B37</f>
        <v>7018</v>
      </c>
      <c r="F37" s="6">
        <f>D37</f>
        <v>4018</v>
      </c>
      <c r="G37" s="5">
        <v>7500</v>
      </c>
      <c r="H37" s="6">
        <f>ROUNDUP(K37/31*15,0)</f>
        <v>6871</v>
      </c>
      <c r="I37" s="7">
        <f>H37+G37-F37</f>
        <v>10353</v>
      </c>
      <c r="J37" s="6">
        <f>H37</f>
        <v>6871</v>
      </c>
      <c r="K37" s="5">
        <v>14200</v>
      </c>
      <c r="L37" s="6">
        <f t="shared" ref="L37:L38" si="0">ROUNDUP(O37/31*15,0)</f>
        <v>5807</v>
      </c>
      <c r="M37" s="7">
        <f t="shared" ref="M37:M38" si="1">L37+K37-J37</f>
        <v>13136</v>
      </c>
      <c r="O37" s="14">
        <v>12000</v>
      </c>
    </row>
    <row r="38" spans="1:15" x14ac:dyDescent="0.2">
      <c r="A38" t="s">
        <v>22</v>
      </c>
      <c r="B38" s="5">
        <v>10000</v>
      </c>
      <c r="C38" s="5">
        <v>12000</v>
      </c>
      <c r="D38" s="6">
        <f>ROUNDUP(G38/28*15,0)</f>
        <v>5063</v>
      </c>
      <c r="E38" s="7">
        <f>D38+C38-B38</f>
        <v>7063</v>
      </c>
      <c r="F38" s="6">
        <f>D38</f>
        <v>5063</v>
      </c>
      <c r="G38" s="5">
        <v>9450</v>
      </c>
      <c r="H38" s="6">
        <f>ROUNDUP(K38/31*15,0)</f>
        <v>4162</v>
      </c>
      <c r="I38" s="7">
        <f>H38+G38-F38</f>
        <v>8549</v>
      </c>
      <c r="J38" s="6">
        <f>H38</f>
        <v>4162</v>
      </c>
      <c r="K38" s="5">
        <v>8600</v>
      </c>
      <c r="L38" s="6">
        <f t="shared" si="0"/>
        <v>4355</v>
      </c>
      <c r="M38" s="7">
        <f t="shared" si="1"/>
        <v>8793</v>
      </c>
      <c r="O38" s="14">
        <v>9000</v>
      </c>
    </row>
    <row r="39" spans="1:15" x14ac:dyDescent="0.2">
      <c r="E39" s="5">
        <f>SUM(E36:E38)</f>
        <v>33171</v>
      </c>
      <c r="I39" s="5">
        <f>SUM(I36:I38)</f>
        <v>29119</v>
      </c>
      <c r="M39" s="5">
        <f>SUM(M36:M38)</f>
        <v>32961</v>
      </c>
    </row>
    <row r="40" spans="1:15" x14ac:dyDescent="0.2">
      <c r="A40" t="s">
        <v>27</v>
      </c>
    </row>
    <row r="41" spans="1:15" x14ac:dyDescent="0.2">
      <c r="A41" t="s">
        <v>28</v>
      </c>
    </row>
    <row r="42" spans="1:15" x14ac:dyDescent="0.2">
      <c r="D42" t="s">
        <v>70</v>
      </c>
    </row>
    <row r="43" spans="1:15" x14ac:dyDescent="0.2">
      <c r="D43" t="s">
        <v>71</v>
      </c>
    </row>
  </sheetData>
  <mergeCells count="3">
    <mergeCell ref="B34:E34"/>
    <mergeCell ref="F34:I34"/>
    <mergeCell ref="J34:M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topLeftCell="A38" zoomScale="120" zoomScaleNormal="120" workbookViewId="0">
      <selection activeCell="P42" sqref="P42"/>
    </sheetView>
  </sheetViews>
  <sheetFormatPr baseColWidth="10" defaultColWidth="11" defaultRowHeight="14.25" x14ac:dyDescent="0.2"/>
  <cols>
    <col min="1" max="16384" width="11" style="2"/>
  </cols>
  <sheetData>
    <row r="1" spans="1:14" ht="15" x14ac:dyDescent="0.25">
      <c r="A1" s="1" t="s">
        <v>0</v>
      </c>
      <c r="J1" s="2" t="s">
        <v>11</v>
      </c>
    </row>
    <row r="2" spans="1:14" x14ac:dyDescent="0.2">
      <c r="J2" s="2" t="s">
        <v>32</v>
      </c>
      <c r="K2" s="8" t="s">
        <v>36</v>
      </c>
      <c r="L2" s="8" t="s">
        <v>37</v>
      </c>
    </row>
    <row r="3" spans="1:14" x14ac:dyDescent="0.2">
      <c r="J3" s="2" t="s">
        <v>33</v>
      </c>
      <c r="K3" s="9">
        <v>6000</v>
      </c>
      <c r="L3" s="9">
        <v>1500</v>
      </c>
    </row>
    <row r="4" spans="1:14" x14ac:dyDescent="0.2">
      <c r="J4" s="2" t="s">
        <v>34</v>
      </c>
      <c r="K4" s="8">
        <v>120</v>
      </c>
      <c r="L4" s="8">
        <v>150</v>
      </c>
    </row>
    <row r="5" spans="1:14" x14ac:dyDescent="0.2">
      <c r="J5" s="2" t="s">
        <v>35</v>
      </c>
      <c r="K5" s="10">
        <f>K3*K4</f>
        <v>720000</v>
      </c>
      <c r="L5" s="10">
        <f>L3*L4</f>
        <v>225000</v>
      </c>
    </row>
    <row r="7" spans="1:14" x14ac:dyDescent="0.2">
      <c r="J7" s="2" t="s">
        <v>38</v>
      </c>
    </row>
    <row r="8" spans="1:14" x14ac:dyDescent="0.2">
      <c r="J8" s="2" t="s">
        <v>19</v>
      </c>
      <c r="K8" s="8" t="s">
        <v>23</v>
      </c>
      <c r="L8" s="8" t="s">
        <v>24</v>
      </c>
      <c r="M8" s="8" t="s">
        <v>25</v>
      </c>
      <c r="N8" s="8" t="s">
        <v>39</v>
      </c>
    </row>
    <row r="9" spans="1:14" x14ac:dyDescent="0.2">
      <c r="J9" s="2" t="s">
        <v>36</v>
      </c>
      <c r="K9" s="10">
        <v>100</v>
      </c>
      <c r="L9" s="10">
        <f>K3</f>
        <v>6000</v>
      </c>
      <c r="M9" s="10">
        <v>900</v>
      </c>
      <c r="N9" s="10">
        <f>M9+L9-K9</f>
        <v>6800</v>
      </c>
    </row>
    <row r="10" spans="1:14" x14ac:dyDescent="0.2">
      <c r="J10" s="2" t="s">
        <v>37</v>
      </c>
      <c r="K10" s="10">
        <v>50</v>
      </c>
      <c r="L10" s="10">
        <f>L3</f>
        <v>1500</v>
      </c>
      <c r="M10" s="10">
        <v>100</v>
      </c>
      <c r="N10" s="10">
        <f>M10+L10-K10</f>
        <v>1550</v>
      </c>
    </row>
    <row r="12" spans="1:14" x14ac:dyDescent="0.2">
      <c r="J12" s="2" t="s">
        <v>40</v>
      </c>
    </row>
    <row r="13" spans="1:14" x14ac:dyDescent="0.2">
      <c r="J13" s="2" t="s">
        <v>41</v>
      </c>
    </row>
    <row r="14" spans="1:14" x14ac:dyDescent="0.2">
      <c r="J14" s="2" t="s">
        <v>42</v>
      </c>
    </row>
    <row r="16" spans="1:14" x14ac:dyDescent="0.2">
      <c r="J16" s="2" t="s">
        <v>43</v>
      </c>
    </row>
    <row r="17" spans="10:15" x14ac:dyDescent="0.2">
      <c r="J17" s="2" t="s">
        <v>44</v>
      </c>
    </row>
    <row r="18" spans="10:15" x14ac:dyDescent="0.2">
      <c r="J18" s="2" t="s">
        <v>47</v>
      </c>
      <c r="K18" s="8" t="s">
        <v>48</v>
      </c>
      <c r="L18" s="8" t="s">
        <v>39</v>
      </c>
      <c r="M18" s="8" t="s">
        <v>49</v>
      </c>
      <c r="N18" s="8" t="s">
        <v>50</v>
      </c>
      <c r="O18" s="8" t="s">
        <v>51</v>
      </c>
    </row>
    <row r="19" spans="10:15" x14ac:dyDescent="0.2">
      <c r="J19" s="2" t="s">
        <v>45</v>
      </c>
      <c r="K19" s="8">
        <v>10</v>
      </c>
      <c r="L19" s="10">
        <f>N9</f>
        <v>6800</v>
      </c>
      <c r="M19" s="10">
        <f>K19*L19</f>
        <v>68000</v>
      </c>
      <c r="N19" s="8">
        <v>2</v>
      </c>
      <c r="O19" s="10">
        <f>M19*N19</f>
        <v>136000</v>
      </c>
    </row>
    <row r="20" spans="10:15" x14ac:dyDescent="0.2">
      <c r="J20" s="2" t="s">
        <v>46</v>
      </c>
      <c r="K20" s="8">
        <v>8</v>
      </c>
      <c r="L20" s="10">
        <f>N9</f>
        <v>6800</v>
      </c>
      <c r="M20" s="10">
        <f>K20*L20</f>
        <v>54400</v>
      </c>
      <c r="N20" s="8">
        <v>3</v>
      </c>
      <c r="O20" s="10">
        <f>M20*N20</f>
        <v>163200</v>
      </c>
    </row>
    <row r="21" spans="10:15" x14ac:dyDescent="0.2">
      <c r="O21" s="10">
        <f>O19+O20</f>
        <v>299200</v>
      </c>
    </row>
    <row r="22" spans="10:15" x14ac:dyDescent="0.2">
      <c r="J22" s="2" t="s">
        <v>52</v>
      </c>
    </row>
    <row r="23" spans="10:15" x14ac:dyDescent="0.2">
      <c r="J23" s="2" t="s">
        <v>47</v>
      </c>
      <c r="K23" s="8" t="s">
        <v>48</v>
      </c>
      <c r="L23" s="8" t="s">
        <v>39</v>
      </c>
      <c r="M23" s="8" t="s">
        <v>49</v>
      </c>
      <c r="N23" s="8" t="s">
        <v>50</v>
      </c>
      <c r="O23" s="8" t="s">
        <v>51</v>
      </c>
    </row>
    <row r="24" spans="10:15" x14ac:dyDescent="0.2">
      <c r="J24" s="2" t="s">
        <v>45</v>
      </c>
      <c r="K24" s="8">
        <v>8</v>
      </c>
      <c r="L24" s="10">
        <f>N10</f>
        <v>1550</v>
      </c>
      <c r="M24" s="10">
        <f>K24*L24</f>
        <v>12400</v>
      </c>
      <c r="N24" s="8">
        <v>2</v>
      </c>
      <c r="O24" s="10">
        <f>M24*N24</f>
        <v>24800</v>
      </c>
    </row>
    <row r="25" spans="10:15" x14ac:dyDescent="0.2">
      <c r="J25" s="2" t="s">
        <v>46</v>
      </c>
      <c r="K25" s="8">
        <v>6</v>
      </c>
      <c r="L25" s="10">
        <f>L24</f>
        <v>1550</v>
      </c>
      <c r="M25" s="10">
        <f>K25*L25</f>
        <v>9300</v>
      </c>
      <c r="N25" s="8">
        <v>3</v>
      </c>
      <c r="O25" s="10">
        <f>M25*N25</f>
        <v>27900</v>
      </c>
    </row>
    <row r="26" spans="10:15" x14ac:dyDescent="0.2">
      <c r="O26" s="10">
        <f>O24+O25</f>
        <v>52700</v>
      </c>
    </row>
    <row r="27" spans="10:15" x14ac:dyDescent="0.2">
      <c r="J27" s="2" t="s">
        <v>53</v>
      </c>
      <c r="O27" s="10">
        <f>O21+O26</f>
        <v>351900</v>
      </c>
    </row>
    <row r="29" spans="10:15" x14ac:dyDescent="0.2">
      <c r="J29" s="2" t="s">
        <v>54</v>
      </c>
    </row>
    <row r="30" spans="10:15" x14ac:dyDescent="0.2">
      <c r="J30" s="2" t="s">
        <v>19</v>
      </c>
      <c r="K30" s="8" t="s">
        <v>55</v>
      </c>
      <c r="L30" s="8" t="s">
        <v>39</v>
      </c>
      <c r="M30" s="8" t="s">
        <v>56</v>
      </c>
      <c r="N30" s="8" t="s">
        <v>57</v>
      </c>
      <c r="O30" s="8" t="s">
        <v>58</v>
      </c>
    </row>
    <row r="31" spans="10:15" x14ac:dyDescent="0.2">
      <c r="J31" s="2" t="s">
        <v>36</v>
      </c>
      <c r="K31" s="8">
        <v>16</v>
      </c>
      <c r="L31" s="10">
        <f>L19</f>
        <v>6800</v>
      </c>
      <c r="M31" s="10">
        <f>K31*L31</f>
        <v>108800</v>
      </c>
      <c r="N31" s="8">
        <v>2.5</v>
      </c>
      <c r="O31" s="10">
        <f>M31*N31</f>
        <v>272000</v>
      </c>
    </row>
    <row r="32" spans="10:15" x14ac:dyDescent="0.2">
      <c r="J32" s="2" t="s">
        <v>37</v>
      </c>
      <c r="K32" s="8">
        <v>18</v>
      </c>
      <c r="L32" s="10">
        <f>L24</f>
        <v>1550</v>
      </c>
      <c r="M32" s="10">
        <f>K32*L32</f>
        <v>27900</v>
      </c>
      <c r="N32" s="8">
        <v>2.5</v>
      </c>
      <c r="O32" s="10">
        <f>M32*N32</f>
        <v>69750</v>
      </c>
    </row>
    <row r="33" spans="10:16" x14ac:dyDescent="0.2">
      <c r="K33" s="8"/>
      <c r="L33" s="8"/>
      <c r="M33" s="8"/>
      <c r="N33" s="8"/>
      <c r="O33" s="10">
        <f>O31+O32</f>
        <v>341750</v>
      </c>
    </row>
    <row r="35" spans="10:16" x14ac:dyDescent="0.2">
      <c r="J35" s="2" t="s">
        <v>59</v>
      </c>
      <c r="K35" s="10">
        <f>35000+78000+30000+25000+35000+35000+5800+4600+25000</f>
        <v>273400</v>
      </c>
    </row>
    <row r="36" spans="10:16" x14ac:dyDescent="0.2">
      <c r="J36" s="2" t="s">
        <v>60</v>
      </c>
      <c r="K36" s="10">
        <f>O27+O33+K35</f>
        <v>967050</v>
      </c>
    </row>
    <row r="38" spans="10:16" x14ac:dyDescent="0.2">
      <c r="J38" s="2" t="s">
        <v>61</v>
      </c>
    </row>
    <row r="39" spans="10:16" x14ac:dyDescent="0.2">
      <c r="J39" s="2" t="s">
        <v>62</v>
      </c>
      <c r="K39" s="8" t="s">
        <v>23</v>
      </c>
      <c r="L39" s="8" t="s">
        <v>63</v>
      </c>
      <c r="M39" s="8" t="s">
        <v>25</v>
      </c>
      <c r="N39" s="8" t="s">
        <v>64</v>
      </c>
      <c r="O39" s="2" t="s">
        <v>65</v>
      </c>
      <c r="P39" s="2" t="s">
        <v>66</v>
      </c>
    </row>
    <row r="40" spans="10:16" x14ac:dyDescent="0.2">
      <c r="J40" s="2" t="s">
        <v>45</v>
      </c>
      <c r="K40" s="10">
        <v>4500</v>
      </c>
      <c r="L40" s="10">
        <f>M19+M24</f>
        <v>80400</v>
      </c>
      <c r="M40" s="10">
        <v>5500</v>
      </c>
      <c r="N40" s="10">
        <f>M40+L40-K40</f>
        <v>81400</v>
      </c>
      <c r="O40" s="8">
        <v>2</v>
      </c>
      <c r="P40" s="10">
        <f>N40*O40</f>
        <v>162800</v>
      </c>
    </row>
    <row r="41" spans="10:16" x14ac:dyDescent="0.2">
      <c r="J41" s="2" t="s">
        <v>46</v>
      </c>
      <c r="K41" s="10">
        <v>4500</v>
      </c>
      <c r="L41" s="10">
        <f>M20+M25</f>
        <v>63700</v>
      </c>
      <c r="M41" s="10">
        <v>500</v>
      </c>
      <c r="N41" s="10">
        <f>M41+L41-K41</f>
        <v>59700</v>
      </c>
      <c r="O41" s="8">
        <v>3</v>
      </c>
      <c r="P41" s="10">
        <f>N41*O41</f>
        <v>179100</v>
      </c>
    </row>
    <row r="42" spans="10:16" x14ac:dyDescent="0.2">
      <c r="P42" s="10">
        <f>P40+P41</f>
        <v>341900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topLeftCell="C1" zoomScale="130" zoomScaleNormal="130" workbookViewId="0">
      <selection activeCell="M7" sqref="M7"/>
    </sheetView>
  </sheetViews>
  <sheetFormatPr baseColWidth="10" defaultColWidth="11" defaultRowHeight="14.25" x14ac:dyDescent="0.2"/>
  <cols>
    <col min="1" max="8" width="11" style="2"/>
    <col min="9" max="9" width="6.75" style="2" customWidth="1"/>
    <col min="10" max="16384" width="11" style="2"/>
  </cols>
  <sheetData>
    <row r="1" spans="1:13" ht="15" x14ac:dyDescent="0.25">
      <c r="A1" s="1" t="s">
        <v>1</v>
      </c>
      <c r="J1" s="2" t="s">
        <v>72</v>
      </c>
    </row>
    <row r="2" spans="1:13" x14ac:dyDescent="0.2">
      <c r="J2" s="2" t="s">
        <v>11</v>
      </c>
    </row>
    <row r="3" spans="1:13" x14ac:dyDescent="0.2">
      <c r="J3" s="2" t="s">
        <v>73</v>
      </c>
      <c r="K3" s="2" t="s">
        <v>48</v>
      </c>
      <c r="L3" s="8" t="s">
        <v>78</v>
      </c>
      <c r="M3" s="8" t="s">
        <v>77</v>
      </c>
    </row>
    <row r="4" spans="1:13" x14ac:dyDescent="0.2">
      <c r="J4" s="2" t="s">
        <v>74</v>
      </c>
      <c r="K4" s="10">
        <f>67500+80000+35000+101000+91500</f>
        <v>375000</v>
      </c>
      <c r="L4" s="8">
        <v>56</v>
      </c>
      <c r="M4" s="10">
        <f>K4*L4</f>
        <v>21000000</v>
      </c>
    </row>
    <row r="5" spans="1:13" x14ac:dyDescent="0.2">
      <c r="J5" s="2" t="s">
        <v>75</v>
      </c>
      <c r="K5" s="10">
        <f>64000+89500+41000+97500+87500</f>
        <v>379500</v>
      </c>
      <c r="L5" s="8">
        <v>56</v>
      </c>
      <c r="M5" s="10">
        <f t="shared" ref="M5:M6" si="0">K5*L5</f>
        <v>21252000</v>
      </c>
    </row>
    <row r="6" spans="1:13" x14ac:dyDescent="0.2">
      <c r="J6" s="2" t="s">
        <v>76</v>
      </c>
      <c r="K6" s="10">
        <f>70500+86000+29500+112000+110500</f>
        <v>408500</v>
      </c>
      <c r="L6" s="8">
        <v>56</v>
      </c>
      <c r="M6" s="10">
        <f t="shared" si="0"/>
        <v>22876000</v>
      </c>
    </row>
    <row r="7" spans="1:13" x14ac:dyDescent="0.2">
      <c r="K7" s="8"/>
      <c r="L7" s="8"/>
      <c r="M7" s="10">
        <f>SUM(M4:M6)</f>
        <v>65128000</v>
      </c>
    </row>
    <row r="8" spans="1:13" x14ac:dyDescent="0.2">
      <c r="M8" s="10"/>
    </row>
    <row r="9" spans="1:13" x14ac:dyDescent="0.2">
      <c r="M9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A2" sqref="A2"/>
    </sheetView>
  </sheetViews>
  <sheetFormatPr baseColWidth="10" defaultColWidth="11" defaultRowHeight="14.25" x14ac:dyDescent="0.2"/>
  <cols>
    <col min="1" max="16384" width="11" style="2"/>
  </cols>
  <sheetData>
    <row r="1" spans="1:1" ht="15" x14ac:dyDescent="0.25">
      <c r="A1" s="1" t="s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49" sqref="A49"/>
    </sheetView>
  </sheetViews>
  <sheetFormatPr baseColWidth="10" defaultColWidth="11" defaultRowHeight="14.25" x14ac:dyDescent="0.2"/>
  <cols>
    <col min="1" max="16384" width="11" style="2"/>
  </cols>
  <sheetData>
    <row r="1" spans="1:1" ht="15" x14ac:dyDescent="0.25">
      <c r="A1" s="1" t="s">
        <v>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5" sqref="A25"/>
    </sheetView>
  </sheetViews>
  <sheetFormatPr baseColWidth="10" defaultColWidth="11" defaultRowHeight="14.25" x14ac:dyDescent="0.2"/>
  <cols>
    <col min="1" max="16384" width="11" style="2"/>
  </cols>
  <sheetData>
    <row r="1" spans="1:1" ht="15" x14ac:dyDescent="0.25">
      <c r="A1" s="1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Apuntes</vt:lpstr>
      <vt:lpstr>Caso 01</vt:lpstr>
      <vt:lpstr>Caso 02</vt:lpstr>
      <vt:lpstr>Caso 03</vt:lpstr>
      <vt:lpstr>Caso 04</vt:lpstr>
      <vt:lpstr>Caso 05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S4-202</cp:lastModifiedBy>
  <dcterms:created xsi:type="dcterms:W3CDTF">2010-10-23T16:17:03Z</dcterms:created>
  <dcterms:modified xsi:type="dcterms:W3CDTF">2025-06-03T00:58:25Z</dcterms:modified>
</cp:coreProperties>
</file>