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4-202\Downloads\"/>
    </mc:Choice>
  </mc:AlternateContent>
  <xr:revisionPtr revIDLastSave="0" documentId="13_ncr:1_{E63A5329-D448-4490-B1B8-CE6C11CF402B}" xr6:coauthVersionLast="47" xr6:coauthVersionMax="47" xr10:uidLastSave="{00000000-0000-0000-0000-000000000000}"/>
  <bookViews>
    <workbookView xWindow="-120" yWindow="-120" windowWidth="15600" windowHeight="11040" firstSheet="1" activeTab="2" xr2:uid="{00000000-000D-0000-FFFF-FFFF00000000}"/>
  </bookViews>
  <sheets>
    <sheet name="Apuntes" sheetId="32" r:id="rId1"/>
    <sheet name="Caso 01" sheetId="27" r:id="rId2"/>
    <sheet name="Caso 02" sheetId="28" r:id="rId3"/>
    <sheet name="Caso 03" sheetId="24" r:id="rId4"/>
    <sheet name="Caso 04" sheetId="33" r:id="rId5"/>
    <sheet name="Caso 05" sheetId="34" r:id="rId6"/>
  </sheets>
  <definedNames>
    <definedName name="HTML_CodePage" hidden="1">1252</definedName>
    <definedName name="HTML_Control" hidden="1">{"'Sheet1'!$A$1:$G$85"}</definedName>
    <definedName name="HTML_Description" hidden="1">""</definedName>
    <definedName name="HTML_Email" hidden="1">""</definedName>
    <definedName name="HTML_Header" hidden="1">"Sheet1"</definedName>
    <definedName name="HTML_LastUpdate" hidden="1">"2/24/99"</definedName>
    <definedName name="HTML_LineAfter" hidden="1">TRUE</definedName>
    <definedName name="HTML_LineBefore" hidden="1">TRUE</definedName>
    <definedName name="HTML_Name" hidden="1">"Aswath Damodaran"</definedName>
    <definedName name="HTML_OBDlg2" hidden="1">TRUE</definedName>
    <definedName name="HTML_OBDlg4" hidden="1">TRUE</definedName>
    <definedName name="HTML_OS" hidden="1">1</definedName>
    <definedName name="HTML_PathFileMac" hidden="1">"Macintosh HD:HomePageStuff:New_Home_Page:datafile:histret.html"</definedName>
    <definedName name="HTML_Title" hidden="1">"Historical Returns on Stocks, Bonds and Bills"</definedName>
    <definedName name="HTML1_1" hidden="1">"[ReturnsHistorical]Sheet1!$A$1:$D$77"</definedName>
    <definedName name="HTML1_10" hidden="1">""</definedName>
    <definedName name="HTML1_11" hidden="1">1</definedName>
    <definedName name="HTML1_12" hidden="1">"Zip 100:New_Home_Page:datafile:histret.html"</definedName>
    <definedName name="HTML1_2" hidden="1">1</definedName>
    <definedName name="HTML1_3" hidden="1">"ReturnsHistorical"</definedName>
    <definedName name="HTML1_4" hidden="1">"Historical Returns on Stocks, Bonds and Bills"</definedName>
    <definedName name="HTML1_5" hidden="1">"Ibbotson Data"</definedName>
    <definedName name="HTML1_6" hidden="1">-4146</definedName>
    <definedName name="HTML1_7" hidden="1">-4146</definedName>
    <definedName name="HTML1_8" hidden="1">"3/17/97"</definedName>
    <definedName name="HTML1_9" hidden="1">"Aswath Damodaran"</definedName>
    <definedName name="HTML2_1" hidden="1">"[histret.xls]Sheet1!$A$1:$G$85"</definedName>
    <definedName name="HTML2_10" hidden="1">""</definedName>
    <definedName name="HTML2_11" hidden="1">1</definedName>
    <definedName name="HTML2_12" hidden="1">"Macintosh HD:New_Home_Page:datafile:histret.html"</definedName>
    <definedName name="HTML2_2" hidden="1">1</definedName>
    <definedName name="HTML2_3" hidden="1">"Historical Returns"</definedName>
    <definedName name="HTML2_4" hidden="1">"Historical Returns on Stocks, Bonds and Bills"</definedName>
    <definedName name="HTML2_5" hidden="1">""</definedName>
    <definedName name="HTML2_6" hidden="1">1</definedName>
    <definedName name="HTML2_7" hidden="1">1</definedName>
    <definedName name="HTML2_8" hidden="1">"2/3/98"</definedName>
    <definedName name="HTML2_9" hidden="1">"Aswath Damodaran"</definedName>
    <definedName name="HTMLCount" hidden="1">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70" i="28" l="1"/>
  <c r="D70" i="28"/>
  <c r="C70" i="28"/>
  <c r="B70" i="28"/>
  <c r="D69" i="28"/>
  <c r="C69" i="28"/>
  <c r="B69" i="28"/>
  <c r="D68" i="28"/>
  <c r="C68" i="28"/>
  <c r="B68" i="28"/>
  <c r="D67" i="28"/>
  <c r="C67" i="28"/>
  <c r="B67" i="28"/>
  <c r="E67" i="28" s="1"/>
  <c r="D66" i="28"/>
  <c r="C66" i="28"/>
  <c r="B66" i="28"/>
  <c r="D65" i="28"/>
  <c r="C65" i="28"/>
  <c r="B65" i="28"/>
  <c r="E65" i="28" s="1"/>
  <c r="D64" i="28"/>
  <c r="E64" i="28" s="1"/>
  <c r="C64" i="28"/>
  <c r="B64" i="28"/>
  <c r="E68" i="28"/>
  <c r="Q90" i="28"/>
  <c r="Q89" i="28"/>
  <c r="Q88" i="28"/>
  <c r="Q91" i="28"/>
  <c r="Q81" i="28"/>
  <c r="Q80" i="28"/>
  <c r="Q79" i="28"/>
  <c r="Q82" i="28"/>
  <c r="O92" i="28"/>
  <c r="N92" i="28"/>
  <c r="M92" i="28"/>
  <c r="I44" i="28"/>
  <c r="W30" i="28"/>
  <c r="U12" i="28"/>
  <c r="Q12" i="28"/>
  <c r="D85" i="27"/>
  <c r="D84" i="27"/>
  <c r="D83" i="27"/>
  <c r="D82" i="27"/>
  <c r="D81" i="27"/>
  <c r="D80" i="27"/>
  <c r="D79" i="27"/>
  <c r="I48" i="27"/>
  <c r="I46" i="27"/>
  <c r="P85" i="27"/>
  <c r="P83" i="27"/>
  <c r="P82" i="27"/>
  <c r="O83" i="27"/>
  <c r="O82" i="27"/>
  <c r="N83" i="27"/>
  <c r="N82" i="27"/>
  <c r="R81" i="27"/>
  <c r="R80" i="27"/>
  <c r="S81" i="27"/>
  <c r="Q81" i="27"/>
  <c r="S80" i="27"/>
  <c r="Q80" i="27"/>
  <c r="L81" i="27"/>
  <c r="L80" i="27"/>
  <c r="M81" i="27"/>
  <c r="M80" i="27"/>
  <c r="K81" i="27"/>
  <c r="K80" i="27"/>
  <c r="S79" i="27"/>
  <c r="S78" i="27"/>
  <c r="R79" i="27"/>
  <c r="R78" i="27"/>
  <c r="Q79" i="27"/>
  <c r="Q78" i="27"/>
  <c r="L63" i="27"/>
  <c r="K63" i="27"/>
  <c r="L64" i="27"/>
  <c r="K64" i="27"/>
  <c r="R68" i="27"/>
  <c r="Q68" i="27"/>
  <c r="O72" i="27"/>
  <c r="L58" i="27"/>
  <c r="K58" i="27"/>
  <c r="L57" i="27"/>
  <c r="K57" i="27"/>
  <c r="L56" i="27"/>
  <c r="K56" i="27"/>
  <c r="R52" i="27"/>
  <c r="Q52" i="27"/>
  <c r="S52" i="27" s="1"/>
  <c r="O52" i="27"/>
  <c r="S48" i="27"/>
  <c r="R48" i="27"/>
  <c r="Q48" i="27"/>
  <c r="O48" i="27"/>
  <c r="L55" i="27"/>
  <c r="K55" i="27"/>
  <c r="L54" i="27"/>
  <c r="K54" i="27"/>
  <c r="L50" i="27"/>
  <c r="K50" i="27"/>
  <c r="L48" i="27"/>
  <c r="K48" i="27"/>
  <c r="K35" i="27"/>
  <c r="L38" i="32"/>
  <c r="L37" i="32"/>
  <c r="L36" i="32"/>
  <c r="E66" i="28" l="1"/>
  <c r="E69" i="28" s="1"/>
  <c r="S68" i="27"/>
  <c r="R72" i="27" s="1"/>
  <c r="M64" i="27"/>
  <c r="M6" i="28"/>
  <c r="E50" i="28" s="1"/>
  <c r="M5" i="28"/>
  <c r="E48" i="28" s="1"/>
  <c r="M4" i="28"/>
  <c r="E46" i="28" s="1"/>
  <c r="L10" i="27"/>
  <c r="N10" i="27" s="1"/>
  <c r="L24" i="27" s="1"/>
  <c r="L9" i="27"/>
  <c r="N9" i="27" s="1"/>
  <c r="L5" i="27"/>
  <c r="K5" i="27"/>
  <c r="H38" i="32"/>
  <c r="H37" i="32"/>
  <c r="J37" i="32" s="1"/>
  <c r="M37" i="32" s="1"/>
  <c r="H36" i="32"/>
  <c r="D38" i="32"/>
  <c r="F38" i="32" s="1"/>
  <c r="D37" i="32"/>
  <c r="E37" i="32" s="1"/>
  <c r="D36" i="32"/>
  <c r="F36" i="32" s="1"/>
  <c r="O5" i="28" l="1"/>
  <c r="R12" i="28"/>
  <c r="T12" i="28" s="1"/>
  <c r="M16" i="28" s="1"/>
  <c r="B47" i="28" s="1"/>
  <c r="O4" i="28"/>
  <c r="M7" i="28"/>
  <c r="N12" i="28"/>
  <c r="P12" i="28" s="1"/>
  <c r="M15" i="28" s="1"/>
  <c r="B45" i="28" s="1"/>
  <c r="H45" i="28" s="1"/>
  <c r="H46" i="28" s="1"/>
  <c r="H47" i="28" s="1"/>
  <c r="H48" i="28" s="1"/>
  <c r="H49" i="28" s="1"/>
  <c r="O6" i="28"/>
  <c r="V12" i="28"/>
  <c r="X12" i="28" s="1"/>
  <c r="M17" i="28" s="1"/>
  <c r="B49" i="28" s="1"/>
  <c r="Q72" i="27"/>
  <c r="S72" i="27" s="1"/>
  <c r="I36" i="32"/>
  <c r="L20" i="27"/>
  <c r="M20" i="27" s="1"/>
  <c r="L19" i="27"/>
  <c r="L32" i="27"/>
  <c r="M32" i="27" s="1"/>
  <c r="O32" i="27" s="1"/>
  <c r="M24" i="27"/>
  <c r="O24" i="27" s="1"/>
  <c r="L25" i="27"/>
  <c r="M25" i="27" s="1"/>
  <c r="O25" i="27" s="1"/>
  <c r="I38" i="32"/>
  <c r="J38" i="32"/>
  <c r="M38" i="32" s="1"/>
  <c r="E36" i="32"/>
  <c r="J36" i="32"/>
  <c r="M36" i="32" s="1"/>
  <c r="M39" i="32" s="1"/>
  <c r="E38" i="32"/>
  <c r="F37" i="32"/>
  <c r="I37" i="32" s="1"/>
  <c r="M82" i="28" l="1"/>
  <c r="M81" i="28"/>
  <c r="M80" i="28"/>
  <c r="M79" i="28"/>
  <c r="O82" i="28"/>
  <c r="O80" i="28"/>
  <c r="O79" i="28"/>
  <c r="O81" i="28"/>
  <c r="N82" i="28"/>
  <c r="N81" i="28"/>
  <c r="N79" i="28"/>
  <c r="N80" i="28"/>
  <c r="O7" i="28"/>
  <c r="M22" i="28"/>
  <c r="N40" i="28"/>
  <c r="O40" i="28" s="1"/>
  <c r="M18" i="28"/>
  <c r="M23" i="28"/>
  <c r="O23" i="28" s="1"/>
  <c r="N41" i="28"/>
  <c r="O41" i="28" s="1"/>
  <c r="M24" i="28"/>
  <c r="O24" i="28" s="1"/>
  <c r="N42" i="28"/>
  <c r="O42" i="28" s="1"/>
  <c r="E39" i="32"/>
  <c r="I39" i="32"/>
  <c r="O26" i="27"/>
  <c r="L31" i="27"/>
  <c r="M31" i="27" s="1"/>
  <c r="O31" i="27" s="1"/>
  <c r="O33" i="27" s="1"/>
  <c r="M19" i="27"/>
  <c r="O20" i="27"/>
  <c r="L41" i="27"/>
  <c r="N41" i="27" s="1"/>
  <c r="P41" i="27" s="1"/>
  <c r="N84" i="28" l="1"/>
  <c r="O84" i="28"/>
  <c r="M84" i="28"/>
  <c r="N48" i="28"/>
  <c r="N52" i="28"/>
  <c r="Q41" i="28"/>
  <c r="N73" i="28" s="1"/>
  <c r="N51" i="28"/>
  <c r="N50" i="28"/>
  <c r="N49" i="28"/>
  <c r="N47" i="28"/>
  <c r="Q23" i="28"/>
  <c r="M73" i="28" s="1"/>
  <c r="R30" i="28"/>
  <c r="M47" i="28"/>
  <c r="Q40" i="28"/>
  <c r="M51" i="28"/>
  <c r="O43" i="28"/>
  <c r="M52" i="28"/>
  <c r="M49" i="28"/>
  <c r="M50" i="28"/>
  <c r="M48" i="28"/>
  <c r="M25" i="28"/>
  <c r="O22" i="28"/>
  <c r="O25" i="28" s="1"/>
  <c r="O48" i="28"/>
  <c r="O47" i="28"/>
  <c r="O52" i="28"/>
  <c r="Q42" i="28"/>
  <c r="N74" i="28" s="1"/>
  <c r="O51" i="28"/>
  <c r="O50" i="28"/>
  <c r="O49" i="28"/>
  <c r="V30" i="28"/>
  <c r="Q24" i="28"/>
  <c r="M74" i="28" s="1"/>
  <c r="O19" i="27"/>
  <c r="O21" i="27" s="1"/>
  <c r="O27" i="27" s="1"/>
  <c r="K36" i="27" s="1"/>
  <c r="L40" i="27"/>
  <c r="N40" i="27" s="1"/>
  <c r="P40" i="27" s="1"/>
  <c r="P42" i="27" s="1"/>
  <c r="N72" i="28" l="1"/>
  <c r="N75" i="28" s="1"/>
  <c r="Q43" i="28"/>
  <c r="M62" i="28"/>
  <c r="M65" i="28" s="1"/>
  <c r="O30" i="28"/>
  <c r="Q30" i="28" s="1"/>
  <c r="S30" i="28"/>
  <c r="U30" i="28" s="1"/>
  <c r="X30" i="28" s="1"/>
  <c r="M35" i="28" s="1"/>
  <c r="O35" i="28" s="1"/>
  <c r="O62" i="28"/>
  <c r="M67" i="28" s="1"/>
  <c r="O74" i="28" s="1"/>
  <c r="P74" i="28" s="1"/>
  <c r="D49" i="28" s="1"/>
  <c r="C49" i="28" s="1"/>
  <c r="N62" i="28"/>
  <c r="M66" i="28" s="1"/>
  <c r="O73" i="28" s="1"/>
  <c r="P73" i="28" s="1"/>
  <c r="D47" i="28" s="1"/>
  <c r="C47" i="28" s="1"/>
  <c r="Q22" i="28"/>
  <c r="N30" i="28"/>
  <c r="M30" i="28" l="1"/>
  <c r="P30" i="28" s="1"/>
  <c r="M33" i="28" s="1"/>
  <c r="M72" i="28"/>
  <c r="Q25" i="28"/>
  <c r="O72" i="28"/>
  <c r="O75" i="28" s="1"/>
  <c r="M68" i="28"/>
  <c r="T30" i="28"/>
  <c r="M34" i="28" s="1"/>
  <c r="O34" i="28" s="1"/>
  <c r="M36" i="28" l="1"/>
  <c r="O33" i="28"/>
  <c r="O36" i="28" s="1"/>
  <c r="P72" i="28"/>
  <c r="M75" i="28"/>
  <c r="P75" i="28" l="1"/>
  <c r="D45" i="28"/>
  <c r="C45" i="28" l="1"/>
  <c r="J45" i="28"/>
  <c r="I45" i="28" l="1"/>
  <c r="F46" i="28" s="1"/>
  <c r="G46" i="28" s="1"/>
  <c r="F55" i="28" s="1"/>
  <c r="J46" i="28"/>
  <c r="J47" i="28" l="1"/>
  <c r="I46" i="28"/>
  <c r="I47" i="28" l="1"/>
  <c r="F48" i="28" s="1"/>
  <c r="G48" i="28" s="1"/>
  <c r="F56" i="28" s="1"/>
  <c r="J48" i="28" l="1"/>
  <c r="J49" i="28" s="1"/>
  <c r="I49" i="28" s="1"/>
  <c r="F50" i="28" s="1"/>
  <c r="G50" i="28" s="1"/>
  <c r="F57" i="28" s="1"/>
  <c r="F58" i="28" s="1"/>
  <c r="I48" i="28" l="1"/>
</calcChain>
</file>

<file path=xl/sharedStrings.xml><?xml version="1.0" encoding="utf-8"?>
<sst xmlns="http://schemas.openxmlformats.org/spreadsheetml/2006/main" count="407" uniqueCount="204">
  <si>
    <t>Caso  01:</t>
  </si>
  <si>
    <t>Caso 02:</t>
  </si>
  <si>
    <t>Caso 03:</t>
  </si>
  <si>
    <t>PERIODO A PRESUPUESTAR</t>
  </si>
  <si>
    <t>PRESPUESTO ORIGINAL</t>
  </si>
  <si>
    <t>El saldo inicial de un periodo es el saldo final del periodo anterior</t>
  </si>
  <si>
    <t>PREMISAS DEL PRESUPUESTO:</t>
  </si>
  <si>
    <t>Los valores monetarios para el presupuesto no consideran IGV</t>
  </si>
  <si>
    <t>Los valores de las unidades reflejan la estacionalidad del negocio</t>
  </si>
  <si>
    <t>En caso de montos en moneda extranjera utilizar un tipo de cambio en función de la operación y tomado de las proyecciones del MEF</t>
  </si>
  <si>
    <t>Las proyecciones estrategicas se basan de la formulación de los proyectos estratégicos en el Plan Estrategico</t>
  </si>
  <si>
    <t>PRESUPUESTO DE VENTAS</t>
  </si>
  <si>
    <t>Proyección de las unidades a vender por mes por cada tipo de producto y en cada mercado</t>
  </si>
  <si>
    <t>Proyección del precio unitario por cada producto en cada mercado y en función de una política de precios (el precio no puede ser unico para todo el año)</t>
  </si>
  <si>
    <t>Presupuesto de ventas sería en unidades y en valor de ventas totales por mes y por artículo</t>
  </si>
  <si>
    <t>En el caso de empresas de Producción, se realiza el PRESUPUESTO DE PRODUCCION, tomando la cifra de ventas y la política de inventarios</t>
  </si>
  <si>
    <t>se hace el presupuesto de producción en unidades y luego en costos y consumo de recursos sean directos o indirectos</t>
  </si>
  <si>
    <t>Politica de inventarios de productos terminados</t>
  </si>
  <si>
    <t>Cobertura de 15 día de ventas del mes siguiente</t>
  </si>
  <si>
    <t>Producto</t>
  </si>
  <si>
    <t>PA</t>
  </si>
  <si>
    <t>PB</t>
  </si>
  <si>
    <t>PC</t>
  </si>
  <si>
    <t>Inv Inicial</t>
  </si>
  <si>
    <t>Ventas</t>
  </si>
  <si>
    <t>Inv Final</t>
  </si>
  <si>
    <t>Producción</t>
  </si>
  <si>
    <t>Formula: IIPT + PT - V = IFPT</t>
  </si>
  <si>
    <t>PT = IFPT + V - IIPT</t>
  </si>
  <si>
    <t>Caso 04:</t>
  </si>
  <si>
    <t>Caso 05:</t>
  </si>
  <si>
    <t>FECHA DE INICIO DE LA FORMULACION PRESUPUESTAL:</t>
  </si>
  <si>
    <t>Concepto</t>
  </si>
  <si>
    <t>Ventas unid</t>
  </si>
  <si>
    <t>Valor venta</t>
  </si>
  <si>
    <t>Venta Total</t>
  </si>
  <si>
    <t>Alfa</t>
  </si>
  <si>
    <t>Beta</t>
  </si>
  <si>
    <t>PRESUPUESTO DE PRODUCCION EN UNIDADES</t>
  </si>
  <si>
    <t>Produccion</t>
  </si>
  <si>
    <t>IIPT + CPT - IFPT = CV</t>
  </si>
  <si>
    <t>CPT =IFPT+CV-IIPT</t>
  </si>
  <si>
    <t>PROD = IFPT + VENTAS - IIPT</t>
  </si>
  <si>
    <t>PRESUPUESTO DEL CONSUMO DE MATERIALES DE LA PRODUCCION</t>
  </si>
  <si>
    <t>PARA ALFA</t>
  </si>
  <si>
    <t>A</t>
  </si>
  <si>
    <t>B</t>
  </si>
  <si>
    <t>Materiales</t>
  </si>
  <si>
    <t>Cantidad</t>
  </si>
  <si>
    <t>Consumo total</t>
  </si>
  <si>
    <t>Cto Unit</t>
  </si>
  <si>
    <t>CMD Total</t>
  </si>
  <si>
    <t>PARA BETA</t>
  </si>
  <si>
    <t>COSTO TOTAL PRESUPUESTO DE MATERIALES DIRECTOS</t>
  </si>
  <si>
    <t>Horas</t>
  </si>
  <si>
    <t>Total Hrs</t>
  </si>
  <si>
    <t>Tasa hora</t>
  </si>
  <si>
    <t>CIF</t>
  </si>
  <si>
    <t>Costo Prod</t>
  </si>
  <si>
    <t>PRESUPUESTO DE COMPRAS DE MATERIALES</t>
  </si>
  <si>
    <t>Material</t>
  </si>
  <si>
    <t>Consumo</t>
  </si>
  <si>
    <t>Compras</t>
  </si>
  <si>
    <t>Costo Unit</t>
  </si>
  <si>
    <t>Compras S/</t>
  </si>
  <si>
    <t>POR MES DEL 2025 Y POR AÑOS DEL 2026, 2027, 2028</t>
  </si>
  <si>
    <t>Necesitamos los saldos iniciales del 2025</t>
  </si>
  <si>
    <t>Tenemos que proyectar los saldos iniciales del 2025</t>
  </si>
  <si>
    <t>NOTA:</t>
  </si>
  <si>
    <t>VERIFICAR SI LA PRODUCCION ES FACTIBLE</t>
  </si>
  <si>
    <t>SOLUCION:</t>
  </si>
  <si>
    <t>Mes</t>
  </si>
  <si>
    <t>Enero</t>
  </si>
  <si>
    <t>Febrero</t>
  </si>
  <si>
    <t>Marzo</t>
  </si>
  <si>
    <t>Valor Ven Tot</t>
  </si>
  <si>
    <t>VV unit</t>
  </si>
  <si>
    <t>Partiendo por lo menos de los saldos del 11/24</t>
  </si>
  <si>
    <t>Abril</t>
  </si>
  <si>
    <t>El IGV se considera en el presupuesto financiero</t>
  </si>
  <si>
    <t>HABLAR DE FINANZAS ES SIEMPRE HABLAR DE DINERO</t>
  </si>
  <si>
    <t>HABLAR DE COSTOS O GASTOS NO NECESARIAMENTE ES DINERO</t>
  </si>
  <si>
    <t>SECUENCIA DE LOS PRESUPUESTOS:</t>
  </si>
  <si>
    <t>1) PRESUPUESTO DE VENTAS</t>
  </si>
  <si>
    <t>2) PRESUPUESTO DE PRODUCCION  (DATOS: INVENTARIO INICIAL Y COBERTURA DE STOCK PARA EL INVENTARIO FINAL)</t>
  </si>
  <si>
    <t>3) PRESUPUESTO DE CONSUMO DE MATERIALES DIRECTOS EN CANTIDADN Y DE PERSONAL DIRECTO EN HORAS</t>
  </si>
  <si>
    <t>4) PRESUPUESTO DE COMPRAS DE MATERIALES DIRECTO Y DEL COSTO DEL PERSONAL DIRECTO</t>
  </si>
  <si>
    <t>5) PRESUPUESTO DE COSTOS INDIRECTOS</t>
  </si>
  <si>
    <t>6) PRESUPUESTOS DE GASTOS ADMINISTRATIVOS, DE VENTAS</t>
  </si>
  <si>
    <t>7) PRESUPUESTO DE INVERSIONES DE CAPITAL (ACTIVO FIJO Y ACTIVO INTANGIBLE)</t>
  </si>
  <si>
    <t>8) PRESUPUESTO FINANCIERO</t>
  </si>
  <si>
    <t>SI NO EXISTE INVENTARIOS EN PROCESO ENTONCES PRODUCCION ES IGUAL A LA PRODUCCION</t>
  </si>
  <si>
    <t>TODO SE PRODUCE</t>
  </si>
  <si>
    <t>CP = CPT</t>
  </si>
  <si>
    <t>CPD</t>
  </si>
  <si>
    <t>PRESUPUESTO DE PERSONAL DIRECTO</t>
  </si>
  <si>
    <t>CPT</t>
  </si>
  <si>
    <t>PRESUPUESTO DE COSTO DE VENTAS</t>
  </si>
  <si>
    <t>Inv Inic</t>
  </si>
  <si>
    <t>PT</t>
  </si>
  <si>
    <t>Unid Vend</t>
  </si>
  <si>
    <t>Elemento</t>
  </si>
  <si>
    <t>CMD</t>
  </si>
  <si>
    <t>Calculo del CIF por producto</t>
  </si>
  <si>
    <t>Costo S/</t>
  </si>
  <si>
    <t>Criterio</t>
  </si>
  <si>
    <t>HH</t>
  </si>
  <si>
    <t>Total</t>
  </si>
  <si>
    <t>Reparto Proporcional</t>
  </si>
  <si>
    <t xml:space="preserve">Total </t>
  </si>
  <si>
    <t>Calculo del CPT</t>
  </si>
  <si>
    <t>Calculo del Inventario Inicial</t>
  </si>
  <si>
    <t>Unid</t>
  </si>
  <si>
    <t>Cto total</t>
  </si>
  <si>
    <t>Calculo del Inventario Inicial por producto</t>
  </si>
  <si>
    <t>Cant</t>
  </si>
  <si>
    <t>INGRESOS</t>
  </si>
  <si>
    <t>SALIDAS</t>
  </si>
  <si>
    <t>SALDOS</t>
  </si>
  <si>
    <t>SI Alfa</t>
  </si>
  <si>
    <t>SI Beta</t>
  </si>
  <si>
    <t>Prod Alfa</t>
  </si>
  <si>
    <t>Prod Beta</t>
  </si>
  <si>
    <t>Calculo de Ventas - Metodo promedio</t>
  </si>
  <si>
    <t>Ventas Alfa</t>
  </si>
  <si>
    <t>Ventas Beta</t>
  </si>
  <si>
    <t>CV</t>
  </si>
  <si>
    <t>GV</t>
  </si>
  <si>
    <t>GA</t>
  </si>
  <si>
    <t>ESTADO DE RESULTADOS</t>
  </si>
  <si>
    <t>S/</t>
  </si>
  <si>
    <t>Utilidad  Bruta</t>
  </si>
  <si>
    <t>Utilidad Op</t>
  </si>
  <si>
    <t>Utilidad Op%</t>
  </si>
  <si>
    <t>PRESUPUESTO DE PRODUCCION</t>
  </si>
  <si>
    <t>ENERO</t>
  </si>
  <si>
    <t>Inv final</t>
  </si>
  <si>
    <t>FEBRERO</t>
  </si>
  <si>
    <t>MARZO</t>
  </si>
  <si>
    <t>Inv Inic + PT - Inv Final = Unid ventas</t>
  </si>
  <si>
    <t>PT = unid ventas + inv final - inv inic</t>
  </si>
  <si>
    <t>PRESUPUESTO CONSUMO DE MD:</t>
  </si>
  <si>
    <t>Unid MD</t>
  </si>
  <si>
    <t>Total Unid</t>
  </si>
  <si>
    <t>Cto Total</t>
  </si>
  <si>
    <t>PRESUPUESTO DE COMPRAS MD</t>
  </si>
  <si>
    <t>Cto Unit S/</t>
  </si>
  <si>
    <t>Cto total S/</t>
  </si>
  <si>
    <t>PRESUPUESTO PERSONAL DIRECTO</t>
  </si>
  <si>
    <t>Tasa Hora S/</t>
  </si>
  <si>
    <t>Horas x unid</t>
  </si>
  <si>
    <t>Producc</t>
  </si>
  <si>
    <t>Total Hr</t>
  </si>
  <si>
    <t>PRESUPUESTO DE COSTOS IMDIRECTOS</t>
  </si>
  <si>
    <t>MOI</t>
  </si>
  <si>
    <t>Impues</t>
  </si>
  <si>
    <t>Mantenim</t>
  </si>
  <si>
    <t>Calefacc</t>
  </si>
  <si>
    <t>Energia</t>
  </si>
  <si>
    <t>Varios</t>
  </si>
  <si>
    <t>Deprec</t>
  </si>
  <si>
    <t>Mat Ind</t>
  </si>
  <si>
    <t>MOI fija</t>
  </si>
  <si>
    <t>Superv</t>
  </si>
  <si>
    <t>Manten Fij</t>
  </si>
  <si>
    <t>Calef fija</t>
  </si>
  <si>
    <t>Energ fija</t>
  </si>
  <si>
    <t>Total CIF</t>
  </si>
  <si>
    <t>CIF S/</t>
  </si>
  <si>
    <t>PRESUPUESTO DE COSTO VENTAS</t>
  </si>
  <si>
    <t>RESUMEN DE COSTOS</t>
  </si>
  <si>
    <r>
      <t>CMD S</t>
    </r>
    <r>
      <rPr>
        <u/>
        <sz val="11"/>
        <color theme="1"/>
        <rFont val="Arial"/>
        <family val="2"/>
      </rPr>
      <t>/</t>
    </r>
  </si>
  <si>
    <t>CPD S/</t>
  </si>
  <si>
    <t>Total S/</t>
  </si>
  <si>
    <t>Cto unit</t>
  </si>
  <si>
    <t>PRODUCCION</t>
  </si>
  <si>
    <t>VENTAS</t>
  </si>
  <si>
    <t>Saldo inicial</t>
  </si>
  <si>
    <t>Prod Enero</t>
  </si>
  <si>
    <t>Vent enero</t>
  </si>
  <si>
    <t>Prod febre</t>
  </si>
  <si>
    <t>Vent febr</t>
  </si>
  <si>
    <t>Prod marz</t>
  </si>
  <si>
    <t>Vent marz</t>
  </si>
  <si>
    <t>Resumen CV</t>
  </si>
  <si>
    <t>CV S/</t>
  </si>
  <si>
    <t>Comisi</t>
  </si>
  <si>
    <t>Viajes</t>
  </si>
  <si>
    <t>Anuncios</t>
  </si>
  <si>
    <t>Incobrar</t>
  </si>
  <si>
    <t>Salarios</t>
  </si>
  <si>
    <t>Ejecut</t>
  </si>
  <si>
    <t>Imp</t>
  </si>
  <si>
    <t>Segur</t>
  </si>
  <si>
    <t>Seguros</t>
  </si>
  <si>
    <t>GV S/</t>
  </si>
  <si>
    <t>GA S/</t>
  </si>
  <si>
    <t>ESTADO DE RESULTADOS PRESUPUESTADO</t>
  </si>
  <si>
    <t>TRIMESTRE</t>
  </si>
  <si>
    <t>Utilid bruta</t>
  </si>
  <si>
    <t>Utilid oper</t>
  </si>
  <si>
    <t>Utilid oper %</t>
  </si>
  <si>
    <t>PRESUPUESTO DE GASTO VENTAS</t>
  </si>
  <si>
    <t>PRESUPUESTO DE GASTOS DE ADMINISTRACION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</si>
</sst>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#,##0\ &quot;Pta&quot;;[Red]\-#,##0\ &quot;Pta&quot;"/>
    <numFmt numFmtId="165" formatCode="#,##0_ ;[Red]\-#,##0\ "/>
    <numFmt numFmtId="166" formatCode="#,##0.00_ ;[Red]\-#,##0.00\ "/>
    <numFmt numFmtId="167" formatCode="#,##0.000000_ ;[Red]\-#,##0.000000\ "/>
  </numFmts>
  <fonts count="8" x14ac:knownFonts="1">
    <font>
      <sz val="11"/>
      <color theme="1"/>
      <name val="Arial"/>
      <family val="2"/>
    </font>
    <font>
      <sz val="12"/>
      <name val="Arial"/>
      <family val="2"/>
    </font>
    <font>
      <sz val="10"/>
      <name val="Arial"/>
      <family val="2"/>
    </font>
    <font>
      <sz val="10"/>
      <name val="Arial Narrow"/>
      <family val="2"/>
    </font>
    <font>
      <sz val="11"/>
      <name val="Calibri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u/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1">
    <xf numFmtId="0" fontId="0" fillId="0" borderId="0"/>
    <xf numFmtId="164" fontId="2" fillId="0" borderId="0" applyFont="0" applyFill="0" applyBorder="0" applyAlignment="0" applyProtection="0"/>
    <xf numFmtId="0" fontId="1" fillId="0" borderId="0"/>
    <xf numFmtId="0" fontId="2" fillId="0" borderId="0"/>
    <xf numFmtId="0" fontId="4" fillId="0" borderId="0"/>
    <xf numFmtId="0" fontId="2" fillId="0" borderId="0"/>
    <xf numFmtId="0" fontId="5" fillId="0" borderId="0"/>
    <xf numFmtId="0" fontId="2" fillId="0" borderId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24">
    <xf numFmtId="0" fontId="0" fillId="0" borderId="0" xfId="0"/>
    <xf numFmtId="0" fontId="6" fillId="2" borderId="0" xfId="0" applyFont="1" applyFill="1"/>
    <xf numFmtId="0" fontId="0" fillId="2" borderId="0" xfId="0" applyFill="1"/>
    <xf numFmtId="14" fontId="0" fillId="0" borderId="0" xfId="0" applyNumberFormat="1"/>
    <xf numFmtId="0" fontId="0" fillId="0" borderId="0" xfId="0" applyAlignment="1">
      <alignment horizontal="center"/>
    </xf>
    <xf numFmtId="3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3" fontId="0" fillId="3" borderId="0" xfId="0" applyNumberFormat="1" applyFill="1" applyAlignment="1">
      <alignment horizontal="center"/>
    </xf>
    <xf numFmtId="0" fontId="0" fillId="2" borderId="0" xfId="0" applyFill="1" applyAlignment="1">
      <alignment horizontal="center"/>
    </xf>
    <xf numFmtId="3" fontId="0" fillId="2" borderId="0" xfId="0" applyNumberFormat="1" applyFill="1" applyAlignment="1">
      <alignment horizontal="center"/>
    </xf>
    <xf numFmtId="165" fontId="0" fillId="2" borderId="0" xfId="0" applyNumberFormat="1" applyFill="1" applyAlignment="1">
      <alignment horizontal="center"/>
    </xf>
    <xf numFmtId="0" fontId="6" fillId="0" borderId="0" xfId="0" applyFont="1"/>
    <xf numFmtId="3" fontId="0" fillId="0" borderId="0" xfId="0" applyNumberFormat="1"/>
    <xf numFmtId="0" fontId="0" fillId="3" borderId="0" xfId="0" applyFill="1"/>
    <xf numFmtId="165" fontId="0" fillId="3" borderId="0" xfId="0" applyNumberFormat="1" applyFill="1" applyAlignment="1">
      <alignment horizontal="center"/>
    </xf>
    <xf numFmtId="0" fontId="0" fillId="3" borderId="0" xfId="0" applyFill="1" applyAlignment="1">
      <alignment horizontal="center"/>
    </xf>
    <xf numFmtId="165" fontId="0" fillId="2" borderId="0" xfId="0" applyNumberFormat="1" applyFill="1"/>
    <xf numFmtId="166" fontId="0" fillId="2" borderId="0" xfId="0" applyNumberFormat="1" applyFill="1" applyAlignment="1">
      <alignment horizontal="center"/>
    </xf>
    <xf numFmtId="166" fontId="0" fillId="2" borderId="0" xfId="0" applyNumberFormat="1" applyFill="1"/>
    <xf numFmtId="10" fontId="0" fillId="2" borderId="0" xfId="0" applyNumberFormat="1" applyFill="1" applyAlignment="1">
      <alignment horizontal="center"/>
    </xf>
    <xf numFmtId="166" fontId="0" fillId="3" borderId="0" xfId="0" applyNumberFormat="1" applyFill="1" applyAlignment="1">
      <alignment horizontal="center"/>
    </xf>
    <xf numFmtId="17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67" fontId="0" fillId="2" borderId="0" xfId="0" applyNumberFormat="1" applyFill="1" applyAlignment="1">
      <alignment horizontal="center"/>
    </xf>
  </cellXfs>
  <cellStyles count="11">
    <cellStyle name="Millares 2" xfId="1" xr:uid="{00000000-0005-0000-0000-000000000000}"/>
    <cellStyle name="Normal" xfId="0" builtinId="0"/>
    <cellStyle name="Normal 2" xfId="2" xr:uid="{00000000-0005-0000-0000-000002000000}"/>
    <cellStyle name="Normal 2 2" xfId="3" xr:uid="{00000000-0005-0000-0000-000003000000}"/>
    <cellStyle name="Normal 2 3" xfId="4" xr:uid="{00000000-0005-0000-0000-000004000000}"/>
    <cellStyle name="Normal 3" xfId="5" xr:uid="{00000000-0005-0000-0000-000005000000}"/>
    <cellStyle name="Normal 4" xfId="6" xr:uid="{00000000-0005-0000-0000-000006000000}"/>
    <cellStyle name="Normal 5" xfId="7" xr:uid="{00000000-0005-0000-0000-000007000000}"/>
    <cellStyle name="Porcentaje 2" xfId="8" xr:uid="{00000000-0005-0000-0000-000008000000}"/>
    <cellStyle name="Porcentual 2" xfId="9" xr:uid="{00000000-0005-0000-0000-000009000000}"/>
    <cellStyle name="Porcentual 3" xfId="10" xr:uid="{00000000-0005-0000-0000-00000A000000}"/>
  </cellStyles>
  <dxfs count="0"/>
  <tableStyles count="1" defaultTableStyle="TableStyleMedium9" defaultPivotStyle="PivotStyleLight16">
    <tableStyle name="Invisible" pivot="0" table="0" count="0" xr9:uid="{736AB73F-75A8-44BD-9BA4-ABC232146412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emf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png"/><Relationship Id="rId1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104775</xdr:colOff>
      <xdr:row>5</xdr:row>
      <xdr:rowOff>19050</xdr:rowOff>
    </xdr:from>
    <xdr:to>
      <xdr:col>12</xdr:col>
      <xdr:colOff>790575</xdr:colOff>
      <xdr:row>6</xdr:row>
      <xdr:rowOff>9525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7E2C4AD6-D80C-49F0-9C05-D491AD465ECC}"/>
            </a:ext>
          </a:extLst>
        </xdr:cNvPr>
        <xdr:cNvSpPr/>
      </xdr:nvSpPr>
      <xdr:spPr>
        <a:xfrm>
          <a:off x="942975" y="923925"/>
          <a:ext cx="9906000" cy="1714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PE"/>
        </a:p>
      </xdr:txBody>
    </xdr:sp>
    <xdr:clientData/>
  </xdr:twoCellAnchor>
  <xdr:twoCellAnchor>
    <xdr:from>
      <xdr:col>1</xdr:col>
      <xdr:colOff>228600</xdr:colOff>
      <xdr:row>4</xdr:row>
      <xdr:rowOff>38100</xdr:rowOff>
    </xdr:from>
    <xdr:to>
      <xdr:col>1</xdr:col>
      <xdr:colOff>238125</xdr:colOff>
      <xdr:row>7</xdr:row>
      <xdr:rowOff>9525</xdr:rowOff>
    </xdr:to>
    <xdr:cxnSp macro="">
      <xdr:nvCxnSpPr>
        <xdr:cNvPr id="4" name="Conector recto 3">
          <a:extLst>
            <a:ext uri="{FF2B5EF4-FFF2-40B4-BE49-F238E27FC236}">
              <a16:creationId xmlns:a16="http://schemas.microsoft.com/office/drawing/2014/main" id="{416596DD-F049-4209-9591-AA7ED95C6CC1}"/>
            </a:ext>
          </a:extLst>
        </xdr:cNvPr>
        <xdr:cNvCxnSpPr/>
      </xdr:nvCxnSpPr>
      <xdr:spPr>
        <a:xfrm flipH="1">
          <a:off x="1066800" y="762000"/>
          <a:ext cx="9525" cy="514350"/>
        </a:xfrm>
        <a:prstGeom prst="line">
          <a:avLst/>
        </a:prstGeom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oneCellAnchor>
    <xdr:from>
      <xdr:col>0</xdr:col>
      <xdr:colOff>657225</xdr:colOff>
      <xdr:row>7</xdr:row>
      <xdr:rowOff>10391</xdr:rowOff>
    </xdr:from>
    <xdr:ext cx="722634" cy="264560"/>
    <xdr:sp macro="" textlink="">
      <xdr:nvSpPr>
        <xdr:cNvPr id="5" name="CuadroTexto 4">
          <a:extLst>
            <a:ext uri="{FF2B5EF4-FFF2-40B4-BE49-F238E27FC236}">
              <a16:creationId xmlns:a16="http://schemas.microsoft.com/office/drawing/2014/main" id="{BA848B18-3BB2-46E9-9663-C4FF0F3CDDED}"/>
            </a:ext>
          </a:extLst>
        </xdr:cNvPr>
        <xdr:cNvSpPr txBox="1"/>
      </xdr:nvSpPr>
      <xdr:spPr>
        <a:xfrm>
          <a:off x="657225" y="1241314"/>
          <a:ext cx="72263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PE" sz="1100"/>
            <a:t>07/11/25</a:t>
          </a:r>
        </a:p>
      </xdr:txBody>
    </xdr:sp>
    <xdr:clientData/>
  </xdr:oneCellAnchor>
  <xdr:twoCellAnchor>
    <xdr:from>
      <xdr:col>3</xdr:col>
      <xdr:colOff>552450</xdr:colOff>
      <xdr:row>4</xdr:row>
      <xdr:rowOff>9525</xdr:rowOff>
    </xdr:from>
    <xdr:to>
      <xdr:col>3</xdr:col>
      <xdr:colOff>561975</xdr:colOff>
      <xdr:row>6</xdr:row>
      <xdr:rowOff>161925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FC93F447-D7E2-465E-B57B-289016E7140D}"/>
            </a:ext>
          </a:extLst>
        </xdr:cNvPr>
        <xdr:cNvCxnSpPr/>
      </xdr:nvCxnSpPr>
      <xdr:spPr>
        <a:xfrm flipH="1">
          <a:off x="3067050" y="733425"/>
          <a:ext cx="9525" cy="514350"/>
        </a:xfrm>
        <a:prstGeom prst="line">
          <a:avLst/>
        </a:prstGeom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oneCellAnchor>
    <xdr:from>
      <xdr:col>3</xdr:col>
      <xdr:colOff>152400</xdr:colOff>
      <xdr:row>6</xdr:row>
      <xdr:rowOff>133350</xdr:rowOff>
    </xdr:from>
    <xdr:ext cx="722634" cy="264560"/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0D1F6EFA-C549-48E4-BB69-412D9BA7E549}"/>
            </a:ext>
          </a:extLst>
        </xdr:cNvPr>
        <xdr:cNvSpPr txBox="1"/>
      </xdr:nvSpPr>
      <xdr:spPr>
        <a:xfrm>
          <a:off x="2719754" y="1188427"/>
          <a:ext cx="72263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PE" sz="1100"/>
            <a:t>01/12/25</a:t>
          </a:r>
        </a:p>
      </xdr:txBody>
    </xdr:sp>
    <xdr:clientData/>
  </xdr:oneCellAnchor>
  <xdr:twoCellAnchor>
    <xdr:from>
      <xdr:col>7</xdr:col>
      <xdr:colOff>600075</xdr:colOff>
      <xdr:row>4</xdr:row>
      <xdr:rowOff>28575</xdr:rowOff>
    </xdr:from>
    <xdr:to>
      <xdr:col>7</xdr:col>
      <xdr:colOff>609600</xdr:colOff>
      <xdr:row>7</xdr:row>
      <xdr:rowOff>0</xdr:rowOff>
    </xdr:to>
    <xdr:cxnSp macro="">
      <xdr:nvCxnSpPr>
        <xdr:cNvPr id="8" name="Conector recto 7">
          <a:extLst>
            <a:ext uri="{FF2B5EF4-FFF2-40B4-BE49-F238E27FC236}">
              <a16:creationId xmlns:a16="http://schemas.microsoft.com/office/drawing/2014/main" id="{00988EC6-9CA3-4C83-A8B1-00C52E41B996}"/>
            </a:ext>
          </a:extLst>
        </xdr:cNvPr>
        <xdr:cNvCxnSpPr/>
      </xdr:nvCxnSpPr>
      <xdr:spPr>
        <a:xfrm flipH="1">
          <a:off x="6467475" y="752475"/>
          <a:ext cx="9525" cy="514350"/>
        </a:xfrm>
        <a:prstGeom prst="line">
          <a:avLst/>
        </a:prstGeom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oneCellAnchor>
    <xdr:from>
      <xdr:col>7</xdr:col>
      <xdr:colOff>200025</xdr:colOff>
      <xdr:row>6</xdr:row>
      <xdr:rowOff>152400</xdr:rowOff>
    </xdr:from>
    <xdr:ext cx="722634" cy="264560"/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E7489D0A-45A3-45DA-88EE-AC686FDB45FE}"/>
            </a:ext>
          </a:extLst>
        </xdr:cNvPr>
        <xdr:cNvSpPr txBox="1"/>
      </xdr:nvSpPr>
      <xdr:spPr>
        <a:xfrm>
          <a:off x="6079548" y="1243445"/>
          <a:ext cx="72263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PE" sz="1100"/>
            <a:t>31/12/25</a:t>
          </a:r>
        </a:p>
      </xdr:txBody>
    </xdr:sp>
    <xdr:clientData/>
  </xdr:oneCellAnchor>
  <xdr:twoCellAnchor>
    <xdr:from>
      <xdr:col>9</xdr:col>
      <xdr:colOff>9525</xdr:colOff>
      <xdr:row>4</xdr:row>
      <xdr:rowOff>0</xdr:rowOff>
    </xdr:from>
    <xdr:to>
      <xdr:col>9</xdr:col>
      <xdr:colOff>19050</xdr:colOff>
      <xdr:row>6</xdr:row>
      <xdr:rowOff>152400</xdr:rowOff>
    </xdr:to>
    <xdr:cxnSp macro="">
      <xdr:nvCxnSpPr>
        <xdr:cNvPr id="10" name="Conector recto 9">
          <a:extLst>
            <a:ext uri="{FF2B5EF4-FFF2-40B4-BE49-F238E27FC236}">
              <a16:creationId xmlns:a16="http://schemas.microsoft.com/office/drawing/2014/main" id="{E73146BB-1315-4830-92AD-D2C602A29AD6}"/>
            </a:ext>
          </a:extLst>
        </xdr:cNvPr>
        <xdr:cNvCxnSpPr/>
      </xdr:nvCxnSpPr>
      <xdr:spPr>
        <a:xfrm flipH="1">
          <a:off x="7553325" y="723900"/>
          <a:ext cx="9525" cy="514350"/>
        </a:xfrm>
        <a:prstGeom prst="line">
          <a:avLst/>
        </a:prstGeom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57150</xdr:colOff>
      <xdr:row>3</xdr:row>
      <xdr:rowOff>161925</xdr:rowOff>
    </xdr:from>
    <xdr:to>
      <xdr:col>10</xdr:col>
      <xdr:colOff>66675</xdr:colOff>
      <xdr:row>6</xdr:row>
      <xdr:rowOff>133350</xdr:rowOff>
    </xdr:to>
    <xdr:cxnSp macro="">
      <xdr:nvCxnSpPr>
        <xdr:cNvPr id="11" name="Conector recto 10">
          <a:extLst>
            <a:ext uri="{FF2B5EF4-FFF2-40B4-BE49-F238E27FC236}">
              <a16:creationId xmlns:a16="http://schemas.microsoft.com/office/drawing/2014/main" id="{3184409F-C76A-4820-B736-55ADF547DC4E}"/>
            </a:ext>
          </a:extLst>
        </xdr:cNvPr>
        <xdr:cNvCxnSpPr/>
      </xdr:nvCxnSpPr>
      <xdr:spPr>
        <a:xfrm flipH="1">
          <a:off x="8439150" y="704850"/>
          <a:ext cx="9525" cy="514350"/>
        </a:xfrm>
        <a:prstGeom prst="line">
          <a:avLst/>
        </a:prstGeom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152400</xdr:colOff>
      <xdr:row>3</xdr:row>
      <xdr:rowOff>171450</xdr:rowOff>
    </xdr:from>
    <xdr:to>
      <xdr:col>11</xdr:col>
      <xdr:colOff>161925</xdr:colOff>
      <xdr:row>6</xdr:row>
      <xdr:rowOff>142875</xdr:rowOff>
    </xdr:to>
    <xdr:cxnSp macro="">
      <xdr:nvCxnSpPr>
        <xdr:cNvPr id="12" name="Conector recto 11">
          <a:extLst>
            <a:ext uri="{FF2B5EF4-FFF2-40B4-BE49-F238E27FC236}">
              <a16:creationId xmlns:a16="http://schemas.microsoft.com/office/drawing/2014/main" id="{C256FA51-D527-4490-8D0C-CE498E356457}"/>
            </a:ext>
          </a:extLst>
        </xdr:cNvPr>
        <xdr:cNvCxnSpPr/>
      </xdr:nvCxnSpPr>
      <xdr:spPr>
        <a:xfrm flipH="1">
          <a:off x="9372600" y="714375"/>
          <a:ext cx="9525" cy="514350"/>
        </a:xfrm>
        <a:prstGeom prst="line">
          <a:avLst/>
        </a:prstGeom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oneCellAnchor>
    <xdr:from>
      <xdr:col>8</xdr:col>
      <xdr:colOff>600075</xdr:colOff>
      <xdr:row>6</xdr:row>
      <xdr:rowOff>133350</xdr:rowOff>
    </xdr:from>
    <xdr:ext cx="470642" cy="264560"/>
    <xdr:sp macro="" textlink="">
      <xdr:nvSpPr>
        <xdr:cNvPr id="13" name="CuadroTexto 12">
          <a:extLst>
            <a:ext uri="{FF2B5EF4-FFF2-40B4-BE49-F238E27FC236}">
              <a16:creationId xmlns:a16="http://schemas.microsoft.com/office/drawing/2014/main" id="{7A7F7FB1-B0A6-44D7-80DE-2F4690E95495}"/>
            </a:ext>
          </a:extLst>
        </xdr:cNvPr>
        <xdr:cNvSpPr txBox="1"/>
      </xdr:nvSpPr>
      <xdr:spPr>
        <a:xfrm>
          <a:off x="7319530" y="1224395"/>
          <a:ext cx="47064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PE" sz="1100"/>
            <a:t>2026</a:t>
          </a:r>
        </a:p>
      </xdr:txBody>
    </xdr:sp>
    <xdr:clientData/>
  </xdr:oneCellAnchor>
  <xdr:oneCellAnchor>
    <xdr:from>
      <xdr:col>9</xdr:col>
      <xdr:colOff>676275</xdr:colOff>
      <xdr:row>6</xdr:row>
      <xdr:rowOff>104775</xdr:rowOff>
    </xdr:from>
    <xdr:ext cx="470642" cy="264560"/>
    <xdr:sp macro="" textlink="">
      <xdr:nvSpPr>
        <xdr:cNvPr id="14" name="CuadroTexto 13">
          <a:extLst>
            <a:ext uri="{FF2B5EF4-FFF2-40B4-BE49-F238E27FC236}">
              <a16:creationId xmlns:a16="http://schemas.microsoft.com/office/drawing/2014/main" id="{71E476CF-3B65-469B-9DEB-D39B17831263}"/>
            </a:ext>
          </a:extLst>
        </xdr:cNvPr>
        <xdr:cNvSpPr txBox="1"/>
      </xdr:nvSpPr>
      <xdr:spPr>
        <a:xfrm>
          <a:off x="8235661" y="1195820"/>
          <a:ext cx="47064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PE" sz="1100"/>
            <a:t>2027</a:t>
          </a:r>
        </a:p>
      </xdr:txBody>
    </xdr:sp>
    <xdr:clientData/>
  </xdr:oneCellAnchor>
  <xdr:oneCellAnchor>
    <xdr:from>
      <xdr:col>10</xdr:col>
      <xdr:colOff>771525</xdr:colOff>
      <xdr:row>6</xdr:row>
      <xdr:rowOff>85725</xdr:rowOff>
    </xdr:from>
    <xdr:ext cx="470642" cy="264560"/>
    <xdr:sp macro="" textlink="">
      <xdr:nvSpPr>
        <xdr:cNvPr id="15" name="CuadroTexto 14">
          <a:extLst>
            <a:ext uri="{FF2B5EF4-FFF2-40B4-BE49-F238E27FC236}">
              <a16:creationId xmlns:a16="http://schemas.microsoft.com/office/drawing/2014/main" id="{4E716FEB-8310-4721-A8AC-79AB255F63A8}"/>
            </a:ext>
          </a:extLst>
        </xdr:cNvPr>
        <xdr:cNvSpPr txBox="1"/>
      </xdr:nvSpPr>
      <xdr:spPr>
        <a:xfrm>
          <a:off x="9170843" y="1176770"/>
          <a:ext cx="47064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PE" sz="1100"/>
            <a:t>2028</a:t>
          </a:r>
        </a:p>
      </xdr:txBody>
    </xdr:sp>
    <xdr:clientData/>
  </xdr:oneCellAnchor>
  <xdr:twoCellAnchor>
    <xdr:from>
      <xdr:col>3</xdr:col>
      <xdr:colOff>552450</xdr:colOff>
      <xdr:row>9</xdr:row>
      <xdr:rowOff>66675</xdr:rowOff>
    </xdr:from>
    <xdr:to>
      <xdr:col>11</xdr:col>
      <xdr:colOff>266700</xdr:colOff>
      <xdr:row>9</xdr:row>
      <xdr:rowOff>95250</xdr:rowOff>
    </xdr:to>
    <xdr:cxnSp macro="">
      <xdr:nvCxnSpPr>
        <xdr:cNvPr id="17" name="Conector recto 16">
          <a:extLst>
            <a:ext uri="{FF2B5EF4-FFF2-40B4-BE49-F238E27FC236}">
              <a16:creationId xmlns:a16="http://schemas.microsoft.com/office/drawing/2014/main" id="{69C70582-116E-47FB-BEC2-84A3C14BFB89}"/>
            </a:ext>
          </a:extLst>
        </xdr:cNvPr>
        <xdr:cNvCxnSpPr/>
      </xdr:nvCxnSpPr>
      <xdr:spPr>
        <a:xfrm flipV="1">
          <a:off x="3067050" y="1695450"/>
          <a:ext cx="6419850" cy="2857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542925</xdr:colOff>
      <xdr:row>8</xdr:row>
      <xdr:rowOff>142875</xdr:rowOff>
    </xdr:from>
    <xdr:to>
      <xdr:col>3</xdr:col>
      <xdr:colOff>542925</xdr:colOff>
      <xdr:row>10</xdr:row>
      <xdr:rowOff>114300</xdr:rowOff>
    </xdr:to>
    <xdr:cxnSp macro="">
      <xdr:nvCxnSpPr>
        <xdr:cNvPr id="19" name="Conector recto 18">
          <a:extLst>
            <a:ext uri="{FF2B5EF4-FFF2-40B4-BE49-F238E27FC236}">
              <a16:creationId xmlns:a16="http://schemas.microsoft.com/office/drawing/2014/main" id="{F4613960-E76F-4336-830B-87E31798295F}"/>
            </a:ext>
          </a:extLst>
        </xdr:cNvPr>
        <xdr:cNvCxnSpPr/>
      </xdr:nvCxnSpPr>
      <xdr:spPr>
        <a:xfrm>
          <a:off x="3057525" y="1590675"/>
          <a:ext cx="0" cy="33337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142875</xdr:colOff>
      <xdr:row>8</xdr:row>
      <xdr:rowOff>114300</xdr:rowOff>
    </xdr:from>
    <xdr:to>
      <xdr:col>11</xdr:col>
      <xdr:colOff>142875</xdr:colOff>
      <xdr:row>10</xdr:row>
      <xdr:rowOff>85725</xdr:rowOff>
    </xdr:to>
    <xdr:cxnSp macro="">
      <xdr:nvCxnSpPr>
        <xdr:cNvPr id="20" name="Conector recto 19">
          <a:extLst>
            <a:ext uri="{FF2B5EF4-FFF2-40B4-BE49-F238E27FC236}">
              <a16:creationId xmlns:a16="http://schemas.microsoft.com/office/drawing/2014/main" id="{B4EC1288-5ADC-4368-AF27-3999F7DC0DEE}"/>
            </a:ext>
          </a:extLst>
        </xdr:cNvPr>
        <xdr:cNvCxnSpPr/>
      </xdr:nvCxnSpPr>
      <xdr:spPr>
        <a:xfrm>
          <a:off x="9363075" y="1562100"/>
          <a:ext cx="0" cy="33337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609600</xdr:colOff>
      <xdr:row>8</xdr:row>
      <xdr:rowOff>76200</xdr:rowOff>
    </xdr:from>
    <xdr:to>
      <xdr:col>7</xdr:col>
      <xdr:colOff>609600</xdr:colOff>
      <xdr:row>10</xdr:row>
      <xdr:rowOff>47625</xdr:rowOff>
    </xdr:to>
    <xdr:cxnSp macro="">
      <xdr:nvCxnSpPr>
        <xdr:cNvPr id="21" name="Conector recto 20">
          <a:extLst>
            <a:ext uri="{FF2B5EF4-FFF2-40B4-BE49-F238E27FC236}">
              <a16:creationId xmlns:a16="http://schemas.microsoft.com/office/drawing/2014/main" id="{7D491D16-1726-43B1-AA93-52FA1AAB1480}"/>
            </a:ext>
          </a:extLst>
        </xdr:cNvPr>
        <xdr:cNvCxnSpPr/>
      </xdr:nvCxnSpPr>
      <xdr:spPr>
        <a:xfrm>
          <a:off x="6477000" y="1524000"/>
          <a:ext cx="0" cy="33337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247650</xdr:colOff>
      <xdr:row>9</xdr:row>
      <xdr:rowOff>19050</xdr:rowOff>
    </xdr:from>
    <xdr:to>
      <xdr:col>3</xdr:col>
      <xdr:colOff>419100</xdr:colOff>
      <xdr:row>9</xdr:row>
      <xdr:rowOff>19050</xdr:rowOff>
    </xdr:to>
    <xdr:cxnSp macro="">
      <xdr:nvCxnSpPr>
        <xdr:cNvPr id="23" name="Conector recto 22">
          <a:extLst>
            <a:ext uri="{FF2B5EF4-FFF2-40B4-BE49-F238E27FC236}">
              <a16:creationId xmlns:a16="http://schemas.microsoft.com/office/drawing/2014/main" id="{D3B78E7E-B2E5-417A-BFC7-C8534691D5AD}"/>
            </a:ext>
          </a:extLst>
        </xdr:cNvPr>
        <xdr:cNvCxnSpPr/>
      </xdr:nvCxnSpPr>
      <xdr:spPr>
        <a:xfrm>
          <a:off x="1085850" y="1647825"/>
          <a:ext cx="1847850" cy="0"/>
        </a:xfrm>
        <a:prstGeom prst="line">
          <a:avLst/>
        </a:prstGeom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276225</xdr:colOff>
      <xdr:row>3</xdr:row>
      <xdr:rowOff>171450</xdr:rowOff>
    </xdr:from>
    <xdr:to>
      <xdr:col>12</xdr:col>
      <xdr:colOff>285750</xdr:colOff>
      <xdr:row>6</xdr:row>
      <xdr:rowOff>142875</xdr:rowOff>
    </xdr:to>
    <xdr:cxnSp macro="">
      <xdr:nvCxnSpPr>
        <xdr:cNvPr id="3" name="Conector recto 2">
          <a:extLst>
            <a:ext uri="{FF2B5EF4-FFF2-40B4-BE49-F238E27FC236}">
              <a16:creationId xmlns:a16="http://schemas.microsoft.com/office/drawing/2014/main" id="{5DC0BDDD-227A-457C-92D3-3CD7AFBA0022}"/>
            </a:ext>
          </a:extLst>
        </xdr:cNvPr>
        <xdr:cNvCxnSpPr/>
      </xdr:nvCxnSpPr>
      <xdr:spPr>
        <a:xfrm flipH="1">
          <a:off x="10334625" y="714375"/>
          <a:ext cx="9525" cy="514350"/>
        </a:xfrm>
        <a:prstGeom prst="line">
          <a:avLst/>
        </a:prstGeom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oneCellAnchor>
    <xdr:from>
      <xdr:col>12</xdr:col>
      <xdr:colOff>57150</xdr:colOff>
      <xdr:row>6</xdr:row>
      <xdr:rowOff>85725</xdr:rowOff>
    </xdr:from>
    <xdr:ext cx="470642" cy="264560"/>
    <xdr:sp macro="" textlink="">
      <xdr:nvSpPr>
        <xdr:cNvPr id="16" name="CuadroTexto 15">
          <a:extLst>
            <a:ext uri="{FF2B5EF4-FFF2-40B4-BE49-F238E27FC236}">
              <a16:creationId xmlns:a16="http://schemas.microsoft.com/office/drawing/2014/main" id="{2648A075-5326-4647-A3B1-6E5D35C988EA}"/>
            </a:ext>
          </a:extLst>
        </xdr:cNvPr>
        <xdr:cNvSpPr txBox="1"/>
      </xdr:nvSpPr>
      <xdr:spPr>
        <a:xfrm>
          <a:off x="10136332" y="1176770"/>
          <a:ext cx="47064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PE" sz="1100"/>
            <a:t>2029</a:t>
          </a: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1</xdr:row>
      <xdr:rowOff>0</xdr:rowOff>
    </xdr:from>
    <xdr:to>
      <xdr:col>8</xdr:col>
      <xdr:colOff>190500</xdr:colOff>
      <xdr:row>53</xdr:row>
      <xdr:rowOff>28575</xdr:rowOff>
    </xdr:to>
    <xdr:pic>
      <xdr:nvPicPr>
        <xdr:cNvPr id="11342" name="Imagen 3">
          <a:extLst>
            <a:ext uri="{FF2B5EF4-FFF2-40B4-BE49-F238E27FC236}">
              <a16:creationId xmlns:a16="http://schemas.microsoft.com/office/drawing/2014/main" id="{E9EEF8A0-9621-4F7E-A245-D96AC2C475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" y="190500"/>
          <a:ext cx="6838950" cy="9439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76200</xdr:colOff>
      <xdr:row>53</xdr:row>
      <xdr:rowOff>161925</xdr:rowOff>
    </xdr:from>
    <xdr:to>
      <xdr:col>8</xdr:col>
      <xdr:colOff>209550</xdr:colOff>
      <xdr:row>69</xdr:row>
      <xdr:rowOff>152400</xdr:rowOff>
    </xdr:to>
    <xdr:pic>
      <xdr:nvPicPr>
        <xdr:cNvPr id="11343" name="Imagen 4">
          <a:extLst>
            <a:ext uri="{FF2B5EF4-FFF2-40B4-BE49-F238E27FC236}">
              <a16:creationId xmlns:a16="http://schemas.microsoft.com/office/drawing/2014/main" id="{289E844A-4146-4EDB-B6B4-8D21DEF9B9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9763125"/>
          <a:ext cx="6838950" cy="2886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1</xdr:row>
      <xdr:rowOff>9525</xdr:rowOff>
    </xdr:from>
    <xdr:to>
      <xdr:col>6</xdr:col>
      <xdr:colOff>942975</xdr:colOff>
      <xdr:row>38</xdr:row>
      <xdr:rowOff>78398</xdr:rowOff>
    </xdr:to>
    <xdr:pic>
      <xdr:nvPicPr>
        <xdr:cNvPr id="12327" name="Imagen 1">
          <a:extLst>
            <a:ext uri="{FF2B5EF4-FFF2-40B4-BE49-F238E27FC236}">
              <a16:creationId xmlns:a16="http://schemas.microsoft.com/office/drawing/2014/main" id="{1615AEDE-2055-4200-AC43-34DF922998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200025"/>
          <a:ext cx="6838950" cy="6772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1</xdr:row>
      <xdr:rowOff>0</xdr:rowOff>
    </xdr:from>
    <xdr:to>
      <xdr:col>8</xdr:col>
      <xdr:colOff>190500</xdr:colOff>
      <xdr:row>43</xdr:row>
      <xdr:rowOff>19050</xdr:rowOff>
    </xdr:to>
    <xdr:pic>
      <xdr:nvPicPr>
        <xdr:cNvPr id="10281" name="Imagen 1">
          <a:extLst>
            <a:ext uri="{FF2B5EF4-FFF2-40B4-BE49-F238E27FC236}">
              <a16:creationId xmlns:a16="http://schemas.microsoft.com/office/drawing/2014/main" id="{731B6B4D-9EFE-498D-B50F-20B47AFF39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" y="190500"/>
          <a:ext cx="6838950" cy="7620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6</xdr:col>
      <xdr:colOff>542925</xdr:colOff>
      <xdr:row>24</xdr:row>
      <xdr:rowOff>133350</xdr:rowOff>
    </xdr:to>
    <xdr:pic>
      <xdr:nvPicPr>
        <xdr:cNvPr id="17430" name="Imagen 1">
          <a:extLst>
            <a:ext uri="{FF2B5EF4-FFF2-40B4-BE49-F238E27FC236}">
              <a16:creationId xmlns:a16="http://schemas.microsoft.com/office/drawing/2014/main" id="{28CABC2E-71E0-4AE7-9C6C-9A6A297BE3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0500"/>
          <a:ext cx="5572125" cy="4295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25</xdr:row>
      <xdr:rowOff>0</xdr:rowOff>
    </xdr:from>
    <xdr:to>
      <xdr:col>6</xdr:col>
      <xdr:colOff>552450</xdr:colOff>
      <xdr:row>47</xdr:row>
      <xdr:rowOff>47625</xdr:rowOff>
    </xdr:to>
    <xdr:pic>
      <xdr:nvPicPr>
        <xdr:cNvPr id="17431" name="Imagen 2">
          <a:extLst>
            <a:ext uri="{FF2B5EF4-FFF2-40B4-BE49-F238E27FC236}">
              <a16:creationId xmlns:a16="http://schemas.microsoft.com/office/drawing/2014/main" id="{A81A8E64-6779-4DEB-8B1B-C760A87FBA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533900"/>
          <a:ext cx="5581650" cy="402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48</xdr:row>
      <xdr:rowOff>0</xdr:rowOff>
    </xdr:from>
    <xdr:to>
      <xdr:col>6</xdr:col>
      <xdr:colOff>542925</xdr:colOff>
      <xdr:row>62</xdr:row>
      <xdr:rowOff>57150</xdr:rowOff>
    </xdr:to>
    <xdr:pic>
      <xdr:nvPicPr>
        <xdr:cNvPr id="17432" name="Imagen 3">
          <a:extLst>
            <a:ext uri="{FF2B5EF4-FFF2-40B4-BE49-F238E27FC236}">
              <a16:creationId xmlns:a16="http://schemas.microsoft.com/office/drawing/2014/main" id="{ADC7755A-5849-4F59-A2F6-95EA1F1D2E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696325"/>
          <a:ext cx="5572125" cy="2590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6</xdr:col>
      <xdr:colOff>438150</xdr:colOff>
      <xdr:row>23</xdr:row>
      <xdr:rowOff>95250</xdr:rowOff>
    </xdr:to>
    <xdr:pic>
      <xdr:nvPicPr>
        <xdr:cNvPr id="18445" name="Imagen 1">
          <a:extLst>
            <a:ext uri="{FF2B5EF4-FFF2-40B4-BE49-F238E27FC236}">
              <a16:creationId xmlns:a16="http://schemas.microsoft.com/office/drawing/2014/main" id="{3EAAA8DF-347F-46A5-BBB1-E8344DED7A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0500"/>
          <a:ext cx="5467350" cy="407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24</xdr:row>
      <xdr:rowOff>0</xdr:rowOff>
    </xdr:from>
    <xdr:to>
      <xdr:col>6</xdr:col>
      <xdr:colOff>571500</xdr:colOff>
      <xdr:row>39</xdr:row>
      <xdr:rowOff>161925</xdr:rowOff>
    </xdr:to>
    <xdr:pic>
      <xdr:nvPicPr>
        <xdr:cNvPr id="18446" name="Imagen 2">
          <a:extLst>
            <a:ext uri="{FF2B5EF4-FFF2-40B4-BE49-F238E27FC236}">
              <a16:creationId xmlns:a16="http://schemas.microsoft.com/office/drawing/2014/main" id="{8E1751F4-D261-4E70-AF79-55ABB7FB54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352925"/>
          <a:ext cx="5600700" cy="2876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0"/>
  <sheetViews>
    <sheetView topLeftCell="A46" zoomScale="130" zoomScaleNormal="130" workbookViewId="0">
      <selection activeCell="A61" sqref="A61"/>
    </sheetView>
  </sheetViews>
  <sheetFormatPr baseColWidth="10" defaultRowHeight="14.25" x14ac:dyDescent="0.2"/>
  <sheetData>
    <row r="1" spans="1:6" ht="15" x14ac:dyDescent="0.25">
      <c r="A1" s="11" t="s">
        <v>3</v>
      </c>
    </row>
    <row r="2" spans="1:6" x14ac:dyDescent="0.2">
      <c r="A2" t="s">
        <v>4</v>
      </c>
      <c r="D2" t="s">
        <v>65</v>
      </c>
    </row>
    <row r="3" spans="1:6" x14ac:dyDescent="0.2">
      <c r="A3" t="s">
        <v>31</v>
      </c>
      <c r="F3" s="3">
        <v>45460</v>
      </c>
    </row>
    <row r="12" spans="1:6" x14ac:dyDescent="0.2">
      <c r="D12" t="s">
        <v>66</v>
      </c>
    </row>
    <row r="13" spans="1:6" x14ac:dyDescent="0.2">
      <c r="D13" t="s">
        <v>67</v>
      </c>
    </row>
    <row r="14" spans="1:6" x14ac:dyDescent="0.2">
      <c r="D14" t="s">
        <v>77</v>
      </c>
    </row>
    <row r="16" spans="1:6" x14ac:dyDescent="0.2">
      <c r="B16" t="s">
        <v>5</v>
      </c>
    </row>
    <row r="18" spans="1:6" ht="15" x14ac:dyDescent="0.25">
      <c r="A18" s="11" t="s">
        <v>6</v>
      </c>
    </row>
    <row r="19" spans="1:6" x14ac:dyDescent="0.2">
      <c r="A19" t="s">
        <v>7</v>
      </c>
      <c r="F19" t="s">
        <v>79</v>
      </c>
    </row>
    <row r="20" spans="1:6" x14ac:dyDescent="0.2">
      <c r="A20" t="s">
        <v>8</v>
      </c>
    </row>
    <row r="21" spans="1:6" x14ac:dyDescent="0.2">
      <c r="A21" t="s">
        <v>9</v>
      </c>
    </row>
    <row r="22" spans="1:6" x14ac:dyDescent="0.2">
      <c r="A22" t="s">
        <v>10</v>
      </c>
    </row>
    <row r="24" spans="1:6" ht="15" x14ac:dyDescent="0.25">
      <c r="A24" s="11" t="s">
        <v>11</v>
      </c>
    </row>
    <row r="25" spans="1:6" x14ac:dyDescent="0.2">
      <c r="A25" t="s">
        <v>12</v>
      </c>
    </row>
    <row r="26" spans="1:6" x14ac:dyDescent="0.2">
      <c r="A26" t="s">
        <v>13</v>
      </c>
    </row>
    <row r="27" spans="1:6" x14ac:dyDescent="0.2">
      <c r="A27" t="s">
        <v>14</v>
      </c>
    </row>
    <row r="29" spans="1:6" x14ac:dyDescent="0.2">
      <c r="A29" t="s">
        <v>15</v>
      </c>
    </row>
    <row r="30" spans="1:6" x14ac:dyDescent="0.2">
      <c r="A30" t="s">
        <v>16</v>
      </c>
    </row>
    <row r="32" spans="1:6" x14ac:dyDescent="0.2">
      <c r="A32" t="s">
        <v>17</v>
      </c>
      <c r="E32" t="s">
        <v>18</v>
      </c>
    </row>
    <row r="34" spans="1:15" x14ac:dyDescent="0.2">
      <c r="B34" s="21">
        <v>46023</v>
      </c>
      <c r="C34" s="22"/>
      <c r="D34" s="22"/>
      <c r="E34" s="22"/>
      <c r="F34" s="21">
        <v>46054</v>
      </c>
      <c r="G34" s="22"/>
      <c r="H34" s="22"/>
      <c r="I34" s="22"/>
      <c r="J34" s="21">
        <v>46082</v>
      </c>
      <c r="K34" s="22"/>
      <c r="L34" s="22"/>
      <c r="M34" s="22"/>
      <c r="O34" t="s">
        <v>78</v>
      </c>
    </row>
    <row r="35" spans="1:15" x14ac:dyDescent="0.2">
      <c r="A35" t="s">
        <v>19</v>
      </c>
      <c r="B35" t="s">
        <v>23</v>
      </c>
      <c r="C35" s="4" t="s">
        <v>24</v>
      </c>
      <c r="D35" s="4" t="s">
        <v>25</v>
      </c>
      <c r="E35" s="4" t="s">
        <v>26</v>
      </c>
      <c r="F35" s="4" t="s">
        <v>23</v>
      </c>
      <c r="G35" s="4" t="s">
        <v>24</v>
      </c>
      <c r="H35" s="4" t="s">
        <v>25</v>
      </c>
      <c r="I35" s="4" t="s">
        <v>26</v>
      </c>
      <c r="J35" s="4" t="s">
        <v>23</v>
      </c>
      <c r="K35" s="4" t="s">
        <v>24</v>
      </c>
      <c r="L35" s="4" t="s">
        <v>25</v>
      </c>
      <c r="M35" s="4" t="s">
        <v>26</v>
      </c>
      <c r="O35" s="4" t="s">
        <v>24</v>
      </c>
    </row>
    <row r="36" spans="1:15" x14ac:dyDescent="0.2">
      <c r="A36" t="s">
        <v>20</v>
      </c>
      <c r="B36" s="5">
        <v>1000</v>
      </c>
      <c r="C36" s="5">
        <v>15000</v>
      </c>
      <c r="D36" s="6">
        <f>ROUNDUP(G36/28*15,0)</f>
        <v>5090</v>
      </c>
      <c r="E36" s="7">
        <f>D36+C36-B36</f>
        <v>19090</v>
      </c>
      <c r="F36" s="6">
        <f>D36</f>
        <v>5090</v>
      </c>
      <c r="G36" s="5">
        <v>9500</v>
      </c>
      <c r="H36" s="6">
        <f>ROUNDUP(K36/31*15,0)</f>
        <v>5807</v>
      </c>
      <c r="I36" s="7">
        <f>H36+G36-F36</f>
        <v>10217</v>
      </c>
      <c r="J36" s="6">
        <f>H36</f>
        <v>5807</v>
      </c>
      <c r="K36" s="5">
        <v>12000</v>
      </c>
      <c r="L36" s="6">
        <f>ROUNDUP(O36/31*15,0)</f>
        <v>4839</v>
      </c>
      <c r="M36" s="7">
        <f>L36+K36-J36</f>
        <v>11032</v>
      </c>
      <c r="O36" s="12">
        <v>10000</v>
      </c>
    </row>
    <row r="37" spans="1:15" x14ac:dyDescent="0.2">
      <c r="A37" t="s">
        <v>21</v>
      </c>
      <c r="B37" s="5">
        <v>5000</v>
      </c>
      <c r="C37" s="5">
        <v>8000</v>
      </c>
      <c r="D37" s="6">
        <f>ROUNDUP(G37/28*15,0)</f>
        <v>4018</v>
      </c>
      <c r="E37" s="7">
        <f>D37+C37-B37</f>
        <v>7018</v>
      </c>
      <c r="F37" s="6">
        <f>D37</f>
        <v>4018</v>
      </c>
      <c r="G37" s="5">
        <v>7500</v>
      </c>
      <c r="H37" s="6">
        <f>ROUNDUP(K37/31*15,0)</f>
        <v>6871</v>
      </c>
      <c r="I37" s="7">
        <f>H37+G37-F37</f>
        <v>10353</v>
      </c>
      <c r="J37" s="6">
        <f>H37</f>
        <v>6871</v>
      </c>
      <c r="K37" s="5">
        <v>14200</v>
      </c>
      <c r="L37" s="6">
        <f t="shared" ref="L37:L38" si="0">ROUNDUP(O37/31*15,0)</f>
        <v>5807</v>
      </c>
      <c r="M37" s="7">
        <f t="shared" ref="M37:M38" si="1">L37+K37-J37</f>
        <v>13136</v>
      </c>
      <c r="O37" s="12">
        <v>12000</v>
      </c>
    </row>
    <row r="38" spans="1:15" x14ac:dyDescent="0.2">
      <c r="A38" t="s">
        <v>22</v>
      </c>
      <c r="B38" s="5">
        <v>10000</v>
      </c>
      <c r="C38" s="5">
        <v>12000</v>
      </c>
      <c r="D38" s="6">
        <f>ROUNDUP(G38/28*15,0)</f>
        <v>5063</v>
      </c>
      <c r="E38" s="7">
        <f>D38+C38-B38</f>
        <v>7063</v>
      </c>
      <c r="F38" s="6">
        <f>D38</f>
        <v>5063</v>
      </c>
      <c r="G38" s="5">
        <v>9450</v>
      </c>
      <c r="H38" s="6">
        <f>ROUNDUP(K38/31*15,0)</f>
        <v>4162</v>
      </c>
      <c r="I38" s="7">
        <f>H38+G38-F38</f>
        <v>8549</v>
      </c>
      <c r="J38" s="6">
        <f>H38</f>
        <v>4162</v>
      </c>
      <c r="K38" s="5">
        <v>8600</v>
      </c>
      <c r="L38" s="6">
        <f t="shared" si="0"/>
        <v>4355</v>
      </c>
      <c r="M38" s="7">
        <f t="shared" si="1"/>
        <v>8793</v>
      </c>
      <c r="O38" s="12">
        <v>9000</v>
      </c>
    </row>
    <row r="39" spans="1:15" x14ac:dyDescent="0.2">
      <c r="E39" s="5">
        <f>SUM(E36:E38)</f>
        <v>33171</v>
      </c>
      <c r="I39" s="5">
        <f>SUM(I36:I38)</f>
        <v>29119</v>
      </c>
      <c r="M39" s="5">
        <f>SUM(M36:M38)</f>
        <v>32961</v>
      </c>
    </row>
    <row r="40" spans="1:15" x14ac:dyDescent="0.2">
      <c r="A40" t="s">
        <v>27</v>
      </c>
    </row>
    <row r="41" spans="1:15" x14ac:dyDescent="0.2">
      <c r="A41" t="s">
        <v>28</v>
      </c>
    </row>
    <row r="42" spans="1:15" x14ac:dyDescent="0.2">
      <c r="D42" t="s">
        <v>68</v>
      </c>
    </row>
    <row r="43" spans="1:15" x14ac:dyDescent="0.2">
      <c r="D43" t="s">
        <v>69</v>
      </c>
    </row>
    <row r="48" spans="1:15" x14ac:dyDescent="0.2">
      <c r="B48" t="s">
        <v>80</v>
      </c>
    </row>
    <row r="49" spans="1:2" x14ac:dyDescent="0.2">
      <c r="B49" t="s">
        <v>81</v>
      </c>
    </row>
    <row r="52" spans="1:2" x14ac:dyDescent="0.2">
      <c r="A52" t="s">
        <v>82</v>
      </c>
    </row>
    <row r="53" spans="1:2" x14ac:dyDescent="0.2">
      <c r="A53" t="s">
        <v>83</v>
      </c>
    </row>
    <row r="54" spans="1:2" x14ac:dyDescent="0.2">
      <c r="A54" t="s">
        <v>84</v>
      </c>
    </row>
    <row r="55" spans="1:2" x14ac:dyDescent="0.2">
      <c r="A55" t="s">
        <v>85</v>
      </c>
    </row>
    <row r="56" spans="1:2" x14ac:dyDescent="0.2">
      <c r="A56" t="s">
        <v>86</v>
      </c>
    </row>
    <row r="57" spans="1:2" x14ac:dyDescent="0.2">
      <c r="A57" t="s">
        <v>87</v>
      </c>
    </row>
    <row r="58" spans="1:2" x14ac:dyDescent="0.2">
      <c r="A58" t="s">
        <v>88</v>
      </c>
    </row>
    <row r="59" spans="1:2" x14ac:dyDescent="0.2">
      <c r="A59" t="s">
        <v>89</v>
      </c>
    </row>
    <row r="60" spans="1:2" x14ac:dyDescent="0.2">
      <c r="A60" t="s">
        <v>90</v>
      </c>
    </row>
  </sheetData>
  <mergeCells count="3">
    <mergeCell ref="B34:E34"/>
    <mergeCell ref="F34:I34"/>
    <mergeCell ref="J34:M3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89"/>
  <sheetViews>
    <sheetView topLeftCell="A73" zoomScale="120" zoomScaleNormal="120" workbookViewId="0">
      <selection activeCell="D85" sqref="D85"/>
    </sheetView>
  </sheetViews>
  <sheetFormatPr baseColWidth="10" defaultColWidth="11" defaultRowHeight="14.25" x14ac:dyDescent="0.2"/>
  <cols>
    <col min="1" max="16384" width="11" style="2"/>
  </cols>
  <sheetData>
    <row r="1" spans="1:14" ht="15" x14ac:dyDescent="0.25">
      <c r="A1" s="1" t="s">
        <v>0</v>
      </c>
      <c r="J1" s="2" t="s">
        <v>11</v>
      </c>
    </row>
    <row r="2" spans="1:14" x14ac:dyDescent="0.2">
      <c r="J2" s="2" t="s">
        <v>32</v>
      </c>
      <c r="K2" s="8" t="s">
        <v>36</v>
      </c>
      <c r="L2" s="8" t="s">
        <v>37</v>
      </c>
    </row>
    <row r="3" spans="1:14" x14ac:dyDescent="0.2">
      <c r="J3" s="2" t="s">
        <v>33</v>
      </c>
      <c r="K3" s="9">
        <v>6000</v>
      </c>
      <c r="L3" s="9">
        <v>1500</v>
      </c>
    </row>
    <row r="4" spans="1:14" x14ac:dyDescent="0.2">
      <c r="J4" s="2" t="s">
        <v>34</v>
      </c>
      <c r="K4" s="8">
        <v>120</v>
      </c>
      <c r="L4" s="8">
        <v>150</v>
      </c>
    </row>
    <row r="5" spans="1:14" x14ac:dyDescent="0.2">
      <c r="J5" s="13" t="s">
        <v>35</v>
      </c>
      <c r="K5" s="14">
        <f>K3*K4</f>
        <v>720000</v>
      </c>
      <c r="L5" s="14">
        <f>L3*L4</f>
        <v>225000</v>
      </c>
    </row>
    <row r="7" spans="1:14" x14ac:dyDescent="0.2">
      <c r="J7" s="2" t="s">
        <v>38</v>
      </c>
    </row>
    <row r="8" spans="1:14" x14ac:dyDescent="0.2">
      <c r="J8" s="2" t="s">
        <v>19</v>
      </c>
      <c r="K8" s="8" t="s">
        <v>23</v>
      </c>
      <c r="L8" s="8" t="s">
        <v>24</v>
      </c>
      <c r="M8" s="8" t="s">
        <v>25</v>
      </c>
      <c r="N8" s="15" t="s">
        <v>39</v>
      </c>
    </row>
    <row r="9" spans="1:14" x14ac:dyDescent="0.2">
      <c r="J9" s="2" t="s">
        <v>36</v>
      </c>
      <c r="K9" s="10">
        <v>100</v>
      </c>
      <c r="L9" s="10">
        <f>K3</f>
        <v>6000</v>
      </c>
      <c r="M9" s="10">
        <v>900</v>
      </c>
      <c r="N9" s="14">
        <f>M9+L9-K9</f>
        <v>6800</v>
      </c>
    </row>
    <row r="10" spans="1:14" x14ac:dyDescent="0.2">
      <c r="J10" s="2" t="s">
        <v>37</v>
      </c>
      <c r="K10" s="10">
        <v>50</v>
      </c>
      <c r="L10" s="10">
        <f>L3</f>
        <v>1500</v>
      </c>
      <c r="M10" s="10">
        <v>100</v>
      </c>
      <c r="N10" s="14">
        <f>M10+L10-K10</f>
        <v>1550</v>
      </c>
    </row>
    <row r="12" spans="1:14" x14ac:dyDescent="0.2">
      <c r="J12" s="2" t="s">
        <v>40</v>
      </c>
    </row>
    <row r="13" spans="1:14" x14ac:dyDescent="0.2">
      <c r="J13" s="2" t="s">
        <v>41</v>
      </c>
    </row>
    <row r="14" spans="1:14" x14ac:dyDescent="0.2">
      <c r="J14" s="2" t="s">
        <v>42</v>
      </c>
    </row>
    <row r="16" spans="1:14" x14ac:dyDescent="0.2">
      <c r="J16" s="2" t="s">
        <v>43</v>
      </c>
    </row>
    <row r="17" spans="10:15" x14ac:dyDescent="0.2">
      <c r="J17" s="2" t="s">
        <v>44</v>
      </c>
    </row>
    <row r="18" spans="10:15" x14ac:dyDescent="0.2">
      <c r="J18" s="2" t="s">
        <v>47</v>
      </c>
      <c r="K18" s="8" t="s">
        <v>48</v>
      </c>
      <c r="L18" s="8" t="s">
        <v>39</v>
      </c>
      <c r="M18" s="8" t="s">
        <v>49</v>
      </c>
      <c r="N18" s="8" t="s">
        <v>50</v>
      </c>
      <c r="O18" s="8" t="s">
        <v>51</v>
      </c>
    </row>
    <row r="19" spans="10:15" x14ac:dyDescent="0.2">
      <c r="J19" s="2" t="s">
        <v>45</v>
      </c>
      <c r="K19" s="8">
        <v>10</v>
      </c>
      <c r="L19" s="10">
        <f>N9</f>
        <v>6800</v>
      </c>
      <c r="M19" s="10">
        <f>K19*L19</f>
        <v>68000</v>
      </c>
      <c r="N19" s="8">
        <v>2</v>
      </c>
      <c r="O19" s="10">
        <f>M19*N19</f>
        <v>136000</v>
      </c>
    </row>
    <row r="20" spans="10:15" x14ac:dyDescent="0.2">
      <c r="J20" s="2" t="s">
        <v>46</v>
      </c>
      <c r="K20" s="8">
        <v>8</v>
      </c>
      <c r="L20" s="10">
        <f>N9</f>
        <v>6800</v>
      </c>
      <c r="M20" s="10">
        <f>K20*L20</f>
        <v>54400</v>
      </c>
      <c r="N20" s="8">
        <v>3</v>
      </c>
      <c r="O20" s="10">
        <f>M20*N20</f>
        <v>163200</v>
      </c>
    </row>
    <row r="21" spans="10:15" x14ac:dyDescent="0.2">
      <c r="O21" s="14">
        <f>O19+O20</f>
        <v>299200</v>
      </c>
    </row>
    <row r="22" spans="10:15" x14ac:dyDescent="0.2">
      <c r="J22" s="2" t="s">
        <v>52</v>
      </c>
    </row>
    <row r="23" spans="10:15" x14ac:dyDescent="0.2">
      <c r="J23" s="2" t="s">
        <v>47</v>
      </c>
      <c r="K23" s="8" t="s">
        <v>48</v>
      </c>
      <c r="L23" s="8" t="s">
        <v>39</v>
      </c>
      <c r="M23" s="8" t="s">
        <v>49</v>
      </c>
      <c r="N23" s="8" t="s">
        <v>50</v>
      </c>
      <c r="O23" s="8" t="s">
        <v>51</v>
      </c>
    </row>
    <row r="24" spans="10:15" x14ac:dyDescent="0.2">
      <c r="J24" s="2" t="s">
        <v>45</v>
      </c>
      <c r="K24" s="8">
        <v>8</v>
      </c>
      <c r="L24" s="10">
        <f>N10</f>
        <v>1550</v>
      </c>
      <c r="M24" s="10">
        <f>K24*L24</f>
        <v>12400</v>
      </c>
      <c r="N24" s="8">
        <v>2</v>
      </c>
      <c r="O24" s="10">
        <f>M24*N24</f>
        <v>24800</v>
      </c>
    </row>
    <row r="25" spans="10:15" x14ac:dyDescent="0.2">
      <c r="J25" s="2" t="s">
        <v>46</v>
      </c>
      <c r="K25" s="8">
        <v>6</v>
      </c>
      <c r="L25" s="10">
        <f>L24</f>
        <v>1550</v>
      </c>
      <c r="M25" s="10">
        <f>K25*L25</f>
        <v>9300</v>
      </c>
      <c r="N25" s="8">
        <v>3</v>
      </c>
      <c r="O25" s="10">
        <f>M25*N25</f>
        <v>27900</v>
      </c>
    </row>
    <row r="26" spans="10:15" x14ac:dyDescent="0.2">
      <c r="O26" s="14">
        <f>O24+O25</f>
        <v>52700</v>
      </c>
    </row>
    <row r="27" spans="10:15" x14ac:dyDescent="0.2">
      <c r="J27" s="2" t="s">
        <v>53</v>
      </c>
      <c r="O27" s="14">
        <f>O21+O26</f>
        <v>351900</v>
      </c>
    </row>
    <row r="29" spans="10:15" x14ac:dyDescent="0.2">
      <c r="J29" s="2" t="s">
        <v>95</v>
      </c>
    </row>
    <row r="30" spans="10:15" x14ac:dyDescent="0.2">
      <c r="J30" s="2" t="s">
        <v>19</v>
      </c>
      <c r="K30" s="8" t="s">
        <v>54</v>
      </c>
      <c r="L30" s="8" t="s">
        <v>39</v>
      </c>
      <c r="M30" s="8" t="s">
        <v>55</v>
      </c>
      <c r="N30" s="8" t="s">
        <v>56</v>
      </c>
      <c r="O30" s="8" t="s">
        <v>94</v>
      </c>
    </row>
    <row r="31" spans="10:15" x14ac:dyDescent="0.2">
      <c r="J31" s="2" t="s">
        <v>36</v>
      </c>
      <c r="K31" s="8">
        <v>16</v>
      </c>
      <c r="L31" s="10">
        <f>L19</f>
        <v>6800</v>
      </c>
      <c r="M31" s="10">
        <f>K31*L31</f>
        <v>108800</v>
      </c>
      <c r="N31" s="8">
        <v>2.5</v>
      </c>
      <c r="O31" s="10">
        <f>M31*N31</f>
        <v>272000</v>
      </c>
    </row>
    <row r="32" spans="10:15" x14ac:dyDescent="0.2">
      <c r="J32" s="2" t="s">
        <v>37</v>
      </c>
      <c r="K32" s="8">
        <v>18</v>
      </c>
      <c r="L32" s="10">
        <f>L24</f>
        <v>1550</v>
      </c>
      <c r="M32" s="10">
        <f>K32*L32</f>
        <v>27900</v>
      </c>
      <c r="N32" s="8">
        <v>2.5</v>
      </c>
      <c r="O32" s="10">
        <f>M32*N32</f>
        <v>69750</v>
      </c>
    </row>
    <row r="33" spans="9:19" x14ac:dyDescent="0.2">
      <c r="K33" s="8"/>
      <c r="L33" s="8"/>
      <c r="M33" s="8"/>
      <c r="N33" s="8"/>
      <c r="O33" s="14">
        <f>O31+O32</f>
        <v>341750</v>
      </c>
    </row>
    <row r="35" spans="9:19" x14ac:dyDescent="0.2">
      <c r="J35" s="2" t="s">
        <v>57</v>
      </c>
      <c r="K35" s="14">
        <f>35000+78000+30000+25000+35000+35000+5800+4600+25000</f>
        <v>273400</v>
      </c>
    </row>
    <row r="36" spans="9:19" x14ac:dyDescent="0.2">
      <c r="J36" s="2" t="s">
        <v>58</v>
      </c>
      <c r="K36" s="14">
        <f>O27+O33+K35</f>
        <v>967050</v>
      </c>
      <c r="L36" s="2" t="s">
        <v>96</v>
      </c>
    </row>
    <row r="38" spans="9:19" x14ac:dyDescent="0.2">
      <c r="J38" s="2" t="s">
        <v>59</v>
      </c>
    </row>
    <row r="39" spans="9:19" x14ac:dyDescent="0.2">
      <c r="J39" s="2" t="s">
        <v>60</v>
      </c>
      <c r="K39" s="8" t="s">
        <v>23</v>
      </c>
      <c r="L39" s="8" t="s">
        <v>61</v>
      </c>
      <c r="M39" s="8" t="s">
        <v>25</v>
      </c>
      <c r="N39" s="15" t="s">
        <v>62</v>
      </c>
      <c r="O39" s="2" t="s">
        <v>63</v>
      </c>
      <c r="P39" s="2" t="s">
        <v>64</v>
      </c>
    </row>
    <row r="40" spans="9:19" x14ac:dyDescent="0.2">
      <c r="J40" s="2" t="s">
        <v>45</v>
      </c>
      <c r="K40" s="10">
        <v>4500</v>
      </c>
      <c r="L40" s="10">
        <f>M19+M24</f>
        <v>80400</v>
      </c>
      <c r="M40" s="10">
        <v>5500</v>
      </c>
      <c r="N40" s="14">
        <f>M40+L40-K40</f>
        <v>81400</v>
      </c>
      <c r="O40" s="8">
        <v>2</v>
      </c>
      <c r="P40" s="10">
        <f>N40*O40</f>
        <v>162800</v>
      </c>
    </row>
    <row r="41" spans="9:19" x14ac:dyDescent="0.2">
      <c r="J41" s="2" t="s">
        <v>46</v>
      </c>
      <c r="K41" s="10">
        <v>4500</v>
      </c>
      <c r="L41" s="10">
        <f>M20+M25</f>
        <v>63700</v>
      </c>
      <c r="M41" s="10">
        <v>500</v>
      </c>
      <c r="N41" s="14">
        <f>M41+L41-K41</f>
        <v>59700</v>
      </c>
      <c r="O41" s="8">
        <v>3</v>
      </c>
      <c r="P41" s="10">
        <f>N41*O41</f>
        <v>179100</v>
      </c>
    </row>
    <row r="42" spans="9:19" x14ac:dyDescent="0.2">
      <c r="P42" s="14">
        <f>P40+P41</f>
        <v>341900</v>
      </c>
    </row>
    <row r="43" spans="9:19" x14ac:dyDescent="0.2">
      <c r="J43" s="2" t="s">
        <v>97</v>
      </c>
    </row>
    <row r="44" spans="9:19" x14ac:dyDescent="0.2">
      <c r="J44" s="2" t="s">
        <v>40</v>
      </c>
    </row>
    <row r="45" spans="9:19" x14ac:dyDescent="0.2">
      <c r="I45" s="8" t="s">
        <v>127</v>
      </c>
    </row>
    <row r="46" spans="9:19" x14ac:dyDescent="0.2">
      <c r="I46" s="17">
        <f>22000+3500+10000+5500</f>
        <v>41000</v>
      </c>
      <c r="J46" s="2" t="s">
        <v>32</v>
      </c>
      <c r="K46" s="8" t="s">
        <v>36</v>
      </c>
      <c r="L46" s="8" t="s">
        <v>37</v>
      </c>
      <c r="N46" s="2" t="s">
        <v>103</v>
      </c>
    </row>
    <row r="47" spans="9:19" x14ac:dyDescent="0.2">
      <c r="I47" s="8" t="s">
        <v>128</v>
      </c>
      <c r="J47" s="2" t="s">
        <v>98</v>
      </c>
      <c r="K47" s="8">
        <v>100</v>
      </c>
      <c r="L47" s="8">
        <v>50</v>
      </c>
      <c r="N47" s="2" t="s">
        <v>101</v>
      </c>
      <c r="O47" s="8" t="s">
        <v>104</v>
      </c>
      <c r="P47" s="8" t="s">
        <v>105</v>
      </c>
      <c r="Q47" s="8" t="s">
        <v>36</v>
      </c>
      <c r="R47" s="8" t="s">
        <v>37</v>
      </c>
      <c r="S47" s="8" t="s">
        <v>107</v>
      </c>
    </row>
    <row r="48" spans="9:19" x14ac:dyDescent="0.2">
      <c r="I48" s="17">
        <f>15000+1500+1800</f>
        <v>18300</v>
      </c>
      <c r="J48" s="2" t="s">
        <v>99</v>
      </c>
      <c r="K48" s="10">
        <f>N9</f>
        <v>6800</v>
      </c>
      <c r="L48" s="10">
        <f>N10</f>
        <v>1550</v>
      </c>
      <c r="N48" s="2" t="s">
        <v>57</v>
      </c>
      <c r="O48" s="10">
        <f>K35</f>
        <v>273400</v>
      </c>
      <c r="P48" s="8" t="s">
        <v>106</v>
      </c>
      <c r="Q48" s="10">
        <f>M31</f>
        <v>108800</v>
      </c>
      <c r="R48" s="10">
        <f>M32</f>
        <v>27900</v>
      </c>
      <c r="S48" s="10">
        <f>SUM(Q48:R48)</f>
        <v>136700</v>
      </c>
    </row>
    <row r="49" spans="9:19" x14ac:dyDescent="0.2">
      <c r="I49" s="8"/>
      <c r="J49" s="2" t="s">
        <v>25</v>
      </c>
      <c r="K49" s="8">
        <v>900</v>
      </c>
      <c r="L49" s="8">
        <v>100</v>
      </c>
    </row>
    <row r="50" spans="9:19" x14ac:dyDescent="0.2">
      <c r="J50" s="2" t="s">
        <v>100</v>
      </c>
      <c r="K50" s="10">
        <f>K47+K48-K49</f>
        <v>6000</v>
      </c>
      <c r="L50" s="10">
        <f>L47+L48-L49</f>
        <v>1500</v>
      </c>
      <c r="N50" s="2" t="s">
        <v>108</v>
      </c>
    </row>
    <row r="51" spans="9:19" x14ac:dyDescent="0.2">
      <c r="K51" s="8"/>
      <c r="L51" s="8"/>
      <c r="N51" s="2" t="s">
        <v>101</v>
      </c>
      <c r="O51" s="8" t="s">
        <v>104</v>
      </c>
      <c r="P51" s="8" t="s">
        <v>105</v>
      </c>
      <c r="Q51" s="8" t="s">
        <v>36</v>
      </c>
      <c r="R51" s="8" t="s">
        <v>37</v>
      </c>
      <c r="S51" s="8" t="s">
        <v>107</v>
      </c>
    </row>
    <row r="52" spans="9:19" x14ac:dyDescent="0.2">
      <c r="J52" s="2" t="s">
        <v>110</v>
      </c>
      <c r="K52" s="8"/>
      <c r="L52" s="8"/>
      <c r="N52" s="2" t="s">
        <v>57</v>
      </c>
      <c r="O52" s="10">
        <f>O48</f>
        <v>273400</v>
      </c>
      <c r="P52" s="8" t="s">
        <v>106</v>
      </c>
      <c r="Q52" s="10">
        <f>$O48/$S48*Q48</f>
        <v>217600</v>
      </c>
      <c r="R52" s="10">
        <f>$O48/$S48*R48</f>
        <v>55800</v>
      </c>
      <c r="S52" s="10">
        <f>SUM(Q52:R52)</f>
        <v>273400</v>
      </c>
    </row>
    <row r="53" spans="9:19" x14ac:dyDescent="0.2">
      <c r="J53" s="2" t="s">
        <v>101</v>
      </c>
      <c r="K53" s="8" t="s">
        <v>36</v>
      </c>
      <c r="L53" s="8" t="s">
        <v>37</v>
      </c>
    </row>
    <row r="54" spans="9:19" x14ac:dyDescent="0.2">
      <c r="J54" s="2" t="s">
        <v>102</v>
      </c>
      <c r="K54" s="16">
        <f>O21</f>
        <v>299200</v>
      </c>
      <c r="L54" s="16">
        <f>O26</f>
        <v>52700</v>
      </c>
    </row>
    <row r="55" spans="9:19" x14ac:dyDescent="0.2">
      <c r="J55" s="2" t="s">
        <v>94</v>
      </c>
      <c r="K55" s="16">
        <f>O31</f>
        <v>272000</v>
      </c>
      <c r="L55" s="16">
        <f>O32</f>
        <v>69750</v>
      </c>
    </row>
    <row r="56" spans="9:19" x14ac:dyDescent="0.2">
      <c r="J56" s="2" t="s">
        <v>57</v>
      </c>
      <c r="K56" s="16">
        <f>Q52</f>
        <v>217600</v>
      </c>
      <c r="L56" s="16">
        <f>R52</f>
        <v>55800</v>
      </c>
    </row>
    <row r="57" spans="9:19" x14ac:dyDescent="0.2">
      <c r="J57" s="2" t="s">
        <v>109</v>
      </c>
      <c r="K57" s="16">
        <f>SUM(K54:K56)</f>
        <v>788800</v>
      </c>
      <c r="L57" s="16">
        <f>SUM(L54:L56)</f>
        <v>178250</v>
      </c>
    </row>
    <row r="58" spans="9:19" x14ac:dyDescent="0.2">
      <c r="J58" s="2" t="s">
        <v>50</v>
      </c>
      <c r="K58" s="17">
        <f>K57/K48</f>
        <v>116</v>
      </c>
      <c r="L58" s="17">
        <f>L57/L48</f>
        <v>115</v>
      </c>
    </row>
    <row r="60" spans="9:19" x14ac:dyDescent="0.2">
      <c r="J60" s="2" t="s">
        <v>111</v>
      </c>
    </row>
    <row r="61" spans="9:19" x14ac:dyDescent="0.2">
      <c r="J61" s="2" t="s">
        <v>101</v>
      </c>
      <c r="K61" s="8" t="s">
        <v>36</v>
      </c>
      <c r="L61" s="8" t="s">
        <v>37</v>
      </c>
    </row>
    <row r="62" spans="9:19" x14ac:dyDescent="0.2">
      <c r="J62" s="2" t="s">
        <v>112</v>
      </c>
      <c r="K62" s="8">
        <v>100</v>
      </c>
      <c r="L62" s="8">
        <v>50</v>
      </c>
    </row>
    <row r="63" spans="9:19" x14ac:dyDescent="0.2">
      <c r="J63" s="2" t="s">
        <v>50</v>
      </c>
      <c r="K63" s="17">
        <f>K64/K62</f>
        <v>123.65656377643349</v>
      </c>
      <c r="L63" s="17">
        <f>L64/L62</f>
        <v>55.886872447133037</v>
      </c>
    </row>
    <row r="64" spans="9:19" x14ac:dyDescent="0.2">
      <c r="J64" s="2" t="s">
        <v>113</v>
      </c>
      <c r="K64" s="10">
        <f>Q72</f>
        <v>12365.656377643349</v>
      </c>
      <c r="L64" s="10">
        <f>R72</f>
        <v>2794.3436223566518</v>
      </c>
      <c r="M64" s="2">
        <f>SUM(K64:L64)</f>
        <v>15160</v>
      </c>
      <c r="N64" s="2">
        <v>15160</v>
      </c>
    </row>
    <row r="65" spans="1:19" x14ac:dyDescent="0.2">
      <c r="K65" s="8"/>
      <c r="L65" s="8"/>
    </row>
    <row r="66" spans="1:19" x14ac:dyDescent="0.2">
      <c r="N66" s="2" t="s">
        <v>114</v>
      </c>
    </row>
    <row r="67" spans="1:19" x14ac:dyDescent="0.2">
      <c r="N67" s="2" t="s">
        <v>101</v>
      </c>
      <c r="O67" s="8" t="s">
        <v>104</v>
      </c>
      <c r="P67" s="8" t="s">
        <v>105</v>
      </c>
      <c r="Q67" s="8" t="s">
        <v>36</v>
      </c>
      <c r="R67" s="8" t="s">
        <v>37</v>
      </c>
      <c r="S67" s="8" t="s">
        <v>107</v>
      </c>
    </row>
    <row r="68" spans="1:19" x14ac:dyDescent="0.2">
      <c r="N68" s="2" t="s">
        <v>23</v>
      </c>
      <c r="O68" s="10">
        <v>15160</v>
      </c>
      <c r="P68" s="8" t="s">
        <v>113</v>
      </c>
      <c r="Q68" s="10">
        <f>K57</f>
        <v>788800</v>
      </c>
      <c r="R68" s="10">
        <f>L57</f>
        <v>178250</v>
      </c>
      <c r="S68" s="10">
        <f>SUM(Q68:R68)</f>
        <v>967050</v>
      </c>
    </row>
    <row r="70" spans="1:19" x14ac:dyDescent="0.2">
      <c r="N70" s="2" t="s">
        <v>108</v>
      </c>
    </row>
    <row r="71" spans="1:19" x14ac:dyDescent="0.2">
      <c r="N71" s="2" t="s">
        <v>101</v>
      </c>
      <c r="O71" s="8" t="s">
        <v>104</v>
      </c>
      <c r="P71" s="8" t="s">
        <v>105</v>
      </c>
      <c r="Q71" s="8" t="s">
        <v>36</v>
      </c>
      <c r="R71" s="8" t="s">
        <v>37</v>
      </c>
      <c r="S71" s="8" t="s">
        <v>107</v>
      </c>
    </row>
    <row r="72" spans="1:19" x14ac:dyDescent="0.2">
      <c r="N72" s="2" t="s">
        <v>57</v>
      </c>
      <c r="O72" s="10">
        <f>O68</f>
        <v>15160</v>
      </c>
      <c r="P72" s="8" t="s">
        <v>113</v>
      </c>
      <c r="Q72" s="10">
        <f>$O68/$S68*Q68</f>
        <v>12365.656377643349</v>
      </c>
      <c r="R72" s="10">
        <f>$O68/$S68*R68</f>
        <v>2794.3436223566518</v>
      </c>
      <c r="S72" s="10">
        <f>SUM(Q72:R72)</f>
        <v>15160</v>
      </c>
    </row>
    <row r="73" spans="1:19" x14ac:dyDescent="0.2">
      <c r="A73" s="2" t="s">
        <v>91</v>
      </c>
    </row>
    <row r="74" spans="1:19" x14ac:dyDescent="0.2">
      <c r="A74" s="2" t="s">
        <v>92</v>
      </c>
    </row>
    <row r="75" spans="1:19" x14ac:dyDescent="0.2">
      <c r="A75" s="2" t="s">
        <v>93</v>
      </c>
      <c r="J75" s="2" t="s">
        <v>123</v>
      </c>
    </row>
    <row r="76" spans="1:19" x14ac:dyDescent="0.2">
      <c r="K76" s="8"/>
      <c r="L76" s="8" t="s">
        <v>116</v>
      </c>
      <c r="M76" s="8"/>
      <c r="N76" s="8"/>
      <c r="O76" s="8" t="s">
        <v>117</v>
      </c>
      <c r="P76" s="8"/>
      <c r="Q76" s="8"/>
      <c r="R76" s="8" t="s">
        <v>118</v>
      </c>
      <c r="S76" s="8"/>
    </row>
    <row r="77" spans="1:19" x14ac:dyDescent="0.2">
      <c r="C77" s="2" t="s">
        <v>129</v>
      </c>
      <c r="J77" s="2" t="s">
        <v>32</v>
      </c>
      <c r="K77" s="8" t="s">
        <v>115</v>
      </c>
      <c r="L77" s="8" t="s">
        <v>50</v>
      </c>
      <c r="M77" s="8" t="s">
        <v>113</v>
      </c>
      <c r="N77" s="8" t="s">
        <v>115</v>
      </c>
      <c r="O77" s="8" t="s">
        <v>50</v>
      </c>
      <c r="P77" s="8" t="s">
        <v>113</v>
      </c>
      <c r="Q77" s="8" t="s">
        <v>115</v>
      </c>
      <c r="R77" s="8" t="s">
        <v>50</v>
      </c>
      <c r="S77" s="8" t="s">
        <v>113</v>
      </c>
    </row>
    <row r="78" spans="1:19" x14ac:dyDescent="0.2">
      <c r="C78" s="2" t="s">
        <v>32</v>
      </c>
      <c r="D78" s="8" t="s">
        <v>130</v>
      </c>
      <c r="J78" s="2" t="s">
        <v>119</v>
      </c>
      <c r="K78" s="8"/>
      <c r="L78" s="8"/>
      <c r="M78" s="8"/>
      <c r="N78" s="8"/>
      <c r="O78" s="8"/>
      <c r="P78" s="8"/>
      <c r="Q78" s="8">
        <f>K62</f>
        <v>100</v>
      </c>
      <c r="R78" s="17">
        <f>K63</f>
        <v>123.65656377643349</v>
      </c>
      <c r="S78" s="17">
        <f>Q78*R78</f>
        <v>12365.656377643349</v>
      </c>
    </row>
    <row r="79" spans="1:19" x14ac:dyDescent="0.2">
      <c r="C79" s="2" t="s">
        <v>24</v>
      </c>
      <c r="D79" s="17">
        <f>K5+L5</f>
        <v>945000</v>
      </c>
      <c r="J79" s="2" t="s">
        <v>120</v>
      </c>
      <c r="K79" s="8"/>
      <c r="L79" s="8"/>
      <c r="M79" s="8"/>
      <c r="N79" s="8"/>
      <c r="O79" s="8"/>
      <c r="P79" s="8"/>
      <c r="Q79" s="8">
        <f>L62</f>
        <v>50</v>
      </c>
      <c r="R79" s="17">
        <f>L63</f>
        <v>55.886872447133037</v>
      </c>
      <c r="S79" s="17">
        <f>Q79*R79</f>
        <v>2794.3436223566518</v>
      </c>
    </row>
    <row r="80" spans="1:19" x14ac:dyDescent="0.2">
      <c r="C80" s="2" t="s">
        <v>126</v>
      </c>
      <c r="D80" s="17">
        <f>P85</f>
        <v>866394.86030043184</v>
      </c>
      <c r="J80" s="2" t="s">
        <v>121</v>
      </c>
      <c r="K80" s="10">
        <f>N9</f>
        <v>6800</v>
      </c>
      <c r="L80" s="17">
        <f>M80/K80</f>
        <v>116</v>
      </c>
      <c r="M80" s="17">
        <f>K57</f>
        <v>788800</v>
      </c>
      <c r="N80" s="8"/>
      <c r="O80" s="8"/>
      <c r="P80" s="8"/>
      <c r="Q80" s="10">
        <f>Q78+K80</f>
        <v>6900</v>
      </c>
      <c r="R80" s="17">
        <f>S80/Q80</f>
        <v>116.11096469241208</v>
      </c>
      <c r="S80" s="17">
        <f>S78+M80</f>
        <v>801165.65637764335</v>
      </c>
    </row>
    <row r="81" spans="3:19" x14ac:dyDescent="0.2">
      <c r="C81" s="2" t="s">
        <v>131</v>
      </c>
      <c r="D81" s="17">
        <f>D79-D80</f>
        <v>78605.139699568157</v>
      </c>
      <c r="J81" s="2" t="s">
        <v>122</v>
      </c>
      <c r="K81" s="10">
        <f>N10</f>
        <v>1550</v>
      </c>
      <c r="L81" s="17">
        <f>M81/K81</f>
        <v>115</v>
      </c>
      <c r="M81" s="17">
        <f>L57</f>
        <v>178250</v>
      </c>
      <c r="N81" s="8"/>
      <c r="O81" s="8"/>
      <c r="P81" s="8"/>
      <c r="Q81" s="10">
        <f>Q79+K81</f>
        <v>1600</v>
      </c>
      <c r="R81" s="17">
        <f>S81/Q81</f>
        <v>113.15271476397291</v>
      </c>
      <c r="S81" s="17">
        <f>S79+M81</f>
        <v>181044.34362235665</v>
      </c>
    </row>
    <row r="82" spans="3:19" x14ac:dyDescent="0.2">
      <c r="C82" s="2" t="s">
        <v>128</v>
      </c>
      <c r="D82" s="17">
        <f>I48</f>
        <v>18300</v>
      </c>
      <c r="J82" s="2" t="s">
        <v>124</v>
      </c>
      <c r="K82" s="8"/>
      <c r="L82" s="8"/>
      <c r="M82" s="8"/>
      <c r="N82" s="9">
        <f>K3</f>
        <v>6000</v>
      </c>
      <c r="O82" s="17">
        <f>R80</f>
        <v>116.11096469241208</v>
      </c>
      <c r="P82" s="17">
        <f>N82*O82</f>
        <v>696665.78815447248</v>
      </c>
      <c r="Q82" s="8"/>
      <c r="R82" s="17"/>
      <c r="S82" s="17"/>
    </row>
    <row r="83" spans="3:19" x14ac:dyDescent="0.2">
      <c r="C83" s="2" t="s">
        <v>127</v>
      </c>
      <c r="D83" s="17">
        <f>I46</f>
        <v>41000</v>
      </c>
      <c r="J83" s="2" t="s">
        <v>125</v>
      </c>
      <c r="K83" s="8"/>
      <c r="L83" s="8"/>
      <c r="M83" s="8"/>
      <c r="N83" s="9">
        <f>L3</f>
        <v>1500</v>
      </c>
      <c r="O83" s="17">
        <f>R81</f>
        <v>113.15271476397291</v>
      </c>
      <c r="P83" s="17">
        <f>N83*O83</f>
        <v>169729.07214595936</v>
      </c>
      <c r="Q83" s="8"/>
      <c r="R83" s="17"/>
      <c r="S83" s="17"/>
    </row>
    <row r="84" spans="3:19" x14ac:dyDescent="0.2">
      <c r="C84" s="2" t="s">
        <v>132</v>
      </c>
      <c r="D84" s="17">
        <f>D81-D82-D83</f>
        <v>19305.139699568157</v>
      </c>
      <c r="K84" s="8"/>
      <c r="L84" s="8"/>
      <c r="M84" s="8"/>
      <c r="N84" s="8"/>
      <c r="O84" s="17"/>
      <c r="P84" s="17"/>
      <c r="Q84" s="8"/>
      <c r="R84" s="17"/>
      <c r="S84" s="17"/>
    </row>
    <row r="85" spans="3:19" x14ac:dyDescent="0.2">
      <c r="C85" s="2" t="s">
        <v>133</v>
      </c>
      <c r="D85" s="19">
        <f>D84/D79</f>
        <v>2.0428719258802283E-2</v>
      </c>
      <c r="O85" s="2" t="s">
        <v>126</v>
      </c>
      <c r="P85" s="18">
        <f>P82+P83</f>
        <v>866394.86030043184</v>
      </c>
    </row>
    <row r="86" spans="3:19" x14ac:dyDescent="0.2">
      <c r="D86" s="17"/>
    </row>
    <row r="87" spans="3:19" x14ac:dyDescent="0.2">
      <c r="D87" s="8"/>
    </row>
    <row r="88" spans="3:19" x14ac:dyDescent="0.2">
      <c r="D88" s="8"/>
    </row>
    <row r="89" spans="3:19" x14ac:dyDescent="0.2">
      <c r="D89" s="8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93"/>
  <sheetViews>
    <sheetView tabSelected="1" topLeftCell="A58" zoomScale="130" zoomScaleNormal="130" workbookViewId="0">
      <selection activeCell="A62" sqref="A62"/>
    </sheetView>
  </sheetViews>
  <sheetFormatPr baseColWidth="10" defaultColWidth="11" defaultRowHeight="14.25" x14ac:dyDescent="0.2"/>
  <cols>
    <col min="1" max="1" width="11" style="2"/>
    <col min="2" max="4" width="13.375" style="2" bestFit="1" customWidth="1"/>
    <col min="5" max="5" width="13.25" style="2" customWidth="1"/>
    <col min="6" max="7" width="13.375" style="2" bestFit="1" customWidth="1"/>
    <col min="8" max="8" width="11" style="2"/>
    <col min="9" max="9" width="6.75" style="2" customWidth="1"/>
    <col min="10" max="10" width="14" style="2" bestFit="1" customWidth="1"/>
    <col min="11" max="11" width="6.75" style="2" customWidth="1"/>
    <col min="12" max="12" width="11" style="2"/>
    <col min="13" max="13" width="13.375" style="2" bestFit="1" customWidth="1"/>
    <col min="14" max="14" width="12.375" style="2" bestFit="1" customWidth="1"/>
    <col min="15" max="17" width="13.375" style="2" bestFit="1" customWidth="1"/>
    <col min="18" max="16384" width="11" style="2"/>
  </cols>
  <sheetData>
    <row r="1" spans="1:24" ht="15" x14ac:dyDescent="0.25">
      <c r="A1" s="1" t="s">
        <v>1</v>
      </c>
      <c r="L1" s="2" t="s">
        <v>70</v>
      </c>
    </row>
    <row r="2" spans="1:24" x14ac:dyDescent="0.2">
      <c r="L2" s="2" t="s">
        <v>11</v>
      </c>
    </row>
    <row r="3" spans="1:24" x14ac:dyDescent="0.2">
      <c r="L3" s="2" t="s">
        <v>71</v>
      </c>
      <c r="M3" s="2" t="s">
        <v>48</v>
      </c>
      <c r="N3" s="8" t="s">
        <v>76</v>
      </c>
      <c r="O3" s="8" t="s">
        <v>75</v>
      </c>
    </row>
    <row r="4" spans="1:24" x14ac:dyDescent="0.2">
      <c r="L4" s="2" t="s">
        <v>72</v>
      </c>
      <c r="M4" s="10">
        <f>67500+80000+35000+101000+91500</f>
        <v>375000</v>
      </c>
      <c r="N4" s="8">
        <v>56</v>
      </c>
      <c r="O4" s="10">
        <f>M4*N4</f>
        <v>21000000</v>
      </c>
    </row>
    <row r="5" spans="1:24" x14ac:dyDescent="0.2">
      <c r="L5" s="2" t="s">
        <v>73</v>
      </c>
      <c r="M5" s="10">
        <f>64000+89500+41000+97500+87500</f>
        <v>379500</v>
      </c>
      <c r="N5" s="8">
        <v>56</v>
      </c>
      <c r="O5" s="10">
        <f t="shared" ref="O5:O6" si="0">M5*N5</f>
        <v>21252000</v>
      </c>
    </row>
    <row r="6" spans="1:24" x14ac:dyDescent="0.2">
      <c r="L6" s="2" t="s">
        <v>74</v>
      </c>
      <c r="M6" s="10">
        <f>70500+86000+29500+112000+110500</f>
        <v>408500</v>
      </c>
      <c r="N6" s="8">
        <v>56</v>
      </c>
      <c r="O6" s="10">
        <f t="shared" si="0"/>
        <v>22876000</v>
      </c>
      <c r="Q6" s="2" t="s">
        <v>139</v>
      </c>
    </row>
    <row r="7" spans="1:24" x14ac:dyDescent="0.2">
      <c r="M7" s="14">
        <f>SUM(M4:M6)</f>
        <v>1163000</v>
      </c>
      <c r="N7" s="8"/>
      <c r="O7" s="14">
        <f>SUM(O4:O6)</f>
        <v>65128000</v>
      </c>
      <c r="Q7" s="2" t="s">
        <v>140</v>
      </c>
    </row>
    <row r="8" spans="1:24" x14ac:dyDescent="0.2">
      <c r="O8" s="10"/>
    </row>
    <row r="9" spans="1:24" x14ac:dyDescent="0.2">
      <c r="L9" s="2" t="s">
        <v>134</v>
      </c>
      <c r="O9" s="10"/>
    </row>
    <row r="10" spans="1:24" x14ac:dyDescent="0.2">
      <c r="N10" s="2" t="s">
        <v>135</v>
      </c>
      <c r="R10" s="2" t="s">
        <v>137</v>
      </c>
      <c r="V10" s="2" t="s">
        <v>138</v>
      </c>
    </row>
    <row r="11" spans="1:24" x14ac:dyDescent="0.2">
      <c r="L11" s="2" t="s">
        <v>32</v>
      </c>
      <c r="M11" s="8" t="s">
        <v>23</v>
      </c>
      <c r="N11" s="8" t="s">
        <v>24</v>
      </c>
      <c r="O11" s="8" t="s">
        <v>136</v>
      </c>
      <c r="P11" s="8" t="s">
        <v>39</v>
      </c>
      <c r="Q11" s="8" t="s">
        <v>23</v>
      </c>
      <c r="R11" s="8" t="s">
        <v>24</v>
      </c>
      <c r="S11" s="8" t="s">
        <v>136</v>
      </c>
      <c r="T11" s="8" t="s">
        <v>39</v>
      </c>
      <c r="U11" s="8" t="s">
        <v>23</v>
      </c>
      <c r="V11" s="8" t="s">
        <v>24</v>
      </c>
      <c r="W11" s="8" t="s">
        <v>136</v>
      </c>
      <c r="X11" s="8" t="s">
        <v>39</v>
      </c>
    </row>
    <row r="12" spans="1:24" x14ac:dyDescent="0.2">
      <c r="L12" s="2" t="s">
        <v>19</v>
      </c>
      <c r="M12" s="10">
        <v>204650</v>
      </c>
      <c r="N12" s="10">
        <f>M4</f>
        <v>375000</v>
      </c>
      <c r="O12" s="10">
        <v>201500</v>
      </c>
      <c r="P12" s="14">
        <f>N12+O12-M12</f>
        <v>371850</v>
      </c>
      <c r="Q12" s="10">
        <f>O12</f>
        <v>201500</v>
      </c>
      <c r="R12" s="10">
        <f>M5</f>
        <v>379500</v>
      </c>
      <c r="S12" s="10">
        <v>195900</v>
      </c>
      <c r="T12" s="14">
        <f>R12+S12-Q12</f>
        <v>373900</v>
      </c>
      <c r="U12" s="10">
        <f>S12</f>
        <v>195900</v>
      </c>
      <c r="V12" s="10">
        <f>M6</f>
        <v>408500</v>
      </c>
      <c r="W12" s="10">
        <v>206100</v>
      </c>
      <c r="X12" s="14">
        <f>V12+W12-U12</f>
        <v>418700</v>
      </c>
    </row>
    <row r="13" spans="1:24" x14ac:dyDescent="0.2"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</row>
    <row r="14" spans="1:24" x14ac:dyDescent="0.2">
      <c r="L14" s="2" t="s">
        <v>71</v>
      </c>
      <c r="M14" s="2" t="s">
        <v>48</v>
      </c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</row>
    <row r="15" spans="1:24" x14ac:dyDescent="0.2">
      <c r="L15" s="2" t="s">
        <v>72</v>
      </c>
      <c r="M15" s="10">
        <f>P12</f>
        <v>371850</v>
      </c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</row>
    <row r="16" spans="1:24" x14ac:dyDescent="0.2">
      <c r="L16" s="2" t="s">
        <v>73</v>
      </c>
      <c r="M16" s="10">
        <f>T12</f>
        <v>373900</v>
      </c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</row>
    <row r="17" spans="12:24" x14ac:dyDescent="0.2">
      <c r="L17" s="2" t="s">
        <v>74</v>
      </c>
      <c r="M17" s="10">
        <f>X12</f>
        <v>418700</v>
      </c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</row>
    <row r="18" spans="12:24" x14ac:dyDescent="0.2">
      <c r="M18" s="14">
        <f>SUM(M15:M17)</f>
        <v>1164450</v>
      </c>
    </row>
    <row r="20" spans="12:24" x14ac:dyDescent="0.2">
      <c r="L20" s="2" t="s">
        <v>141</v>
      </c>
    </row>
    <row r="21" spans="12:24" x14ac:dyDescent="0.2">
      <c r="L21" s="2" t="s">
        <v>71</v>
      </c>
      <c r="M21" s="2" t="s">
        <v>48</v>
      </c>
      <c r="N21" s="8" t="s">
        <v>142</v>
      </c>
      <c r="O21" s="2" t="s">
        <v>143</v>
      </c>
      <c r="P21" s="8" t="s">
        <v>50</v>
      </c>
      <c r="Q21" s="15" t="s">
        <v>144</v>
      </c>
      <c r="R21" s="8"/>
    </row>
    <row r="22" spans="12:24" x14ac:dyDescent="0.2">
      <c r="L22" s="2" t="s">
        <v>72</v>
      </c>
      <c r="M22" s="10">
        <f>M15</f>
        <v>371850</v>
      </c>
      <c r="N22" s="8">
        <v>1</v>
      </c>
      <c r="O22" s="10">
        <f>M22*N22</f>
        <v>371850</v>
      </c>
      <c r="P22" s="8">
        <v>44</v>
      </c>
      <c r="Q22" s="20">
        <f>O22*P22</f>
        <v>16361400</v>
      </c>
      <c r="R22" s="8"/>
    </row>
    <row r="23" spans="12:24" x14ac:dyDescent="0.2">
      <c r="L23" s="2" t="s">
        <v>73</v>
      </c>
      <c r="M23" s="10">
        <f t="shared" ref="M23:M24" si="1">M16</f>
        <v>373900</v>
      </c>
      <c r="N23" s="8">
        <v>1</v>
      </c>
      <c r="O23" s="10">
        <f t="shared" ref="O23:O24" si="2">M23*N23</f>
        <v>373900</v>
      </c>
      <c r="P23" s="8">
        <v>44</v>
      </c>
      <c r="Q23" s="20">
        <f t="shared" ref="Q23:Q24" si="3">O23*P23</f>
        <v>16451600</v>
      </c>
      <c r="R23" s="8"/>
    </row>
    <row r="24" spans="12:24" x14ac:dyDescent="0.2">
      <c r="L24" s="2" t="s">
        <v>74</v>
      </c>
      <c r="M24" s="10">
        <f t="shared" si="1"/>
        <v>418700</v>
      </c>
      <c r="N24" s="8">
        <v>1</v>
      </c>
      <c r="O24" s="10">
        <f t="shared" si="2"/>
        <v>418700</v>
      </c>
      <c r="P24" s="8">
        <v>44</v>
      </c>
      <c r="Q24" s="20">
        <f t="shared" si="3"/>
        <v>18422800</v>
      </c>
      <c r="R24" s="8"/>
    </row>
    <row r="25" spans="12:24" x14ac:dyDescent="0.2">
      <c r="M25" s="14">
        <f>SUM(M22:M24)</f>
        <v>1164450</v>
      </c>
      <c r="N25" s="8"/>
      <c r="O25" s="14">
        <f>SUM(O22:O24)</f>
        <v>1164450</v>
      </c>
      <c r="P25" s="8"/>
      <c r="Q25" s="20">
        <f>SUM(Q22:Q24)</f>
        <v>51235800</v>
      </c>
      <c r="R25" s="8" t="s">
        <v>102</v>
      </c>
    </row>
    <row r="27" spans="12:24" x14ac:dyDescent="0.2">
      <c r="L27" s="2" t="s">
        <v>145</v>
      </c>
      <c r="O27" s="10"/>
    </row>
    <row r="28" spans="12:24" x14ac:dyDescent="0.2">
      <c r="N28" s="2" t="s">
        <v>135</v>
      </c>
      <c r="R28" s="2" t="s">
        <v>137</v>
      </c>
      <c r="V28" s="2" t="s">
        <v>138</v>
      </c>
    </row>
    <row r="29" spans="12:24" x14ac:dyDescent="0.2">
      <c r="L29" s="2" t="s">
        <v>32</v>
      </c>
      <c r="M29" s="8" t="s">
        <v>23</v>
      </c>
      <c r="N29" s="8" t="s">
        <v>61</v>
      </c>
      <c r="O29" s="8" t="s">
        <v>136</v>
      </c>
      <c r="P29" s="8" t="s">
        <v>62</v>
      </c>
      <c r="Q29" s="8" t="s">
        <v>23</v>
      </c>
      <c r="R29" s="8" t="s">
        <v>61</v>
      </c>
      <c r="S29" s="8" t="s">
        <v>136</v>
      </c>
      <c r="T29" s="8" t="s">
        <v>62</v>
      </c>
      <c r="U29" s="8" t="s">
        <v>23</v>
      </c>
      <c r="V29" s="8" t="s">
        <v>61</v>
      </c>
      <c r="W29" s="8" t="s">
        <v>136</v>
      </c>
      <c r="X29" s="8" t="s">
        <v>62</v>
      </c>
    </row>
    <row r="30" spans="12:24" x14ac:dyDescent="0.2">
      <c r="L30" s="2" t="s">
        <v>19</v>
      </c>
      <c r="M30" s="10">
        <f>55%*N30</f>
        <v>204517.50000000003</v>
      </c>
      <c r="N30" s="10">
        <f>O22</f>
        <v>371850</v>
      </c>
      <c r="O30" s="10">
        <f>55%*R30</f>
        <v>205645.00000000003</v>
      </c>
      <c r="P30" s="14">
        <f>N30+O30-M30</f>
        <v>372977.5</v>
      </c>
      <c r="Q30" s="10">
        <f>O30</f>
        <v>205645.00000000003</v>
      </c>
      <c r="R30" s="10">
        <f>O23</f>
        <v>373900</v>
      </c>
      <c r="S30" s="10">
        <f>55%*V30</f>
        <v>230285.00000000003</v>
      </c>
      <c r="T30" s="14">
        <f>R30+S30-Q30</f>
        <v>398540</v>
      </c>
      <c r="U30" s="10">
        <f>S30</f>
        <v>230285.00000000003</v>
      </c>
      <c r="V30" s="10">
        <f>O24</f>
        <v>418700</v>
      </c>
      <c r="W30" s="10">
        <f>55%*216710</f>
        <v>119190.50000000001</v>
      </c>
      <c r="X30" s="14">
        <f>V30+W30-U30</f>
        <v>307605.5</v>
      </c>
    </row>
    <row r="32" spans="12:24" x14ac:dyDescent="0.2">
      <c r="L32" s="2" t="s">
        <v>71</v>
      </c>
      <c r="M32" s="2" t="s">
        <v>48</v>
      </c>
      <c r="N32" s="2" t="s">
        <v>146</v>
      </c>
      <c r="O32" s="2" t="s">
        <v>147</v>
      </c>
    </row>
    <row r="33" spans="1:17" x14ac:dyDescent="0.2">
      <c r="L33" s="2" t="s">
        <v>72</v>
      </c>
      <c r="M33" s="10">
        <f>P30</f>
        <v>372977.5</v>
      </c>
      <c r="N33" s="8">
        <v>44</v>
      </c>
      <c r="O33" s="17">
        <f>M33*N33</f>
        <v>16411010</v>
      </c>
    </row>
    <row r="34" spans="1:17" x14ac:dyDescent="0.2">
      <c r="L34" s="2" t="s">
        <v>73</v>
      </c>
      <c r="M34" s="10">
        <f>T30</f>
        <v>398540</v>
      </c>
      <c r="N34" s="8">
        <v>44</v>
      </c>
      <c r="O34" s="17">
        <f t="shared" ref="O34:O35" si="4">M34*N34</f>
        <v>17535760</v>
      </c>
    </row>
    <row r="35" spans="1:17" x14ac:dyDescent="0.2">
      <c r="L35" s="2" t="s">
        <v>74</v>
      </c>
      <c r="M35" s="10">
        <f>X30</f>
        <v>307605.5</v>
      </c>
      <c r="N35" s="8">
        <v>44</v>
      </c>
      <c r="O35" s="17">
        <f t="shared" si="4"/>
        <v>13534642</v>
      </c>
    </row>
    <row r="36" spans="1:17" x14ac:dyDescent="0.2">
      <c r="M36" s="14">
        <f>SUM(M33:M35)</f>
        <v>1079123</v>
      </c>
      <c r="N36" s="8"/>
      <c r="O36" s="20">
        <f>SUM(O33:O35)</f>
        <v>47481412</v>
      </c>
    </row>
    <row r="38" spans="1:17" ht="15" x14ac:dyDescent="0.25">
      <c r="L38" s="1" t="s">
        <v>148</v>
      </c>
    </row>
    <row r="39" spans="1:17" x14ac:dyDescent="0.2">
      <c r="L39" s="2" t="s">
        <v>71</v>
      </c>
      <c r="M39" s="2" t="s">
        <v>150</v>
      </c>
      <c r="N39" s="8" t="s">
        <v>151</v>
      </c>
      <c r="O39" s="8" t="s">
        <v>152</v>
      </c>
      <c r="P39" s="2" t="s">
        <v>149</v>
      </c>
      <c r="Q39" s="2" t="s">
        <v>147</v>
      </c>
    </row>
    <row r="40" spans="1:17" x14ac:dyDescent="0.2">
      <c r="L40" s="2" t="s">
        <v>72</v>
      </c>
      <c r="M40" s="23">
        <v>0.83440899999999996</v>
      </c>
      <c r="N40" s="10">
        <f>M15</f>
        <v>371850</v>
      </c>
      <c r="O40" s="17">
        <f>M40*N40</f>
        <v>310274.98664999998</v>
      </c>
      <c r="P40" s="8">
        <v>3.5953590000000002</v>
      </c>
      <c r="Q40" s="17">
        <f>O40*P40</f>
        <v>1115549.9657269574</v>
      </c>
    </row>
    <row r="41" spans="1:17" x14ac:dyDescent="0.2">
      <c r="A41" s="2" t="s">
        <v>169</v>
      </c>
      <c r="L41" s="2" t="s">
        <v>73</v>
      </c>
      <c r="M41" s="23">
        <v>0.83011500000000005</v>
      </c>
      <c r="N41" s="10">
        <f t="shared" ref="N41:N42" si="5">M16</f>
        <v>373900</v>
      </c>
      <c r="O41" s="17">
        <f t="shared" ref="O41:O42" si="6">M41*N41</f>
        <v>310379.99850000005</v>
      </c>
      <c r="P41" s="8">
        <v>3.6139570000000001</v>
      </c>
      <c r="Q41" s="17">
        <f t="shared" ref="Q41:Q42" si="7">O41*P41</f>
        <v>1121699.9682390648</v>
      </c>
    </row>
    <row r="42" spans="1:17" x14ac:dyDescent="0.2">
      <c r="B42" s="8"/>
      <c r="C42" s="8" t="s">
        <v>175</v>
      </c>
      <c r="D42" s="8"/>
      <c r="E42" s="8"/>
      <c r="F42" s="8" t="s">
        <v>176</v>
      </c>
      <c r="G42" s="8"/>
      <c r="H42" s="8"/>
      <c r="I42" s="8" t="s">
        <v>118</v>
      </c>
      <c r="J42" s="8"/>
      <c r="K42" s="8"/>
      <c r="L42" s="8"/>
      <c r="M42" s="23">
        <v>0.85607800000000001</v>
      </c>
      <c r="N42" s="10">
        <f t="shared" si="5"/>
        <v>418700</v>
      </c>
      <c r="O42" s="17">
        <f t="shared" si="6"/>
        <v>358439.85859999998</v>
      </c>
      <c r="P42" s="8">
        <v>3.5043519999999999</v>
      </c>
      <c r="Q42" s="17">
        <f t="shared" si="7"/>
        <v>1256099.435364627</v>
      </c>
    </row>
    <row r="43" spans="1:17" x14ac:dyDescent="0.2">
      <c r="A43" s="2" t="s">
        <v>32</v>
      </c>
      <c r="B43" s="8" t="s">
        <v>48</v>
      </c>
      <c r="C43" s="8" t="s">
        <v>174</v>
      </c>
      <c r="D43" s="8" t="s">
        <v>113</v>
      </c>
      <c r="E43" s="8" t="s">
        <v>48</v>
      </c>
      <c r="F43" s="8" t="s">
        <v>174</v>
      </c>
      <c r="G43" s="8" t="s">
        <v>113</v>
      </c>
      <c r="H43" s="8" t="s">
        <v>48</v>
      </c>
      <c r="I43" s="8" t="s">
        <v>174</v>
      </c>
      <c r="J43" s="8" t="s">
        <v>113</v>
      </c>
      <c r="K43" s="8"/>
      <c r="N43" s="8"/>
      <c r="O43" s="17">
        <f>SUM(O40:O42)</f>
        <v>979094.84375</v>
      </c>
      <c r="P43" s="8"/>
      <c r="Q43" s="20">
        <f>SUM(Q40:Q42)</f>
        <v>3493349.3693306493</v>
      </c>
    </row>
    <row r="44" spans="1:17" x14ac:dyDescent="0.2">
      <c r="A44" s="2" t="s">
        <v>177</v>
      </c>
      <c r="B44" s="10"/>
      <c r="C44" s="17"/>
      <c r="D44" s="17"/>
      <c r="E44" s="10"/>
      <c r="F44" s="17"/>
      <c r="G44" s="17"/>
      <c r="H44" s="10">
        <v>204650</v>
      </c>
      <c r="I44" s="17">
        <f>J44/H44</f>
        <v>47</v>
      </c>
      <c r="J44" s="17">
        <v>9618550</v>
      </c>
    </row>
    <row r="45" spans="1:17" ht="15" x14ac:dyDescent="0.25">
      <c r="A45" s="2" t="s">
        <v>178</v>
      </c>
      <c r="B45" s="10">
        <f>M15</f>
        <v>371850</v>
      </c>
      <c r="C45" s="17">
        <f>D45/B45</f>
        <v>47.957934518690216</v>
      </c>
      <c r="D45" s="17">
        <f>P72</f>
        <v>17833157.950774956</v>
      </c>
      <c r="F45" s="17"/>
      <c r="G45" s="17"/>
      <c r="H45" s="10">
        <f>H44+B45</f>
        <v>576500</v>
      </c>
      <c r="I45" s="17">
        <f>J45/H45</f>
        <v>47.617880226842942</v>
      </c>
      <c r="J45" s="17">
        <f>J44+D45</f>
        <v>27451707.950774956</v>
      </c>
      <c r="L45" s="1" t="s">
        <v>153</v>
      </c>
    </row>
    <row r="46" spans="1:17" x14ac:dyDescent="0.2">
      <c r="A46" s="2" t="s">
        <v>179</v>
      </c>
      <c r="B46" s="10"/>
      <c r="C46" s="17"/>
      <c r="D46" s="17"/>
      <c r="E46" s="10">
        <f>M4</f>
        <v>375000</v>
      </c>
      <c r="F46" s="17">
        <f>I45</f>
        <v>47.617880226842942</v>
      </c>
      <c r="G46" s="17">
        <f>E46*F46</f>
        <v>17856705.085066102</v>
      </c>
      <c r="H46" s="10">
        <f>H45-E46</f>
        <v>201500</v>
      </c>
      <c r="I46" s="17">
        <f>J46/H46</f>
        <v>47.617880226842949</v>
      </c>
      <c r="J46" s="17">
        <f>J45-G46</f>
        <v>9595002.865708854</v>
      </c>
      <c r="L46" s="2" t="s">
        <v>32</v>
      </c>
      <c r="M46" s="8" t="s">
        <v>72</v>
      </c>
      <c r="N46" s="8" t="s">
        <v>73</v>
      </c>
      <c r="O46" s="8" t="s">
        <v>74</v>
      </c>
    </row>
    <row r="47" spans="1:17" x14ac:dyDescent="0.2">
      <c r="A47" s="2" t="s">
        <v>180</v>
      </c>
      <c r="B47" s="10">
        <f>M16</f>
        <v>373900</v>
      </c>
      <c r="C47" s="17">
        <f>D47/B47</f>
        <v>47.952996968598733</v>
      </c>
      <c r="D47" s="17">
        <f>P73</f>
        <v>17929625.566559065</v>
      </c>
      <c r="E47" s="10"/>
      <c r="F47" s="17"/>
      <c r="G47" s="17"/>
      <c r="H47" s="10">
        <f>H46+B47</f>
        <v>575400</v>
      </c>
      <c r="I47" s="17">
        <f>J47/H47</f>
        <v>47.835642044261242</v>
      </c>
      <c r="J47" s="17">
        <f>J46+D47</f>
        <v>27524628.432267919</v>
      </c>
      <c r="L47" s="2" t="s">
        <v>154</v>
      </c>
      <c r="M47" s="17">
        <f>0.5*O40</f>
        <v>155137.49332499999</v>
      </c>
      <c r="N47" s="17">
        <f>0.5*O41</f>
        <v>155189.99925000002</v>
      </c>
      <c r="O47" s="17">
        <f>0.5*O42</f>
        <v>179219.92929999999</v>
      </c>
    </row>
    <row r="48" spans="1:17" x14ac:dyDescent="0.2">
      <c r="A48" s="2" t="s">
        <v>181</v>
      </c>
      <c r="B48" s="10"/>
      <c r="C48" s="17"/>
      <c r="D48" s="17"/>
      <c r="E48" s="10">
        <f>M5</f>
        <v>379500</v>
      </c>
      <c r="F48" s="17">
        <f>I47</f>
        <v>47.835642044261242</v>
      </c>
      <c r="G48" s="17">
        <f>E48*F48</f>
        <v>18153626.155797143</v>
      </c>
      <c r="H48" s="10">
        <f>H47-E48</f>
        <v>195900</v>
      </c>
      <c r="I48" s="17">
        <f>J48/H48</f>
        <v>47.835642044261242</v>
      </c>
      <c r="J48" s="17">
        <f>J47-G48</f>
        <v>9371002.2764707766</v>
      </c>
      <c r="L48" s="2" t="s">
        <v>155</v>
      </c>
      <c r="M48" s="17">
        <f>0.2*O40</f>
        <v>62054.997329999998</v>
      </c>
      <c r="N48" s="17">
        <f>0.2*O41</f>
        <v>62075.999700000015</v>
      </c>
      <c r="O48" s="17">
        <f>0.2*O42</f>
        <v>71687.971720000001</v>
      </c>
    </row>
    <row r="49" spans="1:15" x14ac:dyDescent="0.2">
      <c r="A49" s="2" t="s">
        <v>182</v>
      </c>
      <c r="B49" s="10">
        <f>M17</f>
        <v>418700</v>
      </c>
      <c r="C49" s="17">
        <f>D49/B49</f>
        <v>47.979584611885898</v>
      </c>
      <c r="D49" s="17">
        <f>P74</f>
        <v>20089052.076996624</v>
      </c>
      <c r="E49" s="10"/>
      <c r="F49" s="17"/>
      <c r="G49" s="17"/>
      <c r="H49" s="10">
        <f>H48+B49</f>
        <v>614600</v>
      </c>
      <c r="I49" s="17">
        <f>J49/H49</f>
        <v>47.933703796725354</v>
      </c>
      <c r="J49" s="17">
        <f>J48+D49</f>
        <v>29460054.353467401</v>
      </c>
      <c r="L49" s="2" t="s">
        <v>156</v>
      </c>
      <c r="M49" s="17">
        <f>0.25*O40</f>
        <v>77568.746662499994</v>
      </c>
      <c r="N49" s="17">
        <f>0.25*O41</f>
        <v>77594.999625000011</v>
      </c>
      <c r="O49" s="17">
        <f>0.25*O42</f>
        <v>89609.964649999994</v>
      </c>
    </row>
    <row r="50" spans="1:15" x14ac:dyDescent="0.2">
      <c r="A50" s="2" t="s">
        <v>183</v>
      </c>
      <c r="B50" s="10"/>
      <c r="C50" s="17"/>
      <c r="D50" s="17"/>
      <c r="E50" s="10">
        <f>M6</f>
        <v>408500</v>
      </c>
      <c r="F50" s="17">
        <f>I49</f>
        <v>47.933703796725354</v>
      </c>
      <c r="G50" s="17">
        <f>E50*F50</f>
        <v>19580918.000962306</v>
      </c>
      <c r="H50" s="10"/>
      <c r="I50" s="17"/>
      <c r="J50" s="17"/>
      <c r="L50" s="2" t="s">
        <v>157</v>
      </c>
      <c r="M50" s="17">
        <f>0.05*O40</f>
        <v>15513.7493325</v>
      </c>
      <c r="N50" s="17">
        <f>0.05*O41</f>
        <v>15518.999925000004</v>
      </c>
      <c r="O50" s="17">
        <f>0.05*O42</f>
        <v>17921.99293</v>
      </c>
    </row>
    <row r="51" spans="1:15" x14ac:dyDescent="0.2">
      <c r="B51" s="10"/>
      <c r="C51" s="17"/>
      <c r="D51" s="17"/>
      <c r="E51" s="10"/>
      <c r="F51" s="17"/>
      <c r="G51" s="17"/>
      <c r="H51" s="10"/>
      <c r="I51" s="17"/>
      <c r="J51" s="17"/>
      <c r="L51" s="2" t="s">
        <v>158</v>
      </c>
      <c r="M51" s="17">
        <f>0.1*O40</f>
        <v>31027.498664999999</v>
      </c>
      <c r="N51" s="17">
        <f>0.1*O41</f>
        <v>31037.999850000007</v>
      </c>
      <c r="O51" s="17">
        <f>0.1*O42</f>
        <v>35843.985860000001</v>
      </c>
    </row>
    <row r="52" spans="1:15" x14ac:dyDescent="0.2">
      <c r="B52" s="10"/>
      <c r="C52" s="17"/>
      <c r="D52" s="17"/>
      <c r="E52" s="10"/>
      <c r="F52" s="17"/>
      <c r="G52" s="17"/>
      <c r="H52" s="10"/>
      <c r="I52" s="17"/>
      <c r="J52" s="17"/>
      <c r="L52" s="2" t="s">
        <v>159</v>
      </c>
      <c r="M52" s="17">
        <f>0.02*O40</f>
        <v>6205.4997329999997</v>
      </c>
      <c r="N52" s="17">
        <f>0.02*O41</f>
        <v>6207.5999700000011</v>
      </c>
      <c r="O52" s="17">
        <f>0.02*O42</f>
        <v>7168.7971719999996</v>
      </c>
    </row>
    <row r="53" spans="1:15" x14ac:dyDescent="0.2">
      <c r="B53" s="10"/>
      <c r="C53" s="17"/>
      <c r="D53" s="17"/>
      <c r="E53" s="10" t="s">
        <v>184</v>
      </c>
      <c r="F53" s="17"/>
      <c r="G53" s="17"/>
      <c r="H53" s="10"/>
      <c r="I53" s="17"/>
      <c r="J53" s="17"/>
      <c r="L53" s="2" t="s">
        <v>160</v>
      </c>
      <c r="M53" s="17">
        <v>2500</v>
      </c>
      <c r="N53" s="17">
        <v>2500</v>
      </c>
      <c r="O53" s="17">
        <v>2500</v>
      </c>
    </row>
    <row r="54" spans="1:15" x14ac:dyDescent="0.2">
      <c r="B54" s="10"/>
      <c r="C54" s="17"/>
      <c r="D54" s="17"/>
      <c r="E54" s="2" t="s">
        <v>71</v>
      </c>
      <c r="F54" s="8" t="s">
        <v>185</v>
      </c>
      <c r="G54" s="17"/>
      <c r="H54" s="10"/>
      <c r="I54" s="17"/>
      <c r="J54" s="17"/>
      <c r="L54" s="2" t="s">
        <v>161</v>
      </c>
      <c r="M54" s="17">
        <v>1500</v>
      </c>
      <c r="N54" s="17">
        <v>1500</v>
      </c>
      <c r="O54" s="17">
        <v>1500</v>
      </c>
    </row>
    <row r="55" spans="1:15" x14ac:dyDescent="0.2">
      <c r="E55" s="2" t="s">
        <v>72</v>
      </c>
      <c r="F55" s="17">
        <f>G46</f>
        <v>17856705.085066102</v>
      </c>
      <c r="L55" s="2" t="s">
        <v>162</v>
      </c>
      <c r="M55" s="17">
        <v>700</v>
      </c>
      <c r="N55" s="17">
        <v>700</v>
      </c>
      <c r="O55" s="17">
        <v>700</v>
      </c>
    </row>
    <row r="56" spans="1:15" x14ac:dyDescent="0.2">
      <c r="E56" s="2" t="s">
        <v>73</v>
      </c>
      <c r="F56" s="17">
        <f>G48</f>
        <v>18153626.155797143</v>
      </c>
      <c r="L56" s="2" t="s">
        <v>163</v>
      </c>
      <c r="M56" s="17">
        <v>950</v>
      </c>
      <c r="N56" s="17">
        <v>950</v>
      </c>
      <c r="O56" s="17">
        <v>950</v>
      </c>
    </row>
    <row r="57" spans="1:15" x14ac:dyDescent="0.2">
      <c r="E57" s="2" t="s">
        <v>74</v>
      </c>
      <c r="F57" s="17">
        <f>G50</f>
        <v>19580918.000962306</v>
      </c>
      <c r="L57" s="2" t="s">
        <v>164</v>
      </c>
      <c r="M57" s="17">
        <v>600</v>
      </c>
      <c r="N57" s="17">
        <v>600</v>
      </c>
      <c r="O57" s="17">
        <v>600</v>
      </c>
    </row>
    <row r="58" spans="1:15" x14ac:dyDescent="0.2">
      <c r="E58" s="2" t="s">
        <v>107</v>
      </c>
      <c r="F58" s="20">
        <f>SUM(F55:F57)</f>
        <v>55591249.241825551</v>
      </c>
      <c r="L58" s="2" t="s">
        <v>165</v>
      </c>
      <c r="M58" s="17">
        <v>400</v>
      </c>
      <c r="N58" s="17">
        <v>400</v>
      </c>
      <c r="O58" s="17">
        <v>400</v>
      </c>
    </row>
    <row r="59" spans="1:15" x14ac:dyDescent="0.2">
      <c r="F59" s="20"/>
      <c r="L59" s="2" t="s">
        <v>155</v>
      </c>
      <c r="M59" s="17">
        <v>1000</v>
      </c>
      <c r="N59" s="17">
        <v>1000</v>
      </c>
      <c r="O59" s="17">
        <v>1000</v>
      </c>
    </row>
    <row r="60" spans="1:15" x14ac:dyDescent="0.2">
      <c r="F60" s="20"/>
      <c r="L60" s="2" t="s">
        <v>194</v>
      </c>
      <c r="M60" s="17">
        <v>700</v>
      </c>
      <c r="N60" s="17">
        <v>700</v>
      </c>
      <c r="O60" s="17">
        <v>700</v>
      </c>
    </row>
    <row r="61" spans="1:15" x14ac:dyDescent="0.2">
      <c r="L61" s="2" t="s">
        <v>166</v>
      </c>
      <c r="M61" s="17">
        <v>350</v>
      </c>
      <c r="N61" s="17">
        <v>350</v>
      </c>
      <c r="O61" s="17">
        <v>350</v>
      </c>
    </row>
    <row r="62" spans="1:15" ht="15" x14ac:dyDescent="0.25">
      <c r="A62" s="1" t="s">
        <v>197</v>
      </c>
      <c r="L62" s="2" t="s">
        <v>167</v>
      </c>
      <c r="M62" s="17">
        <f>SUM(M47:M61)</f>
        <v>356207.98504799994</v>
      </c>
      <c r="N62" s="17">
        <f t="shared" ref="N62:O62" si="8">SUM(N47:N61)</f>
        <v>356325.59832000005</v>
      </c>
      <c r="O62" s="17">
        <f t="shared" si="8"/>
        <v>410152.64163199998</v>
      </c>
    </row>
    <row r="63" spans="1:15" x14ac:dyDescent="0.2">
      <c r="A63" s="2" t="s">
        <v>32</v>
      </c>
      <c r="B63" s="8" t="s">
        <v>135</v>
      </c>
      <c r="C63" s="8" t="s">
        <v>137</v>
      </c>
      <c r="D63" s="8" t="s">
        <v>138</v>
      </c>
      <c r="E63" s="8" t="s">
        <v>198</v>
      </c>
      <c r="M63" s="17"/>
      <c r="N63" s="17"/>
      <c r="O63" s="17"/>
    </row>
    <row r="64" spans="1:15" x14ac:dyDescent="0.2">
      <c r="A64" s="2" t="s">
        <v>24</v>
      </c>
      <c r="B64" s="17">
        <f>O4</f>
        <v>21000000</v>
      </c>
      <c r="C64" s="17">
        <f>O5</f>
        <v>21252000</v>
      </c>
      <c r="D64" s="17">
        <f>O6</f>
        <v>22876000</v>
      </c>
      <c r="E64" s="17">
        <f>SUM(B64:D64)</f>
        <v>65128000</v>
      </c>
      <c r="L64" s="2" t="s">
        <v>71</v>
      </c>
      <c r="M64" s="8" t="s">
        <v>168</v>
      </c>
      <c r="N64" s="17"/>
      <c r="O64" s="17"/>
    </row>
    <row r="65" spans="1:17" x14ac:dyDescent="0.2">
      <c r="A65" s="2" t="s">
        <v>126</v>
      </c>
      <c r="B65" s="17">
        <f>F55</f>
        <v>17856705.085066102</v>
      </c>
      <c r="C65" s="17">
        <f>F56</f>
        <v>18153626.155797143</v>
      </c>
      <c r="D65" s="17">
        <f>F57</f>
        <v>19580918.000962306</v>
      </c>
      <c r="E65" s="17">
        <f>SUM(B65:D65)</f>
        <v>55591249.241825551</v>
      </c>
      <c r="L65" s="2" t="s">
        <v>72</v>
      </c>
      <c r="M65" s="17">
        <f>M62</f>
        <v>356207.98504799994</v>
      </c>
      <c r="N65" s="17"/>
      <c r="O65" s="17"/>
    </row>
    <row r="66" spans="1:17" x14ac:dyDescent="0.2">
      <c r="A66" s="2" t="s">
        <v>199</v>
      </c>
      <c r="B66" s="17">
        <f t="shared" ref="B66:D66" si="9">B64-B65</f>
        <v>3143294.9149338976</v>
      </c>
      <c r="C66" s="17">
        <f t="shared" si="9"/>
        <v>3098373.8442028575</v>
      </c>
      <c r="D66" s="17">
        <f t="shared" si="9"/>
        <v>3295081.9990376942</v>
      </c>
      <c r="E66" s="17">
        <f>E64-E65</f>
        <v>9536750.7581744492</v>
      </c>
      <c r="L66" s="2" t="s">
        <v>73</v>
      </c>
      <c r="M66" s="17">
        <f>N62</f>
        <v>356325.59832000005</v>
      </c>
      <c r="N66" s="17"/>
      <c r="O66" s="17"/>
    </row>
    <row r="67" spans="1:17" x14ac:dyDescent="0.2">
      <c r="A67" s="2" t="s">
        <v>128</v>
      </c>
      <c r="B67" s="17">
        <f>Q88</f>
        <v>4200</v>
      </c>
      <c r="C67" s="17">
        <f>Q89</f>
        <v>4200</v>
      </c>
      <c r="D67" s="17">
        <f>Q90</f>
        <v>4200</v>
      </c>
      <c r="E67" s="17">
        <f t="shared" ref="E67:E68" si="10">SUM(B67:D67)</f>
        <v>12600</v>
      </c>
      <c r="L67" s="2" t="s">
        <v>74</v>
      </c>
      <c r="M67" s="17">
        <f>O62</f>
        <v>410152.64163199998</v>
      </c>
      <c r="N67" s="17"/>
      <c r="O67" s="17"/>
    </row>
    <row r="68" spans="1:17" x14ac:dyDescent="0.2">
      <c r="A68" s="2" t="s">
        <v>127</v>
      </c>
      <c r="B68" s="17">
        <f>Q79</f>
        <v>24400</v>
      </c>
      <c r="C68" s="17">
        <f>Q80</f>
        <v>24652</v>
      </c>
      <c r="D68" s="17">
        <f>Q81</f>
        <v>26275.999999999996</v>
      </c>
      <c r="E68" s="17">
        <f t="shared" si="10"/>
        <v>75328</v>
      </c>
      <c r="L68" s="2" t="s">
        <v>107</v>
      </c>
      <c r="M68" s="20">
        <f>SUM(M65:M67)</f>
        <v>1122686.2250000001</v>
      </c>
    </row>
    <row r="69" spans="1:17" x14ac:dyDescent="0.2">
      <c r="A69" s="2" t="s">
        <v>200</v>
      </c>
      <c r="B69" s="17">
        <f>B66-B67-B68</f>
        <v>3114694.9149338976</v>
      </c>
      <c r="C69" s="17">
        <f t="shared" ref="C69:D69" si="11">C66-C67-C68</f>
        <v>3069521.8442028575</v>
      </c>
      <c r="D69" s="17">
        <f t="shared" si="11"/>
        <v>3264605.9990376942</v>
      </c>
      <c r="E69" s="17">
        <f>E66-E67-E68</f>
        <v>9448822.7581744492</v>
      </c>
    </row>
    <row r="70" spans="1:17" x14ac:dyDescent="0.2">
      <c r="A70" s="2" t="s">
        <v>201</v>
      </c>
      <c r="B70" s="19">
        <f>B69/B64</f>
        <v>0.14831880547304274</v>
      </c>
      <c r="C70" s="19">
        <f>C69/C64</f>
        <v>0.14443449295138611</v>
      </c>
      <c r="D70" s="19">
        <f>D69/D64</f>
        <v>0.14270877771628318</v>
      </c>
      <c r="E70" s="19">
        <f>E69/E64</f>
        <v>0.14508080638395851</v>
      </c>
      <c r="L70" s="2" t="s">
        <v>170</v>
      </c>
    </row>
    <row r="71" spans="1:17" x14ac:dyDescent="0.2">
      <c r="B71" s="17"/>
      <c r="C71" s="17"/>
      <c r="D71" s="17"/>
      <c r="E71" s="17"/>
      <c r="L71" s="2" t="s">
        <v>71</v>
      </c>
      <c r="M71" s="8" t="s">
        <v>171</v>
      </c>
      <c r="N71" s="8" t="s">
        <v>172</v>
      </c>
      <c r="O71" s="8" t="s">
        <v>168</v>
      </c>
      <c r="P71" s="8" t="s">
        <v>173</v>
      </c>
    </row>
    <row r="72" spans="1:17" x14ac:dyDescent="0.2">
      <c r="B72" s="17"/>
      <c r="C72" s="17"/>
      <c r="D72" s="17"/>
      <c r="E72" s="17"/>
      <c r="L72" s="2" t="s">
        <v>72</v>
      </c>
      <c r="M72" s="17">
        <f>Q22</f>
        <v>16361400</v>
      </c>
      <c r="N72" s="17">
        <f>Q40</f>
        <v>1115549.9657269574</v>
      </c>
      <c r="O72" s="17">
        <f>M65</f>
        <v>356207.98504799994</v>
      </c>
      <c r="P72" s="17">
        <f>SUM(M72:O72)</f>
        <v>17833157.950774956</v>
      </c>
    </row>
    <row r="73" spans="1:17" x14ac:dyDescent="0.2">
      <c r="B73" s="17"/>
      <c r="C73" s="17"/>
      <c r="D73" s="17"/>
      <c r="E73" s="17"/>
      <c r="L73" s="2" t="s">
        <v>73</v>
      </c>
      <c r="M73" s="17">
        <f>Q23</f>
        <v>16451600</v>
      </c>
      <c r="N73" s="17">
        <f>Q41</f>
        <v>1121699.9682390648</v>
      </c>
      <c r="O73" s="17">
        <f t="shared" ref="O73:O74" si="12">M66</f>
        <v>356325.59832000005</v>
      </c>
      <c r="P73" s="17">
        <f t="shared" ref="P73:P74" si="13">SUM(M73:O73)</f>
        <v>17929625.566559065</v>
      </c>
    </row>
    <row r="74" spans="1:17" x14ac:dyDescent="0.2">
      <c r="B74" s="17"/>
      <c r="C74" s="17"/>
      <c r="D74" s="17"/>
      <c r="E74" s="17"/>
      <c r="L74" s="2" t="s">
        <v>74</v>
      </c>
      <c r="M74" s="17">
        <f>Q24</f>
        <v>18422800</v>
      </c>
      <c r="N74" s="17">
        <f>Q42</f>
        <v>1256099.435364627</v>
      </c>
      <c r="O74" s="17">
        <f t="shared" si="12"/>
        <v>410152.64163199998</v>
      </c>
      <c r="P74" s="17">
        <f t="shared" si="13"/>
        <v>20089052.076996624</v>
      </c>
    </row>
    <row r="75" spans="1:17" x14ac:dyDescent="0.2">
      <c r="B75" s="17"/>
      <c r="C75" s="17"/>
      <c r="D75" s="17"/>
      <c r="E75" s="17"/>
      <c r="L75" s="2" t="s">
        <v>107</v>
      </c>
      <c r="M75" s="17">
        <f>SUM(M72:M74)</f>
        <v>51235800</v>
      </c>
      <c r="N75" s="17">
        <f t="shared" ref="N75:P75" si="14">SUM(N72:N74)</f>
        <v>3493349.3693306493</v>
      </c>
      <c r="O75" s="17">
        <f t="shared" si="14"/>
        <v>1122686.2250000001</v>
      </c>
      <c r="P75" s="17">
        <f t="shared" si="14"/>
        <v>55851835.594330646</v>
      </c>
    </row>
    <row r="76" spans="1:17" x14ac:dyDescent="0.2">
      <c r="B76" s="8"/>
      <c r="C76" s="8"/>
      <c r="D76" s="8"/>
      <c r="E76" s="8"/>
    </row>
    <row r="77" spans="1:17" ht="15" x14ac:dyDescent="0.25">
      <c r="L77" s="1" t="s">
        <v>202</v>
      </c>
    </row>
    <row r="78" spans="1:17" x14ac:dyDescent="0.2">
      <c r="L78" s="2" t="s">
        <v>32</v>
      </c>
      <c r="M78" s="8" t="s">
        <v>72</v>
      </c>
      <c r="N78" s="8" t="s">
        <v>73</v>
      </c>
      <c r="O78" s="8" t="s">
        <v>74</v>
      </c>
      <c r="P78" s="2" t="s">
        <v>71</v>
      </c>
      <c r="Q78" s="8" t="s">
        <v>195</v>
      </c>
    </row>
    <row r="79" spans="1:17" x14ac:dyDescent="0.2">
      <c r="L79" s="2" t="s">
        <v>186</v>
      </c>
      <c r="M79" s="17">
        <f>0.04%*$O$4</f>
        <v>8400</v>
      </c>
      <c r="N79" s="17">
        <f>0.04%*$O$5</f>
        <v>8500.8000000000011</v>
      </c>
      <c r="O79" s="17">
        <f>0.04%*$O$6</f>
        <v>9150.4</v>
      </c>
      <c r="P79" s="2" t="s">
        <v>72</v>
      </c>
      <c r="Q79" s="17">
        <f>M84</f>
        <v>24400</v>
      </c>
    </row>
    <row r="80" spans="1:17" x14ac:dyDescent="0.2">
      <c r="L80" s="2" t="s">
        <v>187</v>
      </c>
      <c r="M80" s="17">
        <f>0.02%*$O$4</f>
        <v>4200</v>
      </c>
      <c r="N80" s="17">
        <f>0.02%*$O$5</f>
        <v>4250.4000000000005</v>
      </c>
      <c r="O80" s="17">
        <f>0.02%*$O$6</f>
        <v>4575.2</v>
      </c>
      <c r="P80" s="2" t="s">
        <v>73</v>
      </c>
      <c r="Q80" s="17">
        <f>N84</f>
        <v>24652</v>
      </c>
    </row>
    <row r="81" spans="12:17" x14ac:dyDescent="0.2">
      <c r="L81" s="2" t="s">
        <v>188</v>
      </c>
      <c r="M81" s="17">
        <f>0.03%*$O$4</f>
        <v>6299.9999999999991</v>
      </c>
      <c r="N81" s="17">
        <f>0.03%*$O$5</f>
        <v>6375.5999999999995</v>
      </c>
      <c r="O81" s="17">
        <f>0.03%*$O$6</f>
        <v>6862.7999999999993</v>
      </c>
      <c r="P81" s="2" t="s">
        <v>74</v>
      </c>
      <c r="Q81" s="17">
        <f>O84</f>
        <v>26275.999999999996</v>
      </c>
    </row>
    <row r="82" spans="12:17" x14ac:dyDescent="0.2">
      <c r="L82" s="2" t="s">
        <v>189</v>
      </c>
      <c r="M82" s="17">
        <f>0.01%*$O$4</f>
        <v>2100</v>
      </c>
      <c r="N82" s="17">
        <f>0.01%*$O$5</f>
        <v>2125.2000000000003</v>
      </c>
      <c r="O82" s="17">
        <f>0.01%*$O$6</f>
        <v>2287.6</v>
      </c>
      <c r="P82" s="2" t="s">
        <v>107</v>
      </c>
      <c r="Q82" s="20">
        <f>SUM(Q79:Q81)</f>
        <v>75328</v>
      </c>
    </row>
    <row r="83" spans="12:17" x14ac:dyDescent="0.2">
      <c r="L83" s="2" t="s">
        <v>190</v>
      </c>
      <c r="M83" s="17">
        <v>3400</v>
      </c>
      <c r="N83" s="17">
        <v>3400</v>
      </c>
      <c r="O83" s="17">
        <v>3400</v>
      </c>
    </row>
    <row r="84" spans="12:17" x14ac:dyDescent="0.2">
      <c r="L84" s="2" t="s">
        <v>107</v>
      </c>
      <c r="M84" s="17">
        <f>SUM(M79:M83)</f>
        <v>24400</v>
      </c>
      <c r="N84" s="17">
        <f t="shared" ref="N84:O84" si="15">SUM(N79:N83)</f>
        <v>24652</v>
      </c>
      <c r="O84" s="17">
        <f t="shared" si="15"/>
        <v>26275.999999999996</v>
      </c>
    </row>
    <row r="85" spans="12:17" x14ac:dyDescent="0.2">
      <c r="M85" s="17"/>
      <c r="N85" s="17"/>
      <c r="O85" s="17"/>
    </row>
    <row r="86" spans="12:17" ht="15" x14ac:dyDescent="0.25">
      <c r="L86" s="1" t="s">
        <v>203</v>
      </c>
    </row>
    <row r="87" spans="12:17" x14ac:dyDescent="0.2">
      <c r="L87" s="2" t="s">
        <v>32</v>
      </c>
      <c r="M87" s="8" t="s">
        <v>72</v>
      </c>
      <c r="N87" s="8" t="s">
        <v>73</v>
      </c>
      <c r="O87" s="8" t="s">
        <v>74</v>
      </c>
      <c r="P87" s="2" t="s">
        <v>71</v>
      </c>
      <c r="Q87" s="8" t="s">
        <v>196</v>
      </c>
    </row>
    <row r="88" spans="12:17" x14ac:dyDescent="0.2">
      <c r="L88" s="2" t="s">
        <v>190</v>
      </c>
      <c r="M88" s="17">
        <v>650</v>
      </c>
      <c r="N88" s="17">
        <v>650</v>
      </c>
      <c r="O88" s="17">
        <v>650</v>
      </c>
      <c r="P88" s="2" t="s">
        <v>72</v>
      </c>
      <c r="Q88" s="17">
        <f>M92</f>
        <v>4200</v>
      </c>
    </row>
    <row r="89" spans="12:17" x14ac:dyDescent="0.2">
      <c r="L89" s="2" t="s">
        <v>191</v>
      </c>
      <c r="M89" s="17">
        <v>2800</v>
      </c>
      <c r="N89" s="17">
        <v>2800</v>
      </c>
      <c r="O89" s="17">
        <v>2800</v>
      </c>
      <c r="P89" s="2" t="s">
        <v>73</v>
      </c>
      <c r="Q89" s="17">
        <f>N92</f>
        <v>4200</v>
      </c>
    </row>
    <row r="90" spans="12:17" x14ac:dyDescent="0.2">
      <c r="L90" s="2" t="s">
        <v>192</v>
      </c>
      <c r="M90" s="17">
        <v>250</v>
      </c>
      <c r="N90" s="17">
        <v>250</v>
      </c>
      <c r="O90" s="17">
        <v>250</v>
      </c>
      <c r="P90" s="2" t="s">
        <v>74</v>
      </c>
      <c r="Q90" s="17">
        <f>O92</f>
        <v>4200</v>
      </c>
    </row>
    <row r="91" spans="12:17" x14ac:dyDescent="0.2">
      <c r="L91" s="2" t="s">
        <v>193</v>
      </c>
      <c r="M91" s="17">
        <v>500</v>
      </c>
      <c r="N91" s="17">
        <v>500</v>
      </c>
      <c r="O91" s="17">
        <v>500</v>
      </c>
      <c r="P91" s="2" t="s">
        <v>107</v>
      </c>
      <c r="Q91" s="20">
        <f>SUM(Q88:Q90)</f>
        <v>12600</v>
      </c>
    </row>
    <row r="92" spans="12:17" x14ac:dyDescent="0.2">
      <c r="L92" s="2" t="s">
        <v>107</v>
      </c>
      <c r="M92" s="17">
        <f>SUM(M88:M91)</f>
        <v>4200</v>
      </c>
      <c r="N92" s="17">
        <f t="shared" ref="N92:O92" si="16">SUM(N88:N91)</f>
        <v>4200</v>
      </c>
      <c r="O92" s="17">
        <f t="shared" si="16"/>
        <v>4200</v>
      </c>
    </row>
    <row r="93" spans="12:17" x14ac:dyDescent="0.2">
      <c r="M93" s="17"/>
      <c r="N93" s="17"/>
      <c r="O93" s="17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topLeftCell="A13" workbookViewId="0">
      <selection activeCell="A2" sqref="A2"/>
    </sheetView>
  </sheetViews>
  <sheetFormatPr baseColWidth="10" defaultColWidth="11" defaultRowHeight="14.25" x14ac:dyDescent="0.2"/>
  <cols>
    <col min="1" max="16384" width="11" style="2"/>
  </cols>
  <sheetData>
    <row r="1" spans="1:1" ht="15" x14ac:dyDescent="0.25">
      <c r="A1" s="1" t="s">
        <v>2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>
      <selection activeCell="A49" sqref="A49"/>
    </sheetView>
  </sheetViews>
  <sheetFormatPr baseColWidth="10" defaultColWidth="11" defaultRowHeight="14.25" x14ac:dyDescent="0.2"/>
  <cols>
    <col min="1" max="16384" width="11" style="2"/>
  </cols>
  <sheetData>
    <row r="1" spans="1:1" ht="15" x14ac:dyDescent="0.25">
      <c r="A1" s="1" t="s">
        <v>29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"/>
  <sheetViews>
    <sheetView workbookViewId="0">
      <selection activeCell="A25" sqref="A25"/>
    </sheetView>
  </sheetViews>
  <sheetFormatPr baseColWidth="10" defaultColWidth="11" defaultRowHeight="14.25" x14ac:dyDescent="0.2"/>
  <cols>
    <col min="1" max="16384" width="11" style="2"/>
  </cols>
  <sheetData>
    <row r="1" spans="1:1" ht="15" x14ac:dyDescent="0.25">
      <c r="A1" s="1" t="s">
        <v>30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Apuntes</vt:lpstr>
      <vt:lpstr>Caso 01</vt:lpstr>
      <vt:lpstr>Caso 02</vt:lpstr>
      <vt:lpstr>Caso 03</vt:lpstr>
      <vt:lpstr>Caso 04</vt:lpstr>
      <vt:lpstr>Caso 05</vt:lpstr>
    </vt:vector>
  </TitlesOfParts>
  <Company>www.intercambiosvirtuales.org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ORIA</dc:creator>
  <cp:lastModifiedBy>S4-202</cp:lastModifiedBy>
  <dcterms:created xsi:type="dcterms:W3CDTF">2010-10-23T16:17:03Z</dcterms:created>
  <dcterms:modified xsi:type="dcterms:W3CDTF">2025-11-27T00:22:01Z</dcterms:modified>
</cp:coreProperties>
</file>